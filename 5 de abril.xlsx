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138" documentId="8_{81B46B82-19A1-4060-BA7D-40F37A4004FB}" xr6:coauthVersionLast="47" xr6:coauthVersionMax="47" xr10:uidLastSave="{81ED65C3-BF3F-45F1-B90F-AC3642E29BD4}"/>
  <bookViews>
    <workbookView xWindow="-108" yWindow="-108" windowWidth="23256" windowHeight="13176" xr2:uid="{36452B9D-72CD-4735-B0FA-25AC94B9E0A0}"/>
  </bookViews>
  <sheets>
    <sheet name="GS 3x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11" i="2" s="1"/>
  <c r="D11" i="2"/>
  <c r="E11" i="2"/>
  <c r="F11" i="2"/>
  <c r="G11" i="2"/>
  <c r="H11" i="2"/>
  <c r="I11" i="2"/>
  <c r="D10" i="2" l="1"/>
  <c r="E10" i="2"/>
  <c r="F10" i="2"/>
  <c r="G10" i="2"/>
  <c r="H10" i="2"/>
  <c r="I10" i="2"/>
  <c r="C9" i="2"/>
  <c r="D9" i="2"/>
  <c r="E9" i="2"/>
  <c r="F9" i="2"/>
  <c r="G9" i="2"/>
  <c r="H9" i="2"/>
  <c r="I9" i="2"/>
  <c r="B9" i="2"/>
  <c r="D6" i="2"/>
  <c r="D7" i="2"/>
  <c r="D8" i="2" s="1"/>
  <c r="C8" i="2"/>
  <c r="C7" i="2"/>
  <c r="C6" i="2"/>
  <c r="E6" i="2" l="1"/>
  <c r="E7" i="2" l="1"/>
  <c r="E8" i="2" l="1"/>
  <c r="F6" i="2" s="1"/>
  <c r="F7" i="2" l="1"/>
  <c r="F8" i="2"/>
  <c r="G6" i="2" l="1"/>
  <c r="G7" i="2" l="1"/>
  <c r="G8" i="2"/>
  <c r="H6" i="2" l="1"/>
  <c r="H7" i="2" l="1"/>
  <c r="H8" i="2" l="1"/>
  <c r="I6" i="2" s="1"/>
  <c r="I7" i="2" l="1"/>
  <c r="I8" i="2" s="1"/>
</calcChain>
</file>

<file path=xl/sharedStrings.xml><?xml version="1.0" encoding="utf-8"?>
<sst xmlns="http://schemas.openxmlformats.org/spreadsheetml/2006/main" count="12" uniqueCount="12">
  <si>
    <t>GAUSS-SEIDEL</t>
  </si>
  <si>
    <t>X0</t>
  </si>
  <si>
    <t>X1</t>
  </si>
  <si>
    <t>X2</t>
  </si>
  <si>
    <t>X3</t>
  </si>
  <si>
    <t>X4</t>
  </si>
  <si>
    <t>X5</t>
  </si>
  <si>
    <t>X6</t>
  </si>
  <si>
    <t>X7</t>
  </si>
  <si>
    <t>Norma</t>
  </si>
  <si>
    <t>ea</t>
  </si>
  <si>
    <t>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</si>
</sst>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D03F-641F-4105-8773-07403F94D230}">
  <dimension ref="A1:I11"/>
  <sheetViews>
    <sheetView tabSelected="1" workbookViewId="0">
      <selection activeCell="C15" sqref="C15"/>
    </sheetView>
  </sheetViews>
  <sheetFormatPr defaultColWidth="11.42578125" defaultRowHeight="14.45"/>
  <cols>
    <col min="1" max="1" width="17.7109375" bestFit="1" customWidth="1"/>
    <col min="2" max="9" width="13" bestFit="1" customWidth="1"/>
  </cols>
  <sheetData>
    <row r="1" spans="1:9" ht="15.6">
      <c r="A1" s="4" t="s">
        <v>0</v>
      </c>
      <c r="B1" s="1"/>
      <c r="C1" s="1"/>
      <c r="D1" s="1"/>
      <c r="E1" s="1"/>
    </row>
    <row r="2" spans="1:9" ht="15.6">
      <c r="A2" s="1"/>
      <c r="B2" s="2">
        <v>14</v>
      </c>
      <c r="C2" s="2">
        <v>2</v>
      </c>
      <c r="D2" s="3">
        <v>1</v>
      </c>
      <c r="E2" s="5">
        <v>50</v>
      </c>
    </row>
    <row r="3" spans="1:9" ht="15.6">
      <c r="A3" s="1"/>
      <c r="B3" s="2">
        <v>4</v>
      </c>
      <c r="C3" s="2">
        <v>18</v>
      </c>
      <c r="D3" s="3">
        <v>1</v>
      </c>
      <c r="E3" s="5">
        <v>85</v>
      </c>
    </row>
    <row r="4" spans="1:9" ht="15.6">
      <c r="A4" s="1"/>
      <c r="B4" s="2">
        <v>0.2</v>
      </c>
      <c r="C4" s="2">
        <v>0.4</v>
      </c>
      <c r="D4" s="3">
        <v>1</v>
      </c>
      <c r="E4" s="5">
        <v>0.05</v>
      </c>
    </row>
    <row r="5" spans="1:9" ht="15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15.6">
      <c r="A6" s="1"/>
      <c r="B6" s="2">
        <v>1</v>
      </c>
      <c r="C6" s="6">
        <f>($E$2-$C$2*B7-$D$2*B8)/($B$2)</f>
        <v>3.5714285714285716</v>
      </c>
      <c r="D6" s="6">
        <f>($E$2-$C$2*C7-$D$2*C8)/($B$2)</f>
        <v>3.169897959183674</v>
      </c>
      <c r="E6" s="6">
        <f>($E$2-$C$2*D7-$D$2*D8)/($B$2)</f>
        <v>3.1397691933916425</v>
      </c>
      <c r="F6" s="6">
        <f>($E$2-$C$2*E7-$D$2*E8)/($B$2)</f>
        <v>3.1385414294969687</v>
      </c>
      <c r="G6" s="6">
        <f>($E$2-$C$2*F7-$D$2*F8)/($B$2)</f>
        <v>3.138513248503159</v>
      </c>
      <c r="H6" s="6">
        <f>($E$2-$C$2*G7-$D$2*G8)/($B$2)</f>
        <v>3.1385134527970258</v>
      </c>
      <c r="I6" s="6">
        <f>($E$2-$C$2*H7-$D$2*H8)/($B$2)</f>
        <v>3.138513510175525</v>
      </c>
    </row>
    <row r="7" spans="1:9" ht="15.6">
      <c r="A7" s="1"/>
      <c r="B7" s="2">
        <v>0</v>
      </c>
      <c r="C7" s="6">
        <f>($E$3-$B$3*C6-$D$3*B8)/$C$3</f>
        <v>3.9285714285714284</v>
      </c>
      <c r="D7" s="6">
        <f>($E$3-$B$3*D6-$D$3*C8)/$C$3</f>
        <v>4.1420068027210881</v>
      </c>
      <c r="E7" s="6">
        <f>($E$3-$B$3*E6-$D$3*D8)/$C$3</f>
        <v>4.1489836410754783</v>
      </c>
      <c r="F7" s="6">
        <f>($E$3-$B$3*F6-$D$3*E8)/$C$3</f>
        <v>4.1490767542844811</v>
      </c>
      <c r="G7" s="6">
        <f>($E$3-$B$3*G6-$D$3*F8)/$C$3</f>
        <v>4.1490714440889196</v>
      </c>
      <c r="H7" s="6">
        <f>($E$3-$B$3*H6-$D$3*G8)/$C$3</f>
        <v>4.1490709675637838</v>
      </c>
      <c r="I7" s="6">
        <f>($E$3-$B$3*I6-$D$3*H8)/$C$3</f>
        <v>4.1490709464934898</v>
      </c>
    </row>
    <row r="8" spans="1:9" ht="15.6">
      <c r="A8" s="1"/>
      <c r="B8" s="2">
        <v>0</v>
      </c>
      <c r="C8" s="6">
        <f>($E$4-$B$4*C6-$C$4*C7)/$D$4</f>
        <v>-2.2357142857142858</v>
      </c>
      <c r="D8" s="6">
        <f>($E$4-$B$4*D6-$C$4*D7)/$D$4</f>
        <v>-2.2407823129251701</v>
      </c>
      <c r="E8" s="6">
        <f>($E$4-$B$4*E6-$C$4*E7)/$D$4</f>
        <v>-2.23754729510852</v>
      </c>
      <c r="F8" s="6">
        <f>($E$4-$B$4*F6-$C$4*F7)/$D$4</f>
        <v>-2.2373389876131862</v>
      </c>
      <c r="G8" s="6">
        <f>($E$4-$B$4*G6-$C$4*G7)/$D$4</f>
        <v>-2.2373312273361998</v>
      </c>
      <c r="H8" s="6">
        <f>($E$4-$B$4*H6-$C$4*H7)/$D$4</f>
        <v>-2.2373310775849187</v>
      </c>
      <c r="I8" s="6">
        <f>($E$4-$B$4*I6-$C$4*I7)/$D$4</f>
        <v>-2.2373310806325009</v>
      </c>
    </row>
    <row r="9" spans="1:9" ht="15">
      <c r="A9" s="7" t="s">
        <v>9</v>
      </c>
      <c r="B9" s="7">
        <f>SQRT(SUMSQ(B6:B8))</f>
        <v>1</v>
      </c>
      <c r="C9" s="7">
        <f>SQRT(SUMSQ(C6:C8))</f>
        <v>5.7608327416746805</v>
      </c>
      <c r="D9" s="7">
        <f>SQRT(SUMSQ(D6:D8))</f>
        <v>5.6767577717692754</v>
      </c>
      <c r="E9" s="7">
        <f>SQRT(SUMSQ(E6:E8))</f>
        <v>5.6638179472446497</v>
      </c>
      <c r="F9" s="7">
        <f>SQRT(SUMSQ(F6:F8))</f>
        <v>5.6631233399164733</v>
      </c>
      <c r="G9" s="7">
        <f>SQRT(SUMSQ(G6:G8))</f>
        <v>5.6631007654815457</v>
      </c>
      <c r="H9" s="7">
        <f>SQRT(SUMSQ(H6:H8))</f>
        <v>5.6631004704133474</v>
      </c>
      <c r="I9" s="7">
        <f>SQRT(SUMSQ(I6:I8))</f>
        <v>5.6631004879796079</v>
      </c>
    </row>
    <row r="10" spans="1:9" ht="15">
      <c r="A10" s="1">
        <v>0.01</v>
      </c>
      <c r="B10" s="8" t="s">
        <v>10</v>
      </c>
      <c r="C10" s="6">
        <f>ABS(C9-B9)</f>
        <v>4.7608327416746805</v>
      </c>
      <c r="D10" s="6">
        <f>ABS(D9-C9)</f>
        <v>8.4074969905405084E-2</v>
      </c>
      <c r="E10" s="6">
        <f>ABS(E9-D9)</f>
        <v>1.293982452462572E-2</v>
      </c>
      <c r="F10" s="6">
        <f>ABS(F9-E9)</f>
        <v>6.9460732817638871E-4</v>
      </c>
      <c r="G10" s="6">
        <f>ABS(G9-F9)</f>
        <v>2.2574434927591369E-5</v>
      </c>
      <c r="H10" s="6">
        <f>ABS(H9-G9)</f>
        <v>2.9506819831937037E-7</v>
      </c>
      <c r="I10" s="6">
        <f>ABS(I9-H9)</f>
        <v>1.7566260446244542E-8</v>
      </c>
    </row>
    <row r="11" spans="1:9" ht="15">
      <c r="A11" s="1">
        <v>0.1</v>
      </c>
      <c r="B11" s="9" t="s">
        <v>11</v>
      </c>
      <c r="C11" s="6">
        <f>ABS(C10/C9)*100</f>
        <v>82.641398477587131</v>
      </c>
      <c r="D11" s="6">
        <f t="shared" ref="D11:I11" si="0">ABS(D10/D9)*100</f>
        <v>1.4810385308936906</v>
      </c>
      <c r="E11" s="6">
        <f t="shared" si="0"/>
        <v>0.22846469722637755</v>
      </c>
      <c r="F11" s="6">
        <f t="shared" si="0"/>
        <v>1.2265445876491076E-2</v>
      </c>
      <c r="G11" s="6">
        <f t="shared" si="0"/>
        <v>3.9862322537486788E-4</v>
      </c>
      <c r="H11" s="6">
        <f t="shared" si="0"/>
        <v>5.2103648851180185E-6</v>
      </c>
      <c r="I11" s="6">
        <f t="shared" si="0"/>
        <v>3.1018804069485187E-7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Usuario invitado</cp:lastModifiedBy>
  <cp:revision/>
  <dcterms:created xsi:type="dcterms:W3CDTF">2024-04-05T18:30:41Z</dcterms:created>
  <dcterms:modified xsi:type="dcterms:W3CDTF">2024-04-06T01:33:30Z</dcterms:modified>
  <cp:category/>
  <cp:contentStatus/>
</cp:coreProperties>
</file>