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7"/>
  <workbookPr/>
  <mc:AlternateContent xmlns:mc="http://schemas.openxmlformats.org/markup-compatibility/2006">
    <mc:Choice Requires="x15">
      <x15ac:absPath xmlns:x15ac="http://schemas.microsoft.com/office/spreadsheetml/2010/11/ac" url="https://d.docs.live.net/63cee1f57fb1c6e5/Escritorio/Vico/Segundo semestre/Analisis/"/>
    </mc:Choice>
  </mc:AlternateContent>
  <xr:revisionPtr revIDLastSave="3884" documentId="8_{9844BD3F-1F88-4CA4-9B2A-9DB97CACAD97}" xr6:coauthVersionLast="47" xr6:coauthVersionMax="47" xr10:uidLastSave="{B5C4730A-154A-47FB-933D-68002F7C6785}"/>
  <bookViews>
    <workbookView minimized="1" xWindow="4284" yWindow="4284" windowWidth="17280" windowHeight="8880" firstSheet="9" activeTab="6" xr2:uid="{D16612BE-E554-4E96-80E3-63AC6BDA3A7F}"/>
  </bookViews>
  <sheets>
    <sheet name="Krylov 2x2" sheetId="4" r:id="rId1"/>
    <sheet name="Krylov 3x3" sheetId="2" r:id="rId2"/>
    <sheet name="T6-A1" sheetId="13" r:id="rId3"/>
    <sheet name="Krylov 4x4 T6-B1" sheetId="3" r:id="rId4"/>
    <sheet name="T6-C1" sheetId="7" r:id="rId5"/>
    <sheet name="T6-D1" sheetId="14" r:id="rId6"/>
    <sheet name="T6-E1" sheetId="15" r:id="rId7"/>
    <sheet name="T6-F1" sheetId="6" r:id="rId8"/>
    <sheet name="T6-G1" sheetId="16" r:id="rId9"/>
    <sheet name="T6-H1" sheetId="17" r:id="rId10"/>
    <sheet name="Potencias 2x2" sheetId="11" r:id="rId11"/>
    <sheet name="Potencias 3x3" sheetId="1" r:id="rId12"/>
    <sheet name="Potencias 4x4" sheetId="5" r:id="rId13"/>
    <sheet name="T6-A2" sheetId="26" r:id="rId14"/>
    <sheet name="T6-B2" sheetId="24" r:id="rId15"/>
    <sheet name="T6-C2" sheetId="12" r:id="rId16"/>
    <sheet name="T6-D2" sheetId="19" r:id="rId17"/>
    <sheet name="T6-E2" sheetId="25" r:id="rId18"/>
    <sheet name="T6-F2" sheetId="21" r:id="rId19"/>
    <sheet name="T6-G2" sheetId="22" r:id="rId20"/>
    <sheet name="T6-H2" sheetId="27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25" l="1" a="1"/>
  <c r="C23" i="25"/>
  <c r="C20" i="27" a="1"/>
  <c r="C20" i="27" s="1"/>
  <c r="C12" i="27" a="1"/>
  <c r="C12" i="27" s="1"/>
  <c r="M16" i="3"/>
  <c r="L17" i="3"/>
  <c r="C15" i="27" l="1"/>
  <c r="D9" i="27" s="1"/>
  <c r="C30" i="27" a="1"/>
  <c r="D8" i="27" l="1"/>
  <c r="C30" i="27"/>
  <c r="D7" i="27"/>
  <c r="D12" i="27" l="1" a="1"/>
  <c r="D12" i="27" s="1"/>
  <c r="C33" i="27"/>
  <c r="D25" i="27" s="1"/>
  <c r="D26" i="27" l="1"/>
  <c r="D27" i="27"/>
  <c r="D15" i="27"/>
  <c r="D30" i="27" l="1" a="1"/>
  <c r="D30" i="27" s="1"/>
  <c r="D17" i="27"/>
  <c r="D16" i="27"/>
  <c r="E9" i="27"/>
  <c r="E8" i="27"/>
  <c r="E7" i="27"/>
  <c r="E12" i="27" l="1" a="1"/>
  <c r="E12" i="27" s="1"/>
  <c r="D33" i="27"/>
  <c r="E15" i="27" l="1"/>
  <c r="D34" i="27"/>
  <c r="D35" i="27"/>
  <c r="E27" i="27"/>
  <c r="E26" i="27"/>
  <c r="E25" i="27"/>
  <c r="E30" i="27" l="1" a="1"/>
  <c r="E30" i="27" s="1"/>
  <c r="E17" i="27"/>
  <c r="E16" i="27"/>
  <c r="F8" i="27"/>
  <c r="F9" i="27"/>
  <c r="F7" i="27"/>
  <c r="F12" i="27" l="1" a="1"/>
  <c r="F12" i="27" s="1"/>
  <c r="E33" i="27"/>
  <c r="F25" i="27" s="1"/>
  <c r="E34" i="27" l="1"/>
  <c r="E35" i="27"/>
  <c r="F27" i="27"/>
  <c r="F26" i="27"/>
  <c r="F15" i="27"/>
  <c r="G7" i="27" s="1"/>
  <c r="F30" i="27" l="1" a="1"/>
  <c r="F30" i="27" s="1"/>
  <c r="F17" i="27"/>
  <c r="F16" i="27"/>
  <c r="G8" i="27"/>
  <c r="G9" i="27"/>
  <c r="G12" i="27" l="1" a="1"/>
  <c r="G12" i="27" s="1"/>
  <c r="F33" i="27"/>
  <c r="F35" i="27" l="1"/>
  <c r="F34" i="27"/>
  <c r="G27" i="27"/>
  <c r="G26" i="27"/>
  <c r="G15" i="27"/>
  <c r="H7" i="27" s="1"/>
  <c r="G25" i="27"/>
  <c r="G30" i="27" l="1" a="1"/>
  <c r="G30" i="27" s="1"/>
  <c r="G16" i="27"/>
  <c r="G17" i="27"/>
  <c r="H9" i="27"/>
  <c r="H8" i="27"/>
  <c r="H12" i="27" l="1" a="1"/>
  <c r="H12" i="27" s="1"/>
  <c r="G33" i="27"/>
  <c r="H15" i="27" l="1"/>
  <c r="G35" i="27"/>
  <c r="G34" i="27"/>
  <c r="H27" i="27"/>
  <c r="H26" i="27"/>
  <c r="H25" i="27"/>
  <c r="H30" i="27" l="1" a="1"/>
  <c r="H30" i="27" s="1"/>
  <c r="H17" i="27"/>
  <c r="H16" i="27"/>
  <c r="I9" i="27"/>
  <c r="I8" i="27"/>
  <c r="I7" i="27"/>
  <c r="I12" i="27" l="1" a="1"/>
  <c r="I12" i="27" s="1"/>
  <c r="H33" i="27"/>
  <c r="I25" i="27" s="1"/>
  <c r="H35" i="27" l="1"/>
  <c r="H34" i="27"/>
  <c r="I26" i="27"/>
  <c r="I27" i="27"/>
  <c r="I15" i="27"/>
  <c r="I30" i="27" l="1" a="1"/>
  <c r="I30" i="27" s="1"/>
  <c r="I17" i="27"/>
  <c r="I16" i="27"/>
  <c r="J9" i="27"/>
  <c r="J8" i="27"/>
  <c r="J7" i="27"/>
  <c r="J12" i="27" l="1" a="1"/>
  <c r="J12" i="27" s="1"/>
  <c r="I33" i="27"/>
  <c r="J15" i="27" l="1"/>
  <c r="I35" i="27"/>
  <c r="I34" i="27"/>
  <c r="J27" i="27"/>
  <c r="J26" i="27"/>
  <c r="J25" i="27"/>
  <c r="J30" i="27" s="1" a="1"/>
  <c r="J17" i="27" l="1"/>
  <c r="J16" i="27"/>
  <c r="K9" i="27"/>
  <c r="K8" i="27"/>
  <c r="K7" i="27"/>
  <c r="J30" i="27"/>
  <c r="K12" i="27" l="1" a="1"/>
  <c r="K12" i="27" s="1"/>
  <c r="J33" i="27"/>
  <c r="K15" i="27" l="1"/>
  <c r="L7" i="27" s="1"/>
  <c r="J34" i="27"/>
  <c r="J35" i="27"/>
  <c r="K26" i="27"/>
  <c r="K27" i="27"/>
  <c r="K25" i="27"/>
  <c r="K30" i="27" l="1" a="1"/>
  <c r="K17" i="27"/>
  <c r="K16" i="27"/>
  <c r="L9" i="27"/>
  <c r="L8" i="27"/>
  <c r="L12" i="27" l="1" a="1"/>
  <c r="L12" i="27" s="1"/>
  <c r="L15" i="27" s="1"/>
  <c r="L17" i="27" s="1"/>
  <c r="K30" i="27"/>
  <c r="L16" i="27" l="1"/>
  <c r="K33" i="27"/>
  <c r="L25" i="27" s="1"/>
  <c r="K35" i="27" l="1"/>
  <c r="K34" i="27"/>
  <c r="L26" i="27"/>
  <c r="L27" i="27"/>
  <c r="L30" i="27" l="1" a="1"/>
  <c r="L30" i="27" s="1"/>
  <c r="L33" i="27" s="1"/>
  <c r="L34" i="27" s="1"/>
  <c r="L35" i="27" l="1"/>
  <c r="C20" i="26" l="1" a="1"/>
  <c r="C20" i="26" s="1"/>
  <c r="C12" i="26" a="1"/>
  <c r="C12" i="26" s="1"/>
  <c r="M9" i="6"/>
  <c r="L7" i="3"/>
  <c r="D7" i="7"/>
  <c r="D6" i="7"/>
  <c r="C6" i="7" a="1"/>
  <c r="C6" i="7" s="1"/>
  <c r="E7" i="13"/>
  <c r="I6" i="7"/>
  <c r="A8" i="3" a="1"/>
  <c r="A8" i="3"/>
  <c r="J8" i="15" a="1"/>
  <c r="J8" i="15"/>
  <c r="J7" i="16" a="1"/>
  <c r="J7" i="16"/>
  <c r="J7" i="14" a="1"/>
  <c r="J7" i="14"/>
  <c r="J6" i="14"/>
  <c r="L7" i="15"/>
  <c r="N6" i="16"/>
  <c r="M9" i="16"/>
  <c r="M8" i="16"/>
  <c r="M7" i="16"/>
  <c r="M6" i="16"/>
  <c r="L9" i="16"/>
  <c r="L8" i="16"/>
  <c r="L7" i="16"/>
  <c r="L6" i="16"/>
  <c r="M11" i="15"/>
  <c r="L11" i="15"/>
  <c r="L10" i="15"/>
  <c r="N11" i="15"/>
  <c r="N10" i="15"/>
  <c r="N9" i="15"/>
  <c r="N8" i="15"/>
  <c r="N7" i="15"/>
  <c r="M8" i="15"/>
  <c r="M7" i="15"/>
  <c r="M10" i="15"/>
  <c r="M9" i="15"/>
  <c r="L9" i="15"/>
  <c r="L9" i="14"/>
  <c r="M9" i="14"/>
  <c r="J12" i="6"/>
  <c r="J14" i="6"/>
  <c r="K6" i="7"/>
  <c r="M12" i="2" a="1"/>
  <c r="M12" i="2"/>
  <c r="J14" i="7"/>
  <c r="L13" i="13"/>
  <c r="L15" i="3"/>
  <c r="J12" i="7"/>
  <c r="N8" i="3"/>
  <c r="N7" i="3"/>
  <c r="L6" i="13"/>
  <c r="C17" i="12" a="1"/>
  <c r="C17" i="12"/>
  <c r="C17" i="21" a="1"/>
  <c r="C17" i="21"/>
  <c r="C20" i="1" a="1"/>
  <c r="C20" i="1"/>
  <c r="C35" i="25" a="1"/>
  <c r="C35" i="25" s="1"/>
  <c r="C39" i="25" s="1"/>
  <c r="D32" i="25" s="1"/>
  <c r="C14" i="25" a="1"/>
  <c r="C14" i="25" s="1"/>
  <c r="C18" i="25" s="1"/>
  <c r="C23" i="24" a="1"/>
  <c r="C23" i="24"/>
  <c r="C35" i="24" s="1" a="1"/>
  <c r="C35" i="24" s="1"/>
  <c r="C14" i="24" a="1"/>
  <c r="C14" i="24"/>
  <c r="C39" i="24"/>
  <c r="D29" i="24"/>
  <c r="D30" i="24"/>
  <c r="D31" i="24"/>
  <c r="D32" i="24"/>
  <c r="C18" i="24"/>
  <c r="D8" i="24"/>
  <c r="D9" i="24"/>
  <c r="D10" i="24"/>
  <c r="D11" i="24"/>
  <c r="C23" i="5" a="1"/>
  <c r="C23" i="5"/>
  <c r="C35" i="5" a="1"/>
  <c r="C14" i="5" a="1"/>
  <c r="C14" i="5"/>
  <c r="C12" i="1" a="1"/>
  <c r="C12" i="1"/>
  <c r="C20" i="22" a="1"/>
  <c r="C20" i="22"/>
  <c r="C30" i="22" s="1" a="1"/>
  <c r="C30" i="22" s="1"/>
  <c r="C33" i="22" s="1"/>
  <c r="C12" i="22" a="1"/>
  <c r="C12" i="22"/>
  <c r="C15" i="22"/>
  <c r="D7" i="22"/>
  <c r="D8" i="22"/>
  <c r="D9" i="22"/>
  <c r="C25" i="21" a="1"/>
  <c r="C25" i="21" s="1"/>
  <c r="C27" i="21" s="1"/>
  <c r="D22" i="21" s="1"/>
  <c r="C10" i="21" a="1"/>
  <c r="C10" i="21" s="1"/>
  <c r="C12" i="21" s="1"/>
  <c r="C20" i="19" a="1"/>
  <c r="C20" i="19"/>
  <c r="C30" i="19" s="1" a="1"/>
  <c r="C30" i="19" s="1"/>
  <c r="C12" i="19" a="1"/>
  <c r="C12" i="19"/>
  <c r="C33" i="19"/>
  <c r="D25" i="19"/>
  <c r="D26" i="19"/>
  <c r="D27" i="19"/>
  <c r="C15" i="19"/>
  <c r="D7" i="19"/>
  <c r="D8" i="19"/>
  <c r="D9" i="19"/>
  <c r="L13" i="17"/>
  <c r="L15" i="17"/>
  <c r="J6" i="17"/>
  <c r="L6" i="17"/>
  <c r="M6" i="17"/>
  <c r="N6" i="17"/>
  <c r="E7" i="17"/>
  <c r="E8" i="17"/>
  <c r="E9" i="17"/>
  <c r="L13" i="16"/>
  <c r="L15" i="16"/>
  <c r="J6" i="16"/>
  <c r="E7" i="16"/>
  <c r="E8" i="16"/>
  <c r="G8" i="16"/>
  <c r="N8" i="16"/>
  <c r="E9" i="16"/>
  <c r="G9" i="16"/>
  <c r="N9" i="16"/>
  <c r="L15" i="15"/>
  <c r="L17" i="15"/>
  <c r="J7" i="15"/>
  <c r="E8" i="15"/>
  <c r="E9" i="15"/>
  <c r="E10" i="15"/>
  <c r="E11" i="15"/>
  <c r="L15" i="14"/>
  <c r="L13" i="14"/>
  <c r="E9" i="14"/>
  <c r="D7" i="14" s="1" a="1"/>
  <c r="D7" i="14" s="1"/>
  <c r="C7" i="14" s="1" a="1"/>
  <c r="C7" i="14" s="1"/>
  <c r="E8" i="14"/>
  <c r="E7" i="14"/>
  <c r="N6" i="14"/>
  <c r="L15" i="13"/>
  <c r="E9" i="13"/>
  <c r="E8" i="13"/>
  <c r="D7" i="13" a="1"/>
  <c r="D7" i="13" s="1"/>
  <c r="C7" i="13" s="1" a="1"/>
  <c r="C7" i="13" s="1"/>
  <c r="J6" i="13"/>
  <c r="N6" i="13" s="1"/>
  <c r="C10" i="12" a="1"/>
  <c r="C10" i="12" s="1"/>
  <c r="C12" i="12" s="1"/>
  <c r="C25" i="12" a="1"/>
  <c r="C25" i="12" s="1"/>
  <c r="C27" i="12" s="1"/>
  <c r="L25" i="11" a="1"/>
  <c r="L25" i="11"/>
  <c r="K25" i="11" a="1"/>
  <c r="K25" i="11"/>
  <c r="J25" i="11" a="1"/>
  <c r="J25" i="11"/>
  <c r="I25" i="11" a="1"/>
  <c r="I25" i="11"/>
  <c r="H25" i="11" a="1"/>
  <c r="H25" i="11"/>
  <c r="G25" i="11" a="1"/>
  <c r="G25" i="11"/>
  <c r="F25" i="11" a="1"/>
  <c r="F25" i="11"/>
  <c r="E25" i="11" a="1"/>
  <c r="E25" i="11"/>
  <c r="D25" i="11" a="1"/>
  <c r="D25" i="11"/>
  <c r="C25" i="11" a="1"/>
  <c r="C25" i="11"/>
  <c r="L10" i="11" a="1"/>
  <c r="L10" i="11"/>
  <c r="K10" i="11" a="1"/>
  <c r="K10" i="11"/>
  <c r="J10" i="11" a="1"/>
  <c r="J10" i="11"/>
  <c r="I10" i="11" a="1"/>
  <c r="I10" i="11"/>
  <c r="H10" i="11" a="1"/>
  <c r="H10" i="11"/>
  <c r="G10" i="11" a="1"/>
  <c r="G10" i="11"/>
  <c r="F10" i="11" a="1"/>
  <c r="F10" i="11"/>
  <c r="E10" i="11" a="1"/>
  <c r="E10" i="11"/>
  <c r="D10" i="11" a="1"/>
  <c r="D10" i="11"/>
  <c r="C10" i="11" a="1"/>
  <c r="C10" i="11"/>
  <c r="C17" i="11" a="1"/>
  <c r="C17" i="11"/>
  <c r="C27" i="11"/>
  <c r="D21" i="11"/>
  <c r="D22" i="11"/>
  <c r="D27" i="11"/>
  <c r="E21" i="11"/>
  <c r="E22" i="11"/>
  <c r="E27" i="11"/>
  <c r="F21" i="11"/>
  <c r="F22" i="11"/>
  <c r="F27" i="11"/>
  <c r="G21" i="11"/>
  <c r="G22" i="11"/>
  <c r="G27" i="11"/>
  <c r="H21" i="11"/>
  <c r="H22" i="11"/>
  <c r="H27" i="11"/>
  <c r="I21" i="11"/>
  <c r="I22" i="11"/>
  <c r="I27" i="11"/>
  <c r="J21" i="11"/>
  <c r="J22" i="11"/>
  <c r="J27" i="11"/>
  <c r="K21" i="11"/>
  <c r="K22" i="11"/>
  <c r="K27" i="11"/>
  <c r="L21" i="11"/>
  <c r="L22" i="11"/>
  <c r="L27" i="11"/>
  <c r="L29" i="11"/>
  <c r="K29" i="11"/>
  <c r="J29" i="11"/>
  <c r="I29" i="11"/>
  <c r="H29" i="11"/>
  <c r="G29" i="11"/>
  <c r="F29" i="11"/>
  <c r="E29" i="11"/>
  <c r="D29" i="11"/>
  <c r="L28" i="11"/>
  <c r="K28" i="11"/>
  <c r="J28" i="11"/>
  <c r="I28" i="11"/>
  <c r="H28" i="11"/>
  <c r="G28" i="11"/>
  <c r="F28" i="11"/>
  <c r="E28" i="11"/>
  <c r="D28" i="11"/>
  <c r="C12" i="11"/>
  <c r="D6" i="11"/>
  <c r="D7" i="11"/>
  <c r="D12" i="11"/>
  <c r="E6" i="11"/>
  <c r="E7" i="11"/>
  <c r="E12" i="11"/>
  <c r="F6" i="11"/>
  <c r="F7" i="11"/>
  <c r="F12" i="11"/>
  <c r="G6" i="11"/>
  <c r="G7" i="11"/>
  <c r="G12" i="11"/>
  <c r="H6" i="11"/>
  <c r="H7" i="11"/>
  <c r="H12" i="11"/>
  <c r="I6" i="11"/>
  <c r="I7" i="11"/>
  <c r="I12" i="11"/>
  <c r="J6" i="11"/>
  <c r="J7" i="11"/>
  <c r="J12" i="11"/>
  <c r="K6" i="11"/>
  <c r="K7" i="11"/>
  <c r="K12" i="11"/>
  <c r="L6" i="11"/>
  <c r="L7" i="11"/>
  <c r="L12" i="11"/>
  <c r="L14" i="11"/>
  <c r="K14" i="11"/>
  <c r="J14" i="11"/>
  <c r="I14" i="11"/>
  <c r="H14" i="11"/>
  <c r="G14" i="11"/>
  <c r="F14" i="11"/>
  <c r="E14" i="11"/>
  <c r="D14" i="11"/>
  <c r="L13" i="11"/>
  <c r="K13" i="11"/>
  <c r="J13" i="11"/>
  <c r="I13" i="11"/>
  <c r="H13" i="11"/>
  <c r="G13" i="11"/>
  <c r="F13" i="11"/>
  <c r="E13" i="11"/>
  <c r="D13" i="11"/>
  <c r="D7" i="6"/>
  <c r="I6" i="6"/>
  <c r="M6" i="6" s="1"/>
  <c r="D6" i="6"/>
  <c r="C6" i="6" a="1"/>
  <c r="C6" i="6" s="1"/>
  <c r="C30" i="1" a="1"/>
  <c r="C30" i="1"/>
  <c r="E9" i="3"/>
  <c r="C18" i="5"/>
  <c r="K8" i="4"/>
  <c r="J8" i="4"/>
  <c r="L8" i="4"/>
  <c r="H6" i="4"/>
  <c r="K6" i="4"/>
  <c r="D6" i="4"/>
  <c r="D7" i="4"/>
  <c r="C6" i="4" a="1"/>
  <c r="C6" i="4"/>
  <c r="B6" i="4" a="1"/>
  <c r="B6" i="4"/>
  <c r="F6" i="4"/>
  <c r="F7" i="4"/>
  <c r="H7" i="4" a="1"/>
  <c r="H7" i="4"/>
  <c r="K7" i="4"/>
  <c r="K9" i="4"/>
  <c r="J6" i="4"/>
  <c r="J7" i="4"/>
  <c r="J9" i="4"/>
  <c r="L6" i="2"/>
  <c r="E7" i="2"/>
  <c r="D7" i="2" a="1"/>
  <c r="D7" i="2"/>
  <c r="C7" i="2" a="1"/>
  <c r="C7" i="2"/>
  <c r="B7" i="2" a="1"/>
  <c r="B7" i="2"/>
  <c r="G7" i="2"/>
  <c r="G8" i="2"/>
  <c r="G9" i="2"/>
  <c r="J7" i="2" a="1"/>
  <c r="J7" i="2"/>
  <c r="L7" i="2"/>
  <c r="L8" i="2"/>
  <c r="L9" i="2"/>
  <c r="L10" i="2"/>
  <c r="E8" i="3"/>
  <c r="E10" i="3"/>
  <c r="E11" i="3"/>
  <c r="J7" i="3"/>
  <c r="I13" i="4"/>
  <c r="I15" i="4"/>
  <c r="L6" i="4"/>
  <c r="L15" i="2"/>
  <c r="L13" i="2"/>
  <c r="N6" i="2"/>
  <c r="M6" i="2"/>
  <c r="J6" i="2"/>
  <c r="E8" i="2"/>
  <c r="E9" i="2"/>
  <c r="C15" i="1"/>
  <c r="C33" i="1"/>
  <c r="D25" i="1"/>
  <c r="D7" i="1"/>
  <c r="D8" i="1"/>
  <c r="D9" i="1"/>
  <c r="L7" i="4"/>
  <c r="L9" i="4"/>
  <c r="J11" i="4" a="1"/>
  <c r="J11" i="4"/>
  <c r="J13" i="4"/>
  <c r="D27" i="1"/>
  <c r="D26" i="1"/>
  <c r="D30" i="1" a="1"/>
  <c r="D12" i="1" a="1"/>
  <c r="J15" i="4"/>
  <c r="K14" i="4"/>
  <c r="K12" i="4"/>
  <c r="K13" i="4"/>
  <c r="D30" i="1"/>
  <c r="D12" i="1"/>
  <c r="L12" i="4"/>
  <c r="L13" i="4"/>
  <c r="K15" i="4"/>
  <c r="L14" i="4"/>
  <c r="N9" i="2"/>
  <c r="N8" i="2"/>
  <c r="M9" i="2"/>
  <c r="M8" i="2"/>
  <c r="D33" i="1"/>
  <c r="E25" i="1"/>
  <c r="D15" i="1"/>
  <c r="D17" i="1" s="1"/>
  <c r="L15" i="4"/>
  <c r="M13" i="4"/>
  <c r="M14" i="4"/>
  <c r="N7" i="2"/>
  <c r="N10" i="2"/>
  <c r="M7" i="2"/>
  <c r="M10" i="2"/>
  <c r="E26" i="1"/>
  <c r="E27" i="1"/>
  <c r="E30" i="1" a="1"/>
  <c r="D16" i="1"/>
  <c r="E9" i="1"/>
  <c r="E8" i="1"/>
  <c r="E7" i="1"/>
  <c r="M14" i="2"/>
  <c r="E30" i="1"/>
  <c r="E33" i="1"/>
  <c r="E35" i="1" s="1"/>
  <c r="F26" i="1"/>
  <c r="E12" i="1" a="1"/>
  <c r="M16" i="2"/>
  <c r="N15" i="2"/>
  <c r="N13" i="2"/>
  <c r="N14" i="2"/>
  <c r="O13" i="2"/>
  <c r="O14" i="2"/>
  <c r="P13" i="2"/>
  <c r="P14" i="2"/>
  <c r="F27" i="1"/>
  <c r="F25" i="1"/>
  <c r="E34" i="1"/>
  <c r="E12" i="1"/>
  <c r="E15" i="1"/>
  <c r="N16" i="2"/>
  <c r="O15" i="2"/>
  <c r="O16" i="2"/>
  <c r="F30" i="1" a="1"/>
  <c r="F30" i="1"/>
  <c r="F33" i="1"/>
  <c r="F35" i="1" s="1"/>
  <c r="E17" i="1"/>
  <c r="E16" i="1"/>
  <c r="F7" i="1"/>
  <c r="F8" i="1"/>
  <c r="F9" i="1"/>
  <c r="G25" i="1"/>
  <c r="F34" i="1"/>
  <c r="G27" i="1"/>
  <c r="G26" i="1"/>
  <c r="F12" i="1" a="1"/>
  <c r="F12" i="1"/>
  <c r="F15" i="1"/>
  <c r="G30" i="1" a="1"/>
  <c r="F17" i="1"/>
  <c r="F16" i="1"/>
  <c r="G7" i="1"/>
  <c r="G8" i="1"/>
  <c r="G9" i="1"/>
  <c r="G30" i="1"/>
  <c r="G33" i="1"/>
  <c r="G35" i="1" s="1"/>
  <c r="H26" i="1"/>
  <c r="G12" i="1" a="1"/>
  <c r="G12" i="1"/>
  <c r="H27" i="1"/>
  <c r="H25" i="1"/>
  <c r="H30" i="1" a="1"/>
  <c r="G34" i="1"/>
  <c r="G15" i="1"/>
  <c r="H30" i="1"/>
  <c r="H33" i="1"/>
  <c r="H35" i="1" s="1"/>
  <c r="H7" i="1"/>
  <c r="G16" i="1"/>
  <c r="G17" i="1"/>
  <c r="H8" i="1"/>
  <c r="H9" i="1"/>
  <c r="I25" i="1"/>
  <c r="H34" i="1"/>
  <c r="I27" i="1"/>
  <c r="I26" i="1"/>
  <c r="H12" i="1" a="1"/>
  <c r="H12" i="1"/>
  <c r="H15" i="1"/>
  <c r="I30" i="1" a="1"/>
  <c r="I30" i="1"/>
  <c r="I33" i="1"/>
  <c r="I35" i="1" s="1"/>
  <c r="J26" i="1"/>
  <c r="H17" i="1"/>
  <c r="H16" i="1"/>
  <c r="I7" i="1"/>
  <c r="I8" i="1"/>
  <c r="I9" i="1"/>
  <c r="J27" i="1"/>
  <c r="J25" i="1"/>
  <c r="I34" i="1"/>
  <c r="I12" i="1" a="1"/>
  <c r="I12" i="1"/>
  <c r="I15" i="1"/>
  <c r="J30" i="1" a="1"/>
  <c r="J30" i="1"/>
  <c r="J8" i="1"/>
  <c r="I17" i="1"/>
  <c r="I16" i="1"/>
  <c r="J9" i="1"/>
  <c r="J7" i="1"/>
  <c r="J33" i="1"/>
  <c r="J35" i="1" s="1"/>
  <c r="K25" i="1"/>
  <c r="J12" i="1" a="1"/>
  <c r="J12" i="1"/>
  <c r="J34" i="1"/>
  <c r="K26" i="1"/>
  <c r="K27" i="1"/>
  <c r="J15" i="1"/>
  <c r="K30" i="1" a="1"/>
  <c r="K30" i="1"/>
  <c r="K33" i="1"/>
  <c r="K35" i="1" s="1"/>
  <c r="L26" i="1"/>
  <c r="J17" i="1"/>
  <c r="J16" i="1"/>
  <c r="K8" i="1"/>
  <c r="K7" i="1"/>
  <c r="L27" i="1"/>
  <c r="L25" i="1"/>
  <c r="K34" i="1"/>
  <c r="L30" i="1" a="1"/>
  <c r="L30" i="1"/>
  <c r="L33" i="1"/>
  <c r="L35" i="1" s="1"/>
  <c r="L34" i="1"/>
  <c r="D21" i="21" l="1"/>
  <c r="D25" i="21" s="1" a="1"/>
  <c r="D25" i="21" s="1"/>
  <c r="D27" i="22"/>
  <c r="D26" i="22"/>
  <c r="D25" i="22"/>
  <c r="D30" i="22" s="1" a="1"/>
  <c r="D30" i="22" s="1"/>
  <c r="D31" i="25"/>
  <c r="D30" i="25"/>
  <c r="D29" i="25"/>
  <c r="D10" i="25"/>
  <c r="D7" i="12"/>
  <c r="D6" i="12"/>
  <c r="C15" i="26"/>
  <c r="D9" i="26" s="1"/>
  <c r="C30" i="26" a="1"/>
  <c r="D7" i="21"/>
  <c r="D6" i="21"/>
  <c r="L6" i="6"/>
  <c r="K6" i="6"/>
  <c r="B6" i="7" a="1"/>
  <c r="B6" i="6" a="1"/>
  <c r="B7" i="13" a="1"/>
  <c r="B7" i="13" s="1"/>
  <c r="L6" i="7"/>
  <c r="M6" i="7"/>
  <c r="D34" i="1"/>
  <c r="D35" i="1"/>
  <c r="D21" i="12"/>
  <c r="D22" i="12"/>
  <c r="M7" i="3"/>
  <c r="M8" i="3"/>
  <c r="D8" i="3" a="1"/>
  <c r="D8" i="3" s="1"/>
  <c r="C8" i="3" s="1" a="1"/>
  <c r="C8" i="3" s="1"/>
  <c r="B8" i="3" s="1" a="1"/>
  <c r="B8" i="3" s="1"/>
  <c r="D14" i="24" a="1"/>
  <c r="D14" i="24" s="1"/>
  <c r="D35" i="24" a="1"/>
  <c r="D35" i="24" s="1"/>
  <c r="C35" i="5"/>
  <c r="D8" i="5"/>
  <c r="D10" i="5"/>
  <c r="D11" i="5"/>
  <c r="D9" i="5"/>
  <c r="K9" i="1"/>
  <c r="K12" i="1" s="1" a="1"/>
  <c r="D12" i="22" a="1"/>
  <c r="D12" i="22" s="1"/>
  <c r="D30" i="19" a="1"/>
  <c r="D30" i="19" s="1"/>
  <c r="D12" i="19" a="1"/>
  <c r="D12" i="19" s="1"/>
  <c r="D7" i="17" a="1"/>
  <c r="D7" i="17" s="1"/>
  <c r="C7" i="17" s="1" a="1"/>
  <c r="C7" i="17" s="1"/>
  <c r="D7" i="16" a="1"/>
  <c r="D7" i="16" s="1"/>
  <c r="C7" i="16" s="1" a="1"/>
  <c r="C7" i="16" s="1"/>
  <c r="D8" i="15" a="1"/>
  <c r="D8" i="15" s="1"/>
  <c r="C8" i="15" s="1" a="1"/>
  <c r="C8" i="15" s="1"/>
  <c r="B8" i="15" s="1" a="1"/>
  <c r="B8" i="15" s="1"/>
  <c r="B7" i="14" a="1"/>
  <c r="L6" i="14"/>
  <c r="M6" i="14"/>
  <c r="M6" i="13"/>
  <c r="D10" i="21" l="1" a="1"/>
  <c r="D10" i="21" s="1"/>
  <c r="D12" i="21" s="1"/>
  <c r="E6" i="21" s="1"/>
  <c r="D35" i="25" a="1"/>
  <c r="D35" i="25" s="1"/>
  <c r="D39" i="25" s="1"/>
  <c r="E29" i="25" s="1"/>
  <c r="D11" i="25"/>
  <c r="D8" i="25"/>
  <c r="D9" i="25"/>
  <c r="D10" i="12" a="1"/>
  <c r="D10" i="12" s="1"/>
  <c r="C30" i="26"/>
  <c r="D7" i="26"/>
  <c r="D8" i="26"/>
  <c r="F7" i="7"/>
  <c r="B6" i="7"/>
  <c r="F6" i="7" s="1"/>
  <c r="I7" i="7" s="1" a="1"/>
  <c r="F7" i="6"/>
  <c r="B6" i="6"/>
  <c r="F6" i="6" s="1"/>
  <c r="I7" i="6" s="1" a="1"/>
  <c r="D25" i="12" a="1"/>
  <c r="D39" i="24"/>
  <c r="E29" i="24"/>
  <c r="D18" i="24"/>
  <c r="E8" i="24"/>
  <c r="C39" i="5"/>
  <c r="D14" i="5" a="1"/>
  <c r="K12" i="1"/>
  <c r="D33" i="22"/>
  <c r="E25" i="22" s="1"/>
  <c r="D15" i="22"/>
  <c r="E7" i="22"/>
  <c r="D27" i="21"/>
  <c r="E21" i="21" s="1"/>
  <c r="D33" i="19"/>
  <c r="E25" i="19"/>
  <c r="D15" i="19"/>
  <c r="E7" i="19"/>
  <c r="B7" i="17" a="1"/>
  <c r="B7" i="16" a="1"/>
  <c r="B7" i="16" s="1"/>
  <c r="G7" i="16" s="1"/>
  <c r="A8" i="15" a="1"/>
  <c r="B7" i="14"/>
  <c r="G7" i="14" s="1"/>
  <c r="G8" i="14"/>
  <c r="G9" i="14"/>
  <c r="G7" i="13"/>
  <c r="G8" i="13"/>
  <c r="G9" i="13"/>
  <c r="D14" i="25" l="1" a="1"/>
  <c r="D14" i="25" s="1"/>
  <c r="D18" i="25" s="1"/>
  <c r="D19" i="25" s="1"/>
  <c r="D12" i="26" a="1"/>
  <c r="D12" i="26" s="1"/>
  <c r="C33" i="26"/>
  <c r="I7" i="7"/>
  <c r="K8" i="7"/>
  <c r="L8" i="7"/>
  <c r="M8" i="7"/>
  <c r="L8" i="6"/>
  <c r="K8" i="6"/>
  <c r="I7" i="6"/>
  <c r="M8" i="6"/>
  <c r="J7" i="13" a="1"/>
  <c r="J7" i="13" s="1"/>
  <c r="A8" i="15"/>
  <c r="G8" i="15" s="1"/>
  <c r="G9" i="15"/>
  <c r="G10" i="15"/>
  <c r="G11" i="15"/>
  <c r="D25" i="12"/>
  <c r="D12" i="12"/>
  <c r="E6" i="12" s="1"/>
  <c r="D40" i="25"/>
  <c r="D41" i="25"/>
  <c r="E30" i="25"/>
  <c r="E31" i="25"/>
  <c r="E32" i="25"/>
  <c r="G8" i="3"/>
  <c r="G9" i="3"/>
  <c r="G10" i="3"/>
  <c r="G11" i="3"/>
  <c r="D19" i="24"/>
  <c r="D20" i="24"/>
  <c r="E9" i="24"/>
  <c r="E10" i="24"/>
  <c r="E11" i="24"/>
  <c r="D40" i="24"/>
  <c r="D41" i="24"/>
  <c r="E30" i="24"/>
  <c r="E31" i="24"/>
  <c r="E32" i="24"/>
  <c r="D31" i="5"/>
  <c r="D32" i="5"/>
  <c r="D30" i="5"/>
  <c r="D29" i="5"/>
  <c r="D35" i="5" s="1" a="1"/>
  <c r="D14" i="5"/>
  <c r="K15" i="1"/>
  <c r="L7" i="1"/>
  <c r="D16" i="22"/>
  <c r="D17" i="22"/>
  <c r="E8" i="22"/>
  <c r="E9" i="22"/>
  <c r="D34" i="22"/>
  <c r="D35" i="22"/>
  <c r="E26" i="22"/>
  <c r="E27" i="22"/>
  <c r="D13" i="21"/>
  <c r="D14" i="21"/>
  <c r="E7" i="21"/>
  <c r="E10" i="21" s="1" a="1"/>
  <c r="E10" i="21" s="1"/>
  <c r="D28" i="21"/>
  <c r="D29" i="21"/>
  <c r="E22" i="21"/>
  <c r="E25" i="21" s="1" a="1"/>
  <c r="E25" i="21" s="1"/>
  <c r="E26" i="19"/>
  <c r="E27" i="19"/>
  <c r="D34" i="19"/>
  <c r="D35" i="19"/>
  <c r="D16" i="19"/>
  <c r="D17" i="19"/>
  <c r="E8" i="19"/>
  <c r="E9" i="19"/>
  <c r="B7" i="17"/>
  <c r="G7" i="17" s="1"/>
  <c r="G8" i="17"/>
  <c r="G9" i="17"/>
  <c r="L10" i="16"/>
  <c r="M10" i="16"/>
  <c r="N7" i="16"/>
  <c r="N10" i="16" s="1"/>
  <c r="M12" i="16" a="1"/>
  <c r="M12" i="16" s="1"/>
  <c r="M14" i="16" s="1"/>
  <c r="N8" i="14"/>
  <c r="L8" i="14"/>
  <c r="N9" i="14"/>
  <c r="M8" i="14"/>
  <c r="E11" i="25" l="1"/>
  <c r="D20" i="25"/>
  <c r="E9" i="25"/>
  <c r="E8" i="25"/>
  <c r="E10" i="25"/>
  <c r="D15" i="26"/>
  <c r="E7" i="26" s="1"/>
  <c r="D27" i="26"/>
  <c r="D26" i="26"/>
  <c r="D25" i="26"/>
  <c r="M7" i="7"/>
  <c r="M9" i="7" s="1"/>
  <c r="K7" i="7"/>
  <c r="K9" i="7" s="1"/>
  <c r="L7" i="7"/>
  <c r="L9" i="7" s="1"/>
  <c r="K11" i="7" a="1"/>
  <c r="K11" i="7" s="1"/>
  <c r="K13" i="7" s="1"/>
  <c r="L7" i="6"/>
  <c r="L9" i="6" s="1"/>
  <c r="K11" i="6" a="1"/>
  <c r="K11" i="6" s="1"/>
  <c r="K13" i="6" s="1"/>
  <c r="K7" i="6"/>
  <c r="K9" i="6" s="1"/>
  <c r="M7" i="6"/>
  <c r="J8" i="3" a="1"/>
  <c r="N8" i="13"/>
  <c r="N9" i="13"/>
  <c r="M9" i="13"/>
  <c r="L9" i="13"/>
  <c r="L8" i="13"/>
  <c r="D27" i="12"/>
  <c r="E21" i="12" s="1"/>
  <c r="D13" i="12"/>
  <c r="D14" i="12"/>
  <c r="E7" i="12"/>
  <c r="E10" i="12" s="1" a="1"/>
  <c r="E35" i="25" a="1"/>
  <c r="E35" i="25" s="1"/>
  <c r="E35" i="24" a="1"/>
  <c r="E35" i="24" s="1"/>
  <c r="E14" i="24" a="1"/>
  <c r="E14" i="24" s="1"/>
  <c r="D35" i="5"/>
  <c r="D18" i="5"/>
  <c r="K16" i="1"/>
  <c r="K17" i="1"/>
  <c r="L9" i="1"/>
  <c r="L8" i="1"/>
  <c r="L12" i="1" s="1" a="1"/>
  <c r="L12" i="1" s="1"/>
  <c r="L15" i="1" s="1"/>
  <c r="E30" i="22" a="1"/>
  <c r="E30" i="22" s="1"/>
  <c r="E12" i="22" a="1"/>
  <c r="E12" i="22" s="1"/>
  <c r="E27" i="21"/>
  <c r="F21" i="21" s="1"/>
  <c r="E12" i="21"/>
  <c r="F6" i="21" s="1"/>
  <c r="E30" i="19" a="1"/>
  <c r="E30" i="19" s="1"/>
  <c r="E12" i="19" a="1"/>
  <c r="E12" i="19" s="1"/>
  <c r="J7" i="17" a="1"/>
  <c r="N13" i="16"/>
  <c r="N14" i="16" s="1"/>
  <c r="M16" i="16"/>
  <c r="N15" i="16" s="1"/>
  <c r="N7" i="14"/>
  <c r="N10" i="14" s="1"/>
  <c r="M7" i="14"/>
  <c r="M10" i="14" s="1"/>
  <c r="M12" i="14" a="1"/>
  <c r="L7" i="14"/>
  <c r="L10" i="14" s="1"/>
  <c r="M8" i="13"/>
  <c r="M7" i="13"/>
  <c r="M10" i="13" s="1"/>
  <c r="E14" i="25" l="1" a="1"/>
  <c r="E14" i="25" s="1"/>
  <c r="E18" i="25" s="1"/>
  <c r="F8" i="25" s="1"/>
  <c r="D17" i="26"/>
  <c r="D16" i="26"/>
  <c r="E8" i="26"/>
  <c r="E9" i="26"/>
  <c r="D30" i="26" a="1"/>
  <c r="L12" i="7"/>
  <c r="L13" i="7" s="1"/>
  <c r="M12" i="7" s="1"/>
  <c r="M13" i="7" s="1"/>
  <c r="K15" i="7"/>
  <c r="L14" i="7" s="1"/>
  <c r="L15" i="7" s="1"/>
  <c r="L12" i="6"/>
  <c r="L13" i="6" s="1"/>
  <c r="K15" i="6"/>
  <c r="L14" i="6" s="1"/>
  <c r="J8" i="3"/>
  <c r="N11" i="3"/>
  <c r="N10" i="3"/>
  <c r="N9" i="3"/>
  <c r="N12" i="3" s="1"/>
  <c r="M11" i="3"/>
  <c r="L9" i="3"/>
  <c r="L10" i="3"/>
  <c r="L11" i="3"/>
  <c r="N7" i="13"/>
  <c r="N10" i="13" s="1"/>
  <c r="M12" i="13" a="1"/>
  <c r="L7" i="13"/>
  <c r="L10" i="13" s="1"/>
  <c r="D29" i="12"/>
  <c r="D28" i="12"/>
  <c r="E22" i="12"/>
  <c r="E25" i="12" s="1" a="1"/>
  <c r="E10" i="12"/>
  <c r="E39" i="25"/>
  <c r="F29" i="25" s="1"/>
  <c r="M10" i="3"/>
  <c r="M9" i="3"/>
  <c r="M12" i="3" s="1"/>
  <c r="E18" i="24"/>
  <c r="F8" i="24"/>
  <c r="E39" i="24"/>
  <c r="F29" i="24"/>
  <c r="D39" i="5"/>
  <c r="D19" i="5"/>
  <c r="D20" i="5"/>
  <c r="E9" i="5"/>
  <c r="E10" i="5"/>
  <c r="E11" i="5"/>
  <c r="E8" i="5"/>
  <c r="E14" i="5" s="1" a="1"/>
  <c r="L17" i="1"/>
  <c r="L16" i="1"/>
  <c r="E15" i="22"/>
  <c r="F7" i="22"/>
  <c r="E33" i="22"/>
  <c r="F25" i="22" s="1"/>
  <c r="E13" i="21"/>
  <c r="E14" i="21"/>
  <c r="F7" i="21"/>
  <c r="F10" i="21" s="1" a="1"/>
  <c r="F10" i="21" s="1"/>
  <c r="E28" i="21"/>
  <c r="E29" i="21"/>
  <c r="F22" i="21"/>
  <c r="F25" i="21" s="1" a="1"/>
  <c r="F25" i="21" s="1"/>
  <c r="E33" i="19"/>
  <c r="F25" i="19"/>
  <c r="E15" i="19"/>
  <c r="F7" i="19"/>
  <c r="J7" i="17"/>
  <c r="L8" i="17"/>
  <c r="M8" i="17"/>
  <c r="N8" i="17"/>
  <c r="L9" i="17"/>
  <c r="M9" i="17"/>
  <c r="N9" i="17"/>
  <c r="O13" i="16"/>
  <c r="O14" i="16" s="1"/>
  <c r="N16" i="16"/>
  <c r="O15" i="16" s="1"/>
  <c r="M12" i="14"/>
  <c r="M14" i="14" s="1"/>
  <c r="N13" i="14" s="1"/>
  <c r="N14" i="14" s="1"/>
  <c r="O13" i="14" s="1"/>
  <c r="E12" i="26" l="1" a="1"/>
  <c r="E12" i="26" s="1"/>
  <c r="D30" i="26"/>
  <c r="M12" i="6"/>
  <c r="M13" i="6" s="1"/>
  <c r="L15" i="6"/>
  <c r="M14" i="3" a="1"/>
  <c r="L8" i="3"/>
  <c r="L12" i="3" s="1"/>
  <c r="M12" i="13"/>
  <c r="M14" i="13" s="1"/>
  <c r="N13" i="13" s="1"/>
  <c r="N14" i="13"/>
  <c r="N12" i="15"/>
  <c r="L8" i="15"/>
  <c r="L12" i="15" s="1"/>
  <c r="M12" i="15"/>
  <c r="M14" i="15" a="1"/>
  <c r="E25" i="12"/>
  <c r="E12" i="12"/>
  <c r="F6" i="12" s="1"/>
  <c r="E40" i="25"/>
  <c r="E41" i="25"/>
  <c r="F30" i="25"/>
  <c r="F31" i="25"/>
  <c r="F32" i="25"/>
  <c r="E19" i="25"/>
  <c r="E20" i="25"/>
  <c r="F9" i="25"/>
  <c r="F10" i="25"/>
  <c r="F11" i="25"/>
  <c r="E40" i="24"/>
  <c r="E41" i="24"/>
  <c r="F30" i="24"/>
  <c r="F31" i="24"/>
  <c r="F32" i="24"/>
  <c r="E19" i="24"/>
  <c r="E20" i="24"/>
  <c r="F9" i="24"/>
  <c r="F10" i="24"/>
  <c r="F11" i="24"/>
  <c r="D41" i="5"/>
  <c r="D40" i="5"/>
  <c r="E30" i="5"/>
  <c r="E31" i="5"/>
  <c r="E32" i="5"/>
  <c r="E29" i="5"/>
  <c r="E35" i="5" s="1" a="1"/>
  <c r="E35" i="5" s="1"/>
  <c r="E39" i="5" s="1"/>
  <c r="E41" i="5"/>
  <c r="F30" i="5"/>
  <c r="F31" i="5"/>
  <c r="F32" i="5"/>
  <c r="F29" i="5"/>
  <c r="E14" i="5"/>
  <c r="E40" i="5"/>
  <c r="E34" i="22"/>
  <c r="E35" i="22"/>
  <c r="F26" i="22"/>
  <c r="F27" i="22"/>
  <c r="E16" i="22"/>
  <c r="E17" i="22"/>
  <c r="F8" i="22"/>
  <c r="F9" i="22"/>
  <c r="F27" i="21"/>
  <c r="G21" i="21" s="1"/>
  <c r="F12" i="21"/>
  <c r="G6" i="21" s="1"/>
  <c r="F26" i="19"/>
  <c r="F27" i="19"/>
  <c r="E34" i="19"/>
  <c r="E35" i="19"/>
  <c r="E16" i="19"/>
  <c r="E17" i="19"/>
  <c r="F8" i="19"/>
  <c r="F9" i="19"/>
  <c r="L7" i="17"/>
  <c r="L10" i="17" s="1"/>
  <c r="M7" i="17"/>
  <c r="M10" i="17" s="1"/>
  <c r="N7" i="17"/>
  <c r="N10" i="17" s="1"/>
  <c r="M12" i="17" a="1"/>
  <c r="M12" i="17" s="1"/>
  <c r="M14" i="17" s="1"/>
  <c r="P13" i="16"/>
  <c r="P14" i="16" s="1"/>
  <c r="O16" i="16"/>
  <c r="M16" i="14"/>
  <c r="N15" i="14" s="1"/>
  <c r="M16" i="13"/>
  <c r="N15" i="13" s="1"/>
  <c r="O13" i="13"/>
  <c r="E15" i="26" l="1"/>
  <c r="F7" i="26" s="1"/>
  <c r="D33" i="26"/>
  <c r="E25" i="26" s="1"/>
  <c r="M14" i="3"/>
  <c r="M14" i="15"/>
  <c r="M16" i="15" s="1"/>
  <c r="E27" i="12"/>
  <c r="F21" i="12" s="1"/>
  <c r="E14" i="12"/>
  <c r="E13" i="12"/>
  <c r="F7" i="12"/>
  <c r="F10" i="12" s="1" a="1"/>
  <c r="F14" i="25" a="1"/>
  <c r="F14" i="25" s="1"/>
  <c r="F35" i="25" a="1"/>
  <c r="F35" i="25" s="1"/>
  <c r="F14" i="24" a="1"/>
  <c r="F14" i="24" s="1"/>
  <c r="F35" i="24" a="1"/>
  <c r="F35" i="24" s="1"/>
  <c r="F35" i="5" a="1"/>
  <c r="E18" i="5"/>
  <c r="F8" i="5"/>
  <c r="F12" i="22" a="1"/>
  <c r="F12" i="22" s="1"/>
  <c r="F30" i="22" a="1"/>
  <c r="F30" i="22" s="1"/>
  <c r="F13" i="21"/>
  <c r="F14" i="21"/>
  <c r="G7" i="21"/>
  <c r="G10" i="21" s="1" a="1"/>
  <c r="G10" i="21" s="1"/>
  <c r="F28" i="21"/>
  <c r="F29" i="21"/>
  <c r="G22" i="21"/>
  <c r="G25" i="21" s="1" a="1"/>
  <c r="G25" i="21" s="1"/>
  <c r="F30" i="19" a="1"/>
  <c r="F30" i="19" s="1"/>
  <c r="F12" i="19" a="1"/>
  <c r="F12" i="19" s="1"/>
  <c r="N13" i="17"/>
  <c r="N14" i="17" s="1"/>
  <c r="M16" i="17"/>
  <c r="N15" i="17" s="1"/>
  <c r="N16" i="14"/>
  <c r="O15" i="14" s="1"/>
  <c r="O14" i="14"/>
  <c r="N16" i="13"/>
  <c r="O15" i="13" s="1"/>
  <c r="O14" i="13"/>
  <c r="P13" i="13" s="1"/>
  <c r="D34" i="26" l="1"/>
  <c r="D35" i="26"/>
  <c r="E27" i="26"/>
  <c r="E26" i="26"/>
  <c r="E17" i="26"/>
  <c r="E16" i="26"/>
  <c r="F9" i="26"/>
  <c r="F8" i="26"/>
  <c r="M18" i="3"/>
  <c r="N17" i="3" s="1"/>
  <c r="N15" i="3"/>
  <c r="N16" i="3" s="1"/>
  <c r="O15" i="3" s="1"/>
  <c r="O16" i="3" s="1"/>
  <c r="P15" i="3" s="1"/>
  <c r="P16" i="3" s="1"/>
  <c r="N15" i="15"/>
  <c r="N16" i="15" s="1"/>
  <c r="M18" i="15"/>
  <c r="N17" i="15" s="1"/>
  <c r="E29" i="12"/>
  <c r="E28" i="12"/>
  <c r="F22" i="12"/>
  <c r="F25" i="12" s="1" a="1"/>
  <c r="F10" i="12"/>
  <c r="F39" i="25"/>
  <c r="G29" i="25" s="1"/>
  <c r="F18" i="25"/>
  <c r="G8" i="25" s="1"/>
  <c r="F39" i="24"/>
  <c r="G29" i="24"/>
  <c r="F18" i="24"/>
  <c r="G8" i="24"/>
  <c r="F35" i="5"/>
  <c r="E19" i="5"/>
  <c r="E20" i="5"/>
  <c r="F9" i="5"/>
  <c r="F10" i="5"/>
  <c r="F11" i="5"/>
  <c r="F33" i="22"/>
  <c r="G25" i="22" s="1"/>
  <c r="F15" i="22"/>
  <c r="G7" i="22"/>
  <c r="G27" i="21"/>
  <c r="H21" i="21" s="1"/>
  <c r="G12" i="21"/>
  <c r="H6" i="21" s="1"/>
  <c r="F33" i="19"/>
  <c r="G25" i="19"/>
  <c r="F15" i="19"/>
  <c r="G7" i="19"/>
  <c r="O13" i="17"/>
  <c r="O14" i="17" s="1"/>
  <c r="N16" i="17"/>
  <c r="O15" i="17" s="1"/>
  <c r="O16" i="14"/>
  <c r="P13" i="14"/>
  <c r="P14" i="14" s="1"/>
  <c r="O16" i="13"/>
  <c r="P14" i="13"/>
  <c r="E30" i="26" l="1" a="1"/>
  <c r="E30" i="26" s="1"/>
  <c r="F12" i="26" a="1"/>
  <c r="F12" i="26" s="1"/>
  <c r="N18" i="15"/>
  <c r="O17" i="15" s="1"/>
  <c r="O15" i="15"/>
  <c r="O16" i="15" s="1"/>
  <c r="O18" i="15" s="1"/>
  <c r="F25" i="12"/>
  <c r="F12" i="12"/>
  <c r="G6" i="12" s="1"/>
  <c r="F19" i="25"/>
  <c r="F20" i="25"/>
  <c r="G9" i="25"/>
  <c r="G10" i="25"/>
  <c r="G11" i="25"/>
  <c r="F40" i="25"/>
  <c r="F41" i="25"/>
  <c r="G30" i="25"/>
  <c r="G31" i="25"/>
  <c r="G32" i="25"/>
  <c r="N18" i="3"/>
  <c r="O17" i="3" s="1"/>
  <c r="O18" i="3" s="1"/>
  <c r="F19" i="24"/>
  <c r="F20" i="24"/>
  <c r="G9" i="24"/>
  <c r="G10" i="24"/>
  <c r="G11" i="24"/>
  <c r="F40" i="24"/>
  <c r="F41" i="24"/>
  <c r="G30" i="24"/>
  <c r="G31" i="24"/>
  <c r="G32" i="24"/>
  <c r="F39" i="5"/>
  <c r="F14" i="5" a="1"/>
  <c r="F16" i="22"/>
  <c r="F17" i="22"/>
  <c r="G8" i="22"/>
  <c r="G9" i="22"/>
  <c r="F34" i="22"/>
  <c r="F35" i="22"/>
  <c r="G26" i="22"/>
  <c r="G27" i="22"/>
  <c r="G13" i="21"/>
  <c r="G14" i="21"/>
  <c r="H7" i="21"/>
  <c r="H10" i="21" s="1" a="1"/>
  <c r="H10" i="21" s="1"/>
  <c r="G28" i="21"/>
  <c r="G29" i="21"/>
  <c r="H22" i="21"/>
  <c r="H25" i="21" s="1" a="1"/>
  <c r="H25" i="21" s="1"/>
  <c r="G26" i="19"/>
  <c r="G27" i="19"/>
  <c r="F34" i="19"/>
  <c r="F35" i="19"/>
  <c r="F16" i="19"/>
  <c r="F17" i="19"/>
  <c r="G8" i="19"/>
  <c r="G9" i="19"/>
  <c r="P13" i="17"/>
  <c r="P14" i="17" s="1"/>
  <c r="O16" i="17"/>
  <c r="F15" i="26" l="1"/>
  <c r="E33" i="26"/>
  <c r="F25" i="26" s="1"/>
  <c r="P15" i="15"/>
  <c r="P16" i="15" s="1"/>
  <c r="Q15" i="15" s="1"/>
  <c r="Q16" i="15" s="1"/>
  <c r="F27" i="12"/>
  <c r="G21" i="12" s="1"/>
  <c r="F14" i="12"/>
  <c r="F13" i="12"/>
  <c r="G7" i="12"/>
  <c r="G10" i="12" s="1" a="1"/>
  <c r="G35" i="25" a="1"/>
  <c r="G35" i="25" s="1"/>
  <c r="G14" i="25" a="1"/>
  <c r="G14" i="25" s="1"/>
  <c r="Q15" i="3"/>
  <c r="Q16" i="3" s="1"/>
  <c r="G35" i="24" a="1"/>
  <c r="G35" i="24" s="1"/>
  <c r="G14" i="24" a="1"/>
  <c r="G14" i="24" s="1"/>
  <c r="G30" i="5"/>
  <c r="G31" i="5"/>
  <c r="G32" i="5"/>
  <c r="G29" i="5"/>
  <c r="F41" i="5"/>
  <c r="F40" i="5"/>
  <c r="F14" i="5"/>
  <c r="G30" i="22" a="1"/>
  <c r="G30" i="22" s="1"/>
  <c r="G12" i="22" a="1"/>
  <c r="G12" i="22" s="1"/>
  <c r="H27" i="21"/>
  <c r="I21" i="21" s="1"/>
  <c r="H12" i="21"/>
  <c r="I6" i="21" s="1"/>
  <c r="G30" i="19" a="1"/>
  <c r="G30" i="19" s="1"/>
  <c r="G12" i="19" a="1"/>
  <c r="G12" i="19" s="1"/>
  <c r="E35" i="26" l="1"/>
  <c r="E34" i="26"/>
  <c r="F26" i="26"/>
  <c r="F27" i="26"/>
  <c r="F17" i="26"/>
  <c r="F16" i="26"/>
  <c r="G8" i="26"/>
  <c r="G9" i="26"/>
  <c r="G7" i="26"/>
  <c r="F29" i="12"/>
  <c r="F28" i="12"/>
  <c r="G22" i="12"/>
  <c r="G25" i="12" s="1" a="1"/>
  <c r="G10" i="12"/>
  <c r="G18" i="25"/>
  <c r="H8" i="25" s="1"/>
  <c r="G39" i="25"/>
  <c r="H29" i="25" s="1"/>
  <c r="G18" i="24"/>
  <c r="H8" i="24"/>
  <c r="G39" i="24"/>
  <c r="H29" i="24"/>
  <c r="G35" i="5" a="1"/>
  <c r="F18" i="5"/>
  <c r="G8" i="5"/>
  <c r="G15" i="22"/>
  <c r="H7" i="22"/>
  <c r="G33" i="22"/>
  <c r="H25" i="22" s="1"/>
  <c r="H13" i="21"/>
  <c r="H14" i="21"/>
  <c r="I7" i="21"/>
  <c r="I10" i="21" s="1" a="1"/>
  <c r="I10" i="21" s="1"/>
  <c r="H28" i="21"/>
  <c r="H29" i="21"/>
  <c r="I22" i="21"/>
  <c r="I25" i="21" s="1" a="1"/>
  <c r="I25" i="21" s="1"/>
  <c r="G33" i="19"/>
  <c r="H25" i="19"/>
  <c r="G15" i="19"/>
  <c r="H7" i="19"/>
  <c r="F30" i="26" l="1" a="1"/>
  <c r="F30" i="26" s="1"/>
  <c r="G12" i="26" a="1"/>
  <c r="G25" i="12"/>
  <c r="G12" i="12"/>
  <c r="H6" i="12" s="1"/>
  <c r="G40" i="25"/>
  <c r="G41" i="25"/>
  <c r="H30" i="25"/>
  <c r="H31" i="25"/>
  <c r="H32" i="25"/>
  <c r="G19" i="25"/>
  <c r="G20" i="25"/>
  <c r="H9" i="25"/>
  <c r="H10" i="25"/>
  <c r="H11" i="25"/>
  <c r="G40" i="24"/>
  <c r="G41" i="24"/>
  <c r="H30" i="24"/>
  <c r="H31" i="24"/>
  <c r="H32" i="24"/>
  <c r="G19" i="24"/>
  <c r="G20" i="24"/>
  <c r="H9" i="24"/>
  <c r="H10" i="24"/>
  <c r="H11" i="24"/>
  <c r="G35" i="5"/>
  <c r="F19" i="5"/>
  <c r="F20" i="5"/>
  <c r="G9" i="5"/>
  <c r="G10" i="5"/>
  <c r="G11" i="5"/>
  <c r="G34" i="22"/>
  <c r="G35" i="22"/>
  <c r="H26" i="22"/>
  <c r="H27" i="22"/>
  <c r="G16" i="22"/>
  <c r="G17" i="22"/>
  <c r="H8" i="22"/>
  <c r="H9" i="22"/>
  <c r="I27" i="21"/>
  <c r="J21" i="21" s="1"/>
  <c r="I12" i="21"/>
  <c r="J6" i="21" s="1"/>
  <c r="H26" i="19"/>
  <c r="H27" i="19"/>
  <c r="G34" i="19"/>
  <c r="G35" i="19"/>
  <c r="G16" i="19"/>
  <c r="G17" i="19"/>
  <c r="H8" i="19"/>
  <c r="H9" i="19"/>
  <c r="G12" i="26" l="1"/>
  <c r="F33" i="26"/>
  <c r="G27" i="12"/>
  <c r="H21" i="12" s="1"/>
  <c r="G14" i="12"/>
  <c r="G13" i="12"/>
  <c r="H7" i="12"/>
  <c r="H10" i="12" s="1" a="1"/>
  <c r="H14" i="25" a="1"/>
  <c r="H14" i="25" s="1"/>
  <c r="H35" i="25" a="1"/>
  <c r="H35" i="25" s="1"/>
  <c r="H14" i="24" a="1"/>
  <c r="H14" i="24" s="1"/>
  <c r="H35" i="24" a="1"/>
  <c r="H35" i="24" s="1"/>
  <c r="G39" i="5"/>
  <c r="G14" i="5" a="1"/>
  <c r="H12" i="22" a="1"/>
  <c r="H12" i="22" s="1"/>
  <c r="H30" i="22" a="1"/>
  <c r="H30" i="22" s="1"/>
  <c r="I13" i="21"/>
  <c r="I14" i="21"/>
  <c r="J7" i="21"/>
  <c r="J10" i="21" s="1" a="1"/>
  <c r="J10" i="21" s="1"/>
  <c r="I28" i="21"/>
  <c r="I29" i="21"/>
  <c r="J22" i="21"/>
  <c r="J25" i="21" s="1" a="1"/>
  <c r="J25" i="21" s="1"/>
  <c r="H30" i="19" a="1"/>
  <c r="H30" i="19" s="1"/>
  <c r="H12" i="19" a="1"/>
  <c r="H12" i="19" s="1"/>
  <c r="F35" i="26" l="1"/>
  <c r="F34" i="26"/>
  <c r="G27" i="26"/>
  <c r="G26" i="26"/>
  <c r="G25" i="26"/>
  <c r="G15" i="26"/>
  <c r="G29" i="12"/>
  <c r="G28" i="12"/>
  <c r="H22" i="12"/>
  <c r="H25" i="12" s="1" a="1"/>
  <c r="H10" i="12"/>
  <c r="H39" i="25"/>
  <c r="I29" i="25" s="1"/>
  <c r="H18" i="25"/>
  <c r="I8" i="25" s="1"/>
  <c r="H39" i="24"/>
  <c r="I29" i="24"/>
  <c r="H18" i="24"/>
  <c r="I8" i="24"/>
  <c r="H30" i="5"/>
  <c r="H31" i="5"/>
  <c r="H32" i="5"/>
  <c r="H29" i="5"/>
  <c r="G41" i="5"/>
  <c r="G40" i="5"/>
  <c r="G14" i="5"/>
  <c r="H33" i="22"/>
  <c r="I25" i="22" s="1"/>
  <c r="H15" i="22"/>
  <c r="I7" i="22"/>
  <c r="J27" i="21"/>
  <c r="K21" i="21" s="1"/>
  <c r="J12" i="21"/>
  <c r="K6" i="21" s="1"/>
  <c r="H33" i="19"/>
  <c r="I25" i="19"/>
  <c r="H15" i="19"/>
  <c r="I7" i="19"/>
  <c r="G17" i="26" l="1"/>
  <c r="G16" i="26"/>
  <c r="H8" i="26"/>
  <c r="H9" i="26"/>
  <c r="H7" i="26"/>
  <c r="G30" i="26" a="1"/>
  <c r="H25" i="12"/>
  <c r="H12" i="12"/>
  <c r="I6" i="12" s="1"/>
  <c r="H19" i="25"/>
  <c r="H20" i="25"/>
  <c r="I9" i="25"/>
  <c r="I10" i="25"/>
  <c r="I11" i="25"/>
  <c r="H40" i="25"/>
  <c r="H41" i="25"/>
  <c r="I30" i="25"/>
  <c r="I31" i="25"/>
  <c r="I32" i="25"/>
  <c r="H19" i="24"/>
  <c r="H20" i="24"/>
  <c r="I9" i="24"/>
  <c r="I10" i="24"/>
  <c r="I11" i="24"/>
  <c r="H40" i="24"/>
  <c r="H41" i="24"/>
  <c r="I30" i="24"/>
  <c r="I31" i="24"/>
  <c r="I32" i="24"/>
  <c r="H35" i="5" a="1"/>
  <c r="G18" i="5"/>
  <c r="H8" i="5"/>
  <c r="H16" i="22"/>
  <c r="H17" i="22"/>
  <c r="I8" i="22"/>
  <c r="I9" i="22"/>
  <c r="H34" i="22"/>
  <c r="H35" i="22"/>
  <c r="I26" i="22"/>
  <c r="I27" i="22"/>
  <c r="J13" i="21"/>
  <c r="J14" i="21"/>
  <c r="K7" i="21"/>
  <c r="K10" i="21" s="1" a="1"/>
  <c r="K10" i="21" s="1"/>
  <c r="J28" i="21"/>
  <c r="J29" i="21"/>
  <c r="K22" i="21"/>
  <c r="K25" i="21" s="1" a="1"/>
  <c r="K25" i="21" s="1"/>
  <c r="I26" i="19"/>
  <c r="I27" i="19"/>
  <c r="H34" i="19"/>
  <c r="H35" i="19"/>
  <c r="H16" i="19"/>
  <c r="H17" i="19"/>
  <c r="I8" i="19"/>
  <c r="I9" i="19"/>
  <c r="G30" i="26" l="1"/>
  <c r="H12" i="26" a="1"/>
  <c r="H27" i="12"/>
  <c r="I21" i="12" s="1"/>
  <c r="H14" i="12"/>
  <c r="H13" i="12"/>
  <c r="I7" i="12"/>
  <c r="I10" i="12" s="1" a="1"/>
  <c r="I35" i="25" a="1"/>
  <c r="I35" i="25" s="1"/>
  <c r="I14" i="25" a="1"/>
  <c r="I14" i="25" s="1"/>
  <c r="I35" i="24" a="1"/>
  <c r="I35" i="24" s="1"/>
  <c r="I14" i="24" a="1"/>
  <c r="I14" i="24" s="1"/>
  <c r="H35" i="5"/>
  <c r="G19" i="5"/>
  <c r="G20" i="5"/>
  <c r="H9" i="5"/>
  <c r="H10" i="5"/>
  <c r="H11" i="5"/>
  <c r="I30" i="22" a="1"/>
  <c r="I30" i="22" s="1"/>
  <c r="I12" i="22" a="1"/>
  <c r="I12" i="22" s="1"/>
  <c r="K27" i="21"/>
  <c r="L21" i="21" s="1"/>
  <c r="K12" i="21"/>
  <c r="L6" i="21" s="1"/>
  <c r="I30" i="19" a="1"/>
  <c r="I30" i="19" s="1"/>
  <c r="I12" i="19" a="1"/>
  <c r="I12" i="19" s="1"/>
  <c r="H12" i="26" l="1"/>
  <c r="G33" i="26"/>
  <c r="H29" i="12"/>
  <c r="H28" i="12"/>
  <c r="I22" i="12"/>
  <c r="I25" i="12" s="1" a="1"/>
  <c r="I10" i="12"/>
  <c r="I18" i="25"/>
  <c r="J8" i="25" s="1"/>
  <c r="I39" i="25"/>
  <c r="J29" i="25" s="1"/>
  <c r="I18" i="24"/>
  <c r="J8" i="24"/>
  <c r="I39" i="24"/>
  <c r="J29" i="24"/>
  <c r="H39" i="5"/>
  <c r="H14" i="5" a="1"/>
  <c r="I15" i="22"/>
  <c r="J7" i="22"/>
  <c r="I33" i="22"/>
  <c r="J25" i="22" s="1"/>
  <c r="K13" i="21"/>
  <c r="K14" i="21"/>
  <c r="L7" i="21"/>
  <c r="L10" i="21" s="1" a="1"/>
  <c r="L10" i="21" s="1"/>
  <c r="L12" i="21" s="1"/>
  <c r="K28" i="21"/>
  <c r="K29" i="21"/>
  <c r="L22" i="21"/>
  <c r="L25" i="21" s="1" a="1"/>
  <c r="L25" i="21" s="1"/>
  <c r="L27" i="21" s="1"/>
  <c r="I33" i="19"/>
  <c r="J25" i="19"/>
  <c r="I15" i="19"/>
  <c r="J7" i="19"/>
  <c r="H15" i="26" l="1"/>
  <c r="I7" i="26" s="1"/>
  <c r="G35" i="26"/>
  <c r="G34" i="26"/>
  <c r="H26" i="26"/>
  <c r="H27" i="26"/>
  <c r="H25" i="26"/>
  <c r="H30" i="26" s="1" a="1"/>
  <c r="I25" i="12"/>
  <c r="I12" i="12"/>
  <c r="J6" i="12" s="1"/>
  <c r="I40" i="25"/>
  <c r="I41" i="25"/>
  <c r="J30" i="25"/>
  <c r="J31" i="25"/>
  <c r="J32" i="25"/>
  <c r="I19" i="25"/>
  <c r="I20" i="25"/>
  <c r="J9" i="25"/>
  <c r="J10" i="25"/>
  <c r="J11" i="25"/>
  <c r="I40" i="24"/>
  <c r="I41" i="24"/>
  <c r="J30" i="24"/>
  <c r="J31" i="24"/>
  <c r="J32" i="24"/>
  <c r="I19" i="24"/>
  <c r="I20" i="24"/>
  <c r="J9" i="24"/>
  <c r="J10" i="24"/>
  <c r="J11" i="24"/>
  <c r="I30" i="5"/>
  <c r="I31" i="5"/>
  <c r="I32" i="5"/>
  <c r="I29" i="5"/>
  <c r="H41" i="5"/>
  <c r="H40" i="5"/>
  <c r="H14" i="5"/>
  <c r="I34" i="22"/>
  <c r="I35" i="22"/>
  <c r="J26" i="22"/>
  <c r="J27" i="22"/>
  <c r="I16" i="22"/>
  <c r="I17" i="22"/>
  <c r="J8" i="22"/>
  <c r="J9" i="22"/>
  <c r="L28" i="21"/>
  <c r="L29" i="21"/>
  <c r="L13" i="21"/>
  <c r="L14" i="21"/>
  <c r="J26" i="19"/>
  <c r="J27" i="19"/>
  <c r="I34" i="19"/>
  <c r="I35" i="19"/>
  <c r="I16" i="19"/>
  <c r="I17" i="19"/>
  <c r="J8" i="19"/>
  <c r="J9" i="19"/>
  <c r="H30" i="26" l="1"/>
  <c r="H16" i="26"/>
  <c r="H17" i="26"/>
  <c r="I8" i="26"/>
  <c r="I9" i="26"/>
  <c r="I27" i="12"/>
  <c r="J21" i="12" s="1"/>
  <c r="I14" i="12"/>
  <c r="I13" i="12"/>
  <c r="J7" i="12"/>
  <c r="J10" i="12" s="1" a="1"/>
  <c r="J14" i="25" a="1"/>
  <c r="J14" i="25" s="1"/>
  <c r="J35" i="25" a="1"/>
  <c r="J35" i="25" s="1"/>
  <c r="J14" i="24" a="1"/>
  <c r="J14" i="24" s="1"/>
  <c r="J35" i="24" a="1"/>
  <c r="J35" i="24" s="1"/>
  <c r="I35" i="5" a="1"/>
  <c r="H18" i="5"/>
  <c r="I8" i="5"/>
  <c r="J12" i="22" a="1"/>
  <c r="J12" i="22" s="1"/>
  <c r="J30" i="22" a="1"/>
  <c r="J30" i="22" s="1"/>
  <c r="J30" i="19" a="1"/>
  <c r="J30" i="19" s="1"/>
  <c r="J12" i="19" a="1"/>
  <c r="J12" i="19" s="1"/>
  <c r="I12" i="26" l="1" a="1"/>
  <c r="I12" i="26" s="1"/>
  <c r="H33" i="26"/>
  <c r="I25" i="26" s="1"/>
  <c r="I29" i="12"/>
  <c r="I28" i="12"/>
  <c r="J22" i="12"/>
  <c r="J25" i="12" s="1" a="1"/>
  <c r="J10" i="12"/>
  <c r="J39" i="25"/>
  <c r="K29" i="25" s="1"/>
  <c r="J18" i="25"/>
  <c r="K8" i="25" s="1"/>
  <c r="J39" i="24"/>
  <c r="K29" i="24"/>
  <c r="J18" i="24"/>
  <c r="K8" i="24"/>
  <c r="I35" i="5"/>
  <c r="H19" i="5"/>
  <c r="H20" i="5"/>
  <c r="I9" i="5"/>
  <c r="I10" i="5"/>
  <c r="I11" i="5"/>
  <c r="J33" i="22"/>
  <c r="K25" i="22" s="1"/>
  <c r="J15" i="22"/>
  <c r="K7" i="22"/>
  <c r="J33" i="19"/>
  <c r="K25" i="19"/>
  <c r="J15" i="19"/>
  <c r="K7" i="19"/>
  <c r="H35" i="26" l="1"/>
  <c r="H34" i="26"/>
  <c r="I27" i="26"/>
  <c r="I26" i="26"/>
  <c r="I15" i="26"/>
  <c r="J7" i="26" s="1"/>
  <c r="J25" i="12"/>
  <c r="J12" i="12"/>
  <c r="K6" i="12" s="1"/>
  <c r="J19" i="25"/>
  <c r="J20" i="25"/>
  <c r="K9" i="25"/>
  <c r="K10" i="25"/>
  <c r="K11" i="25"/>
  <c r="J40" i="25"/>
  <c r="J41" i="25"/>
  <c r="K30" i="25"/>
  <c r="K31" i="25"/>
  <c r="K32" i="25"/>
  <c r="J19" i="24"/>
  <c r="J20" i="24"/>
  <c r="K9" i="24"/>
  <c r="K10" i="24"/>
  <c r="K11" i="24"/>
  <c r="J40" i="24"/>
  <c r="J41" i="24"/>
  <c r="K30" i="24"/>
  <c r="K31" i="24"/>
  <c r="K32" i="24"/>
  <c r="I39" i="5"/>
  <c r="I14" i="5" a="1"/>
  <c r="J16" i="22"/>
  <c r="J17" i="22"/>
  <c r="K8" i="22"/>
  <c r="K9" i="22"/>
  <c r="J34" i="22"/>
  <c r="J35" i="22"/>
  <c r="K26" i="22"/>
  <c r="K27" i="22"/>
  <c r="K26" i="19"/>
  <c r="K27" i="19"/>
  <c r="J34" i="19"/>
  <c r="J35" i="19"/>
  <c r="J16" i="19"/>
  <c r="J17" i="19"/>
  <c r="K8" i="19"/>
  <c r="K9" i="19"/>
  <c r="I30" i="26" l="1" a="1"/>
  <c r="I30" i="26" s="1"/>
  <c r="I17" i="26"/>
  <c r="I16" i="26"/>
  <c r="J9" i="26"/>
  <c r="J8" i="26"/>
  <c r="J12" i="26" s="1" a="1"/>
  <c r="J27" i="12"/>
  <c r="K21" i="12" s="1"/>
  <c r="J14" i="12"/>
  <c r="J13" i="12"/>
  <c r="K7" i="12"/>
  <c r="K10" i="12" s="1" a="1"/>
  <c r="K35" i="25" a="1"/>
  <c r="K35" i="25" s="1"/>
  <c r="K14" i="25" a="1"/>
  <c r="K14" i="25" s="1"/>
  <c r="K35" i="24" a="1"/>
  <c r="K35" i="24" s="1"/>
  <c r="K14" i="24" a="1"/>
  <c r="K14" i="24" s="1"/>
  <c r="J30" i="5"/>
  <c r="J31" i="5"/>
  <c r="J32" i="5"/>
  <c r="J29" i="5"/>
  <c r="I41" i="5"/>
  <c r="I40" i="5"/>
  <c r="I14" i="5"/>
  <c r="K30" i="22" a="1"/>
  <c r="K30" i="22" s="1"/>
  <c r="K12" i="22" a="1"/>
  <c r="K12" i="22" s="1"/>
  <c r="K30" i="19" a="1"/>
  <c r="K30" i="19" s="1"/>
  <c r="K12" i="19" a="1"/>
  <c r="K12" i="19" s="1"/>
  <c r="J12" i="26" l="1"/>
  <c r="I33" i="26"/>
  <c r="J29" i="12"/>
  <c r="J28" i="12"/>
  <c r="K22" i="12"/>
  <c r="K25" i="12" s="1" a="1"/>
  <c r="K10" i="12"/>
  <c r="K18" i="25"/>
  <c r="L8" i="25" s="1"/>
  <c r="K39" i="25"/>
  <c r="L29" i="25" s="1"/>
  <c r="K18" i="24"/>
  <c r="L8" i="24"/>
  <c r="K39" i="24"/>
  <c r="L29" i="24"/>
  <c r="J35" i="5" a="1"/>
  <c r="I18" i="5"/>
  <c r="J8" i="5"/>
  <c r="K15" i="22"/>
  <c r="L7" i="22"/>
  <c r="K33" i="22"/>
  <c r="K33" i="19"/>
  <c r="L25" i="19"/>
  <c r="K15" i="19"/>
  <c r="L7" i="19"/>
  <c r="I35" i="26" l="1"/>
  <c r="I34" i="26"/>
  <c r="J27" i="26"/>
  <c r="J26" i="26"/>
  <c r="J25" i="26"/>
  <c r="J15" i="26"/>
  <c r="K25" i="12"/>
  <c r="K12" i="12"/>
  <c r="L6" i="12" s="1"/>
  <c r="K40" i="25"/>
  <c r="K41" i="25"/>
  <c r="L30" i="25"/>
  <c r="L31" i="25"/>
  <c r="L32" i="25"/>
  <c r="K19" i="25"/>
  <c r="K20" i="25"/>
  <c r="L9" i="25"/>
  <c r="L10" i="25"/>
  <c r="L11" i="25"/>
  <c r="K40" i="24"/>
  <c r="K41" i="24"/>
  <c r="L30" i="24"/>
  <c r="L31" i="24"/>
  <c r="L32" i="24"/>
  <c r="K19" i="24"/>
  <c r="K20" i="24"/>
  <c r="L9" i="24"/>
  <c r="L10" i="24"/>
  <c r="L11" i="24"/>
  <c r="J35" i="5"/>
  <c r="I19" i="5"/>
  <c r="I20" i="5"/>
  <c r="J9" i="5"/>
  <c r="J10" i="5"/>
  <c r="J11" i="5"/>
  <c r="K34" i="22"/>
  <c r="K35" i="22"/>
  <c r="K16" i="22"/>
  <c r="K17" i="22"/>
  <c r="L8" i="22"/>
  <c r="L9" i="22"/>
  <c r="L26" i="19"/>
  <c r="L27" i="19"/>
  <c r="K34" i="19"/>
  <c r="K35" i="19"/>
  <c r="K16" i="19"/>
  <c r="K17" i="19"/>
  <c r="L8" i="19"/>
  <c r="L9" i="19"/>
  <c r="J30" i="26" l="1" a="1"/>
  <c r="J30" i="26" s="1"/>
  <c r="J17" i="26"/>
  <c r="J16" i="26"/>
  <c r="K9" i="26"/>
  <c r="K8" i="26"/>
  <c r="K7" i="26"/>
  <c r="K27" i="12"/>
  <c r="L21" i="12" s="1"/>
  <c r="K14" i="12"/>
  <c r="K13" i="12"/>
  <c r="L7" i="12"/>
  <c r="L10" i="12" s="1" a="1"/>
  <c r="L10" i="12" s="1"/>
  <c r="L12" i="12" s="1"/>
  <c r="L14" i="25" a="1"/>
  <c r="L14" i="25" s="1"/>
  <c r="L18" i="25" s="1"/>
  <c r="L35" i="25" a="1"/>
  <c r="L35" i="25" s="1"/>
  <c r="L39" i="25" s="1"/>
  <c r="L14" i="24" a="1"/>
  <c r="L14" i="24" s="1"/>
  <c r="L18" i="24" s="1"/>
  <c r="L35" i="24" a="1"/>
  <c r="L35" i="24" s="1"/>
  <c r="L39" i="24" s="1"/>
  <c r="J39" i="5"/>
  <c r="J14" i="5" a="1"/>
  <c r="L12" i="22" a="1"/>
  <c r="L12" i="22" s="1"/>
  <c r="L15" i="22" s="1"/>
  <c r="L30" i="22" a="1"/>
  <c r="L30" i="22" s="1"/>
  <c r="L33" i="22" s="1"/>
  <c r="L30" i="19" a="1"/>
  <c r="L30" i="19" s="1"/>
  <c r="L33" i="19" s="1"/>
  <c r="L12" i="19" a="1"/>
  <c r="L12" i="19" s="1"/>
  <c r="L15" i="19" s="1"/>
  <c r="K12" i="26" l="1" a="1"/>
  <c r="K12" i="26" s="1"/>
  <c r="J33" i="26"/>
  <c r="K25" i="26" s="1"/>
  <c r="K29" i="12"/>
  <c r="K28" i="12"/>
  <c r="L22" i="12"/>
  <c r="L25" i="12" s="1" a="1"/>
  <c r="L25" i="12" s="1"/>
  <c r="L27" i="12" s="1"/>
  <c r="L14" i="12"/>
  <c r="L13" i="12"/>
  <c r="L40" i="25"/>
  <c r="L41" i="25"/>
  <c r="L19" i="25"/>
  <c r="L20" i="25"/>
  <c r="L40" i="24"/>
  <c r="L41" i="24"/>
  <c r="L19" i="24"/>
  <c r="L20" i="24"/>
  <c r="K30" i="5"/>
  <c r="K31" i="5"/>
  <c r="K32" i="5"/>
  <c r="K29" i="5"/>
  <c r="J41" i="5"/>
  <c r="J40" i="5"/>
  <c r="J14" i="5"/>
  <c r="L34" i="22"/>
  <c r="L35" i="22"/>
  <c r="L16" i="22"/>
  <c r="L17" i="22"/>
  <c r="L34" i="19"/>
  <c r="L35" i="19"/>
  <c r="L16" i="19"/>
  <c r="L17" i="19"/>
  <c r="J35" i="26" l="1"/>
  <c r="J34" i="26"/>
  <c r="K26" i="26"/>
  <c r="K27" i="26"/>
  <c r="K15" i="26"/>
  <c r="L7" i="26" s="1"/>
  <c r="L29" i="12"/>
  <c r="L28" i="12"/>
  <c r="K35" i="5" a="1"/>
  <c r="J18" i="5"/>
  <c r="K8" i="5"/>
  <c r="K30" i="26" l="1" a="1"/>
  <c r="K30" i="26" s="1"/>
  <c r="K17" i="26"/>
  <c r="K16" i="26"/>
  <c r="L8" i="26"/>
  <c r="L9" i="26"/>
  <c r="K35" i="5"/>
  <c r="J19" i="5"/>
  <c r="J20" i="5"/>
  <c r="K9" i="5"/>
  <c r="K10" i="5"/>
  <c r="K11" i="5"/>
  <c r="L12" i="26" l="1" a="1"/>
  <c r="L12" i="26" s="1"/>
  <c r="L15" i="26" s="1"/>
  <c r="L17" i="26" s="1"/>
  <c r="K33" i="26"/>
  <c r="K39" i="5"/>
  <c r="K14" i="5" a="1"/>
  <c r="L16" i="26" l="1"/>
  <c r="K35" i="26"/>
  <c r="K34" i="26"/>
  <c r="L26" i="26"/>
  <c r="L27" i="26"/>
  <c r="L25" i="26"/>
  <c r="L30" i="5"/>
  <c r="L31" i="5"/>
  <c r="L32" i="5"/>
  <c r="L29" i="5"/>
  <c r="K41" i="5"/>
  <c r="K40" i="5"/>
  <c r="K14" i="5"/>
  <c r="L30" i="26" l="1" a="1"/>
  <c r="L30" i="26" s="1"/>
  <c r="L33" i="26" s="1"/>
  <c r="L34" i="26" s="1"/>
  <c r="L35" i="5" a="1"/>
  <c r="L35" i="5" s="1"/>
  <c r="L39" i="5" s="1"/>
  <c r="K18" i="5"/>
  <c r="L8" i="5"/>
  <c r="L35" i="26" l="1"/>
  <c r="L41" i="5"/>
  <c r="L40" i="5"/>
  <c r="K19" i="5"/>
  <c r="K20" i="5"/>
  <c r="L9" i="5"/>
  <c r="L10" i="5"/>
  <c r="L11" i="5"/>
  <c r="L14" i="5" l="1" a="1"/>
  <c r="L14" i="5" s="1"/>
  <c r="L18" i="5" s="1"/>
  <c r="L19" i="5" l="1"/>
  <c r="L2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<sst xmlns="http://schemas.openxmlformats.org/spreadsheetml/2006/main" count="770" uniqueCount="100">
  <si>
    <t>KRYLOV</t>
  </si>
  <si>
    <t>A</t>
  </si>
  <si>
    <t>Y</t>
  </si>
  <si>
    <t>λmax</t>
  </si>
  <si>
    <t>λmin</t>
  </si>
  <si>
    <t>λ</t>
  </si>
  <si>
    <r>
      <t>A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Y</t>
    </r>
  </si>
  <si>
    <t>AY</t>
  </si>
  <si>
    <t>IY</t>
  </si>
  <si>
    <r>
      <t>λ</t>
    </r>
    <r>
      <rPr>
        <vertAlign val="superscript"/>
        <sz val="12"/>
        <color theme="1"/>
        <rFont val="Arial"/>
        <family val="2"/>
      </rPr>
      <t>2</t>
    </r>
  </si>
  <si>
    <t>=</t>
  </si>
  <si>
    <t>p(λ)=</t>
  </si>
  <si>
    <r>
      <t>A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Y</t>
    </r>
  </si>
  <si>
    <r>
      <t>c</t>
    </r>
    <r>
      <rPr>
        <vertAlign val="subscript"/>
        <sz val="12"/>
        <color theme="1"/>
        <rFont val="Arial"/>
        <family val="2"/>
      </rPr>
      <t>3</t>
    </r>
  </si>
  <si>
    <r>
      <t>λ</t>
    </r>
    <r>
      <rPr>
        <vertAlign val="superscript"/>
        <sz val="12"/>
        <color theme="1"/>
        <rFont val="Arial"/>
        <family val="2"/>
      </rPr>
      <t>3</t>
    </r>
  </si>
  <si>
    <r>
      <t>c</t>
    </r>
    <r>
      <rPr>
        <vertAlign val="subscript"/>
        <sz val="12"/>
        <color theme="1"/>
        <rFont val="Arial"/>
        <family val="2"/>
      </rPr>
      <t>2</t>
    </r>
  </si>
  <si>
    <r>
      <t>c</t>
    </r>
    <r>
      <rPr>
        <vertAlign val="subscript"/>
        <sz val="12"/>
        <color theme="1"/>
        <rFont val="Arial"/>
        <family val="2"/>
      </rPr>
      <t>1</t>
    </r>
  </si>
  <si>
    <r>
      <t>c</t>
    </r>
    <r>
      <rPr>
        <vertAlign val="subscript"/>
        <sz val="12"/>
        <color theme="1"/>
        <rFont val="Arial"/>
        <family val="2"/>
      </rPr>
      <t>0</t>
    </r>
  </si>
  <si>
    <r>
      <t>a</t>
    </r>
    <r>
      <rPr>
        <vertAlign val="subscript"/>
        <sz val="12"/>
        <color theme="1"/>
        <rFont val="Arial"/>
        <family val="2"/>
      </rPr>
      <t>3</t>
    </r>
  </si>
  <si>
    <r>
      <t>a</t>
    </r>
    <r>
      <rPr>
        <vertAlign val="subscript"/>
        <sz val="12"/>
        <color theme="1"/>
        <rFont val="Arial"/>
        <family val="2"/>
      </rPr>
      <t>2</t>
    </r>
  </si>
  <si>
    <r>
      <t>a</t>
    </r>
    <r>
      <rPr>
        <vertAlign val="subscript"/>
        <sz val="12"/>
        <color theme="1"/>
        <rFont val="Arial"/>
        <family val="2"/>
      </rPr>
      <t>1</t>
    </r>
  </si>
  <si>
    <r>
      <t>a</t>
    </r>
    <r>
      <rPr>
        <vertAlign val="subscript"/>
        <sz val="12"/>
        <color theme="1"/>
        <rFont val="Arial"/>
        <family val="2"/>
      </rPr>
      <t>0</t>
    </r>
  </si>
  <si>
    <r>
      <t>A</t>
    </r>
    <r>
      <rPr>
        <vertAlign val="super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Y</t>
    </r>
  </si>
  <si>
    <r>
      <t>a</t>
    </r>
    <r>
      <rPr>
        <vertAlign val="subscript"/>
        <sz val="12"/>
        <color rgb="FF000000"/>
        <rFont val="Arial"/>
        <family val="2"/>
      </rPr>
      <t>4</t>
    </r>
  </si>
  <si>
    <r>
      <t>λ</t>
    </r>
    <r>
      <rPr>
        <vertAlign val="superscript"/>
        <sz val="12"/>
        <color theme="1"/>
        <rFont val="Arial"/>
        <family val="2"/>
      </rPr>
      <t>4</t>
    </r>
  </si>
  <si>
    <r>
      <t>a</t>
    </r>
    <r>
      <rPr>
        <vertAlign val="subscript"/>
        <sz val="12"/>
        <color rgb="FF000000"/>
        <rFont val="Arial"/>
        <family val="2"/>
      </rPr>
      <t>3</t>
    </r>
  </si>
  <si>
    <r>
      <t>a</t>
    </r>
    <r>
      <rPr>
        <vertAlign val="subscript"/>
        <sz val="12"/>
        <color rgb="FF000000"/>
        <rFont val="Arial"/>
        <family val="2"/>
      </rPr>
      <t>2=</t>
    </r>
  </si>
  <si>
    <r>
      <t>a</t>
    </r>
    <r>
      <rPr>
        <vertAlign val="subscript"/>
        <sz val="12"/>
        <color rgb="FF000000"/>
        <rFont val="Arial"/>
        <family val="2"/>
      </rPr>
      <t>1=</t>
    </r>
  </si>
  <si>
    <r>
      <t>a</t>
    </r>
    <r>
      <rPr>
        <vertAlign val="subscript"/>
        <sz val="12"/>
        <color rgb="FF000000"/>
        <rFont val="Arial"/>
        <family val="2"/>
      </rPr>
      <t>0=</t>
    </r>
  </si>
  <si>
    <r>
      <rPr>
        <sz val="12"/>
        <color rgb="FF000000"/>
        <rFont val="Arial"/>
        <family val="2"/>
      </rPr>
      <t>A</t>
    </r>
    <r>
      <rPr>
        <vertAlign val="superscript"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Y</t>
    </r>
  </si>
  <si>
    <t>B</t>
  </si>
  <si>
    <t>POTENCIAS</t>
  </si>
  <si>
    <r>
      <t>V</t>
    </r>
    <r>
      <rPr>
        <vertAlign val="subscript"/>
        <sz val="12"/>
        <color theme="1"/>
        <rFont val="Arial"/>
        <family val="2"/>
      </rPr>
      <t>0</t>
    </r>
  </si>
  <si>
    <r>
      <t>V</t>
    </r>
    <r>
      <rPr>
        <vertAlign val="subscript"/>
        <sz val="12"/>
        <color theme="1"/>
        <rFont val="Arial"/>
        <family val="2"/>
      </rPr>
      <t>1</t>
    </r>
    <r>
      <rPr>
        <sz val="11"/>
        <color theme="1"/>
        <rFont val="Aptos Narrow"/>
        <family val="2"/>
        <scheme val="minor"/>
      </rPr>
      <t/>
    </r>
  </si>
  <si>
    <r>
      <t>V</t>
    </r>
    <r>
      <rPr>
        <vertAlign val="subscript"/>
        <sz val="12"/>
        <color theme="1"/>
        <rFont val="Arial"/>
        <family val="2"/>
      </rPr>
      <t>2</t>
    </r>
    <r>
      <rPr>
        <sz val="11"/>
        <color theme="1"/>
        <rFont val="Aptos Narrow"/>
        <family val="2"/>
        <scheme val="minor"/>
      </rPr>
      <t/>
    </r>
  </si>
  <si>
    <r>
      <t>V</t>
    </r>
    <r>
      <rPr>
        <vertAlign val="subscript"/>
        <sz val="12"/>
        <color theme="1"/>
        <rFont val="Arial"/>
        <family val="2"/>
      </rPr>
      <t>3</t>
    </r>
    <r>
      <rPr>
        <sz val="11"/>
        <color theme="1"/>
        <rFont val="Aptos Narrow"/>
        <family val="2"/>
        <scheme val="minor"/>
      </rPr>
      <t/>
    </r>
  </si>
  <si>
    <r>
      <t>V</t>
    </r>
    <r>
      <rPr>
        <vertAlign val="subscript"/>
        <sz val="12"/>
        <color theme="1"/>
        <rFont val="Arial"/>
        <family val="2"/>
      </rPr>
      <t>4</t>
    </r>
    <r>
      <rPr>
        <sz val="11"/>
        <color theme="1"/>
        <rFont val="Aptos Narrow"/>
        <family val="2"/>
        <scheme val="minor"/>
      </rPr>
      <t/>
    </r>
  </si>
  <si>
    <r>
      <t>V</t>
    </r>
    <r>
      <rPr>
        <vertAlign val="subscript"/>
        <sz val="12"/>
        <color theme="1"/>
        <rFont val="Arial"/>
        <family val="2"/>
      </rPr>
      <t>5</t>
    </r>
    <r>
      <rPr>
        <sz val="11"/>
        <color theme="1"/>
        <rFont val="Aptos Narrow"/>
        <family val="2"/>
        <scheme val="minor"/>
      </rPr>
      <t/>
    </r>
  </si>
  <si>
    <r>
      <t>V</t>
    </r>
    <r>
      <rPr>
        <vertAlign val="subscript"/>
        <sz val="12"/>
        <color theme="1"/>
        <rFont val="Arial"/>
        <family val="2"/>
      </rPr>
      <t>6</t>
    </r>
    <r>
      <rPr>
        <sz val="11"/>
        <color theme="1"/>
        <rFont val="Aptos Narrow"/>
        <family val="2"/>
        <scheme val="minor"/>
      </rPr>
      <t/>
    </r>
  </si>
  <si>
    <r>
      <t>V</t>
    </r>
    <r>
      <rPr>
        <vertAlign val="subscript"/>
        <sz val="12"/>
        <color theme="1"/>
        <rFont val="Arial"/>
        <family val="2"/>
      </rPr>
      <t>7</t>
    </r>
    <r>
      <rPr>
        <sz val="11"/>
        <color theme="1"/>
        <rFont val="Aptos Narrow"/>
        <family val="2"/>
        <scheme val="minor"/>
      </rPr>
      <t/>
    </r>
  </si>
  <si>
    <r>
      <t>V</t>
    </r>
    <r>
      <rPr>
        <vertAlign val="subscript"/>
        <sz val="12"/>
        <color theme="1"/>
        <rFont val="Arial"/>
        <family val="2"/>
      </rPr>
      <t>8</t>
    </r>
    <r>
      <rPr>
        <sz val="11"/>
        <color theme="1"/>
        <rFont val="Aptos Narrow"/>
        <family val="2"/>
        <scheme val="minor"/>
      </rPr>
      <t/>
    </r>
  </si>
  <si>
    <r>
      <t>V</t>
    </r>
    <r>
      <rPr>
        <vertAlign val="subscript"/>
        <sz val="12"/>
        <color theme="1"/>
        <rFont val="Arial"/>
        <family val="2"/>
      </rPr>
      <t>9</t>
    </r>
    <r>
      <rPr>
        <sz val="11"/>
        <color theme="1"/>
        <rFont val="Aptos Narrow"/>
        <family val="2"/>
        <scheme val="minor"/>
      </rPr>
      <t/>
    </r>
  </si>
  <si>
    <r>
      <t>AV</t>
    </r>
    <r>
      <rPr>
        <vertAlign val="subscript"/>
        <sz val="12"/>
        <color theme="1"/>
        <rFont val="Arial"/>
        <family val="2"/>
      </rPr>
      <t>0</t>
    </r>
  </si>
  <si>
    <r>
      <t>AV</t>
    </r>
    <r>
      <rPr>
        <vertAlign val="subscript"/>
        <sz val="12"/>
        <color theme="1"/>
        <rFont val="Arial"/>
        <family val="2"/>
      </rPr>
      <t>1</t>
    </r>
    <r>
      <rPr>
        <sz val="11"/>
        <color theme="1"/>
        <rFont val="Aptos Narrow"/>
        <family val="2"/>
        <scheme val="minor"/>
      </rPr>
      <t/>
    </r>
  </si>
  <si>
    <r>
      <t>AV</t>
    </r>
    <r>
      <rPr>
        <vertAlign val="subscript"/>
        <sz val="12"/>
        <color theme="1"/>
        <rFont val="Arial"/>
        <family val="2"/>
      </rPr>
      <t>2</t>
    </r>
    <r>
      <rPr>
        <sz val="11"/>
        <color theme="1"/>
        <rFont val="Aptos Narrow"/>
        <family val="2"/>
        <scheme val="minor"/>
      </rPr>
      <t/>
    </r>
  </si>
  <si>
    <r>
      <t>AV</t>
    </r>
    <r>
      <rPr>
        <vertAlign val="subscript"/>
        <sz val="12"/>
        <color theme="1"/>
        <rFont val="Arial"/>
        <family val="2"/>
      </rPr>
      <t>3</t>
    </r>
    <r>
      <rPr>
        <sz val="11"/>
        <color theme="1"/>
        <rFont val="Aptos Narrow"/>
        <family val="2"/>
        <scheme val="minor"/>
      </rPr>
      <t/>
    </r>
  </si>
  <si>
    <r>
      <t>AV</t>
    </r>
    <r>
      <rPr>
        <vertAlign val="subscript"/>
        <sz val="12"/>
        <color theme="1"/>
        <rFont val="Arial"/>
        <family val="2"/>
      </rPr>
      <t>4</t>
    </r>
    <r>
      <rPr>
        <sz val="11"/>
        <color theme="1"/>
        <rFont val="Aptos Narrow"/>
        <family val="2"/>
        <scheme val="minor"/>
      </rPr>
      <t/>
    </r>
  </si>
  <si>
    <r>
      <t>AV</t>
    </r>
    <r>
      <rPr>
        <vertAlign val="subscript"/>
        <sz val="12"/>
        <color theme="1"/>
        <rFont val="Arial"/>
        <family val="2"/>
      </rPr>
      <t>5</t>
    </r>
    <r>
      <rPr>
        <sz val="11"/>
        <color theme="1"/>
        <rFont val="Aptos Narrow"/>
        <family val="2"/>
        <scheme val="minor"/>
      </rPr>
      <t/>
    </r>
  </si>
  <si>
    <r>
      <t>AV</t>
    </r>
    <r>
      <rPr>
        <vertAlign val="subscript"/>
        <sz val="12"/>
        <color theme="1"/>
        <rFont val="Arial"/>
        <family val="2"/>
      </rPr>
      <t>6</t>
    </r>
    <r>
      <rPr>
        <sz val="11"/>
        <color theme="1"/>
        <rFont val="Aptos Narrow"/>
        <family val="2"/>
        <scheme val="minor"/>
      </rPr>
      <t/>
    </r>
  </si>
  <si>
    <r>
      <t>AV</t>
    </r>
    <r>
      <rPr>
        <vertAlign val="subscript"/>
        <sz val="12"/>
        <color theme="1"/>
        <rFont val="Arial"/>
        <family val="2"/>
      </rPr>
      <t>7</t>
    </r>
    <r>
      <rPr>
        <sz val="11"/>
        <color theme="1"/>
        <rFont val="Aptos Narrow"/>
        <family val="2"/>
        <scheme val="minor"/>
      </rPr>
      <t/>
    </r>
  </si>
  <si>
    <r>
      <t>AV</t>
    </r>
    <r>
      <rPr>
        <vertAlign val="subscript"/>
        <sz val="12"/>
        <color theme="1"/>
        <rFont val="Arial"/>
        <family val="2"/>
      </rPr>
      <t>8</t>
    </r>
    <r>
      <rPr>
        <sz val="11"/>
        <color theme="1"/>
        <rFont val="Aptos Narrow"/>
        <family val="2"/>
        <scheme val="minor"/>
      </rPr>
      <t/>
    </r>
  </si>
  <si>
    <r>
      <t>AV</t>
    </r>
    <r>
      <rPr>
        <vertAlign val="subscript"/>
        <sz val="12"/>
        <color theme="1"/>
        <rFont val="Arial"/>
        <family val="2"/>
      </rPr>
      <t>9</t>
    </r>
    <r>
      <rPr>
        <sz val="11"/>
        <color theme="1"/>
        <rFont val="Aptos Narrow"/>
        <family val="2"/>
        <scheme val="minor"/>
      </rPr>
      <t/>
    </r>
  </si>
  <si>
    <t>tolerancia</t>
  </si>
  <si>
    <t>error</t>
  </si>
  <si>
    <t>abs</t>
  </si>
  <si>
    <t>%</t>
  </si>
  <si>
    <r>
      <t>A</t>
    </r>
    <r>
      <rPr>
        <vertAlign val="superscript"/>
        <sz val="12"/>
        <color theme="1"/>
        <rFont val="Arial"/>
        <family val="2"/>
      </rPr>
      <t>-1</t>
    </r>
  </si>
  <si>
    <r>
      <t>AV</t>
    </r>
    <r>
      <rPr>
        <vertAlign val="subscript"/>
        <sz val="12"/>
        <color theme="1"/>
        <rFont val="Arial"/>
        <family val="2"/>
      </rPr>
      <t>0</t>
    </r>
    <r>
      <rPr>
        <vertAlign val="superscript"/>
        <sz val="12"/>
        <color theme="1"/>
        <rFont val="Arial"/>
        <family val="2"/>
      </rPr>
      <t>-1</t>
    </r>
  </si>
  <si>
    <r>
      <t>AV</t>
    </r>
    <r>
      <rPr>
        <vertAlign val="subscript"/>
        <sz val="12"/>
        <color theme="1"/>
        <rFont val="Arial"/>
        <family val="2"/>
      </rPr>
      <t>1</t>
    </r>
    <r>
      <rPr>
        <vertAlign val="superscript"/>
        <sz val="12"/>
        <color theme="1"/>
        <rFont val="Arial"/>
        <family val="2"/>
      </rPr>
      <t>-1</t>
    </r>
  </si>
  <si>
    <r>
      <t>AV</t>
    </r>
    <r>
      <rPr>
        <vertAlign val="subscript"/>
        <sz val="12"/>
        <color theme="1"/>
        <rFont val="Arial"/>
        <family val="2"/>
      </rPr>
      <t>2</t>
    </r>
    <r>
      <rPr>
        <vertAlign val="superscript"/>
        <sz val="12"/>
        <color theme="1"/>
        <rFont val="Arial"/>
        <family val="2"/>
      </rPr>
      <t>-1</t>
    </r>
  </si>
  <si>
    <r>
      <t>AV</t>
    </r>
    <r>
      <rPr>
        <vertAlign val="subscript"/>
        <sz val="12"/>
        <color theme="1"/>
        <rFont val="Arial"/>
        <family val="2"/>
      </rPr>
      <t>3</t>
    </r>
    <r>
      <rPr>
        <vertAlign val="superscript"/>
        <sz val="12"/>
        <color theme="1"/>
        <rFont val="Arial"/>
        <family val="2"/>
      </rPr>
      <t>-1</t>
    </r>
  </si>
  <si>
    <r>
      <t>AV</t>
    </r>
    <r>
      <rPr>
        <vertAlign val="subscript"/>
        <sz val="12"/>
        <color theme="1"/>
        <rFont val="Arial"/>
        <family val="2"/>
      </rPr>
      <t>4</t>
    </r>
    <r>
      <rPr>
        <vertAlign val="superscript"/>
        <sz val="12"/>
        <color theme="1"/>
        <rFont val="Arial"/>
        <family val="2"/>
      </rPr>
      <t>-1</t>
    </r>
  </si>
  <si>
    <r>
      <t>AV</t>
    </r>
    <r>
      <rPr>
        <vertAlign val="subscript"/>
        <sz val="12"/>
        <color theme="1"/>
        <rFont val="Arial"/>
        <family val="2"/>
      </rPr>
      <t>5</t>
    </r>
    <r>
      <rPr>
        <vertAlign val="superscript"/>
        <sz val="12"/>
        <color theme="1"/>
        <rFont val="Arial"/>
        <family val="2"/>
      </rPr>
      <t>-1</t>
    </r>
  </si>
  <si>
    <r>
      <t>AV</t>
    </r>
    <r>
      <rPr>
        <vertAlign val="subscript"/>
        <sz val="12"/>
        <color theme="1"/>
        <rFont val="Arial"/>
        <family val="2"/>
      </rPr>
      <t>6</t>
    </r>
    <r>
      <rPr>
        <vertAlign val="superscript"/>
        <sz val="12"/>
        <color theme="1"/>
        <rFont val="Arial"/>
        <family val="2"/>
      </rPr>
      <t>-1</t>
    </r>
  </si>
  <si>
    <r>
      <t>AV</t>
    </r>
    <r>
      <rPr>
        <vertAlign val="subscript"/>
        <sz val="12"/>
        <color theme="1"/>
        <rFont val="Arial"/>
        <family val="2"/>
      </rPr>
      <t>7</t>
    </r>
    <r>
      <rPr>
        <vertAlign val="superscript"/>
        <sz val="12"/>
        <color theme="1"/>
        <rFont val="Arial"/>
        <family val="2"/>
      </rPr>
      <t>-1</t>
    </r>
  </si>
  <si>
    <r>
      <t>AV</t>
    </r>
    <r>
      <rPr>
        <vertAlign val="subscript"/>
        <sz val="12"/>
        <color theme="1"/>
        <rFont val="Arial"/>
        <family val="2"/>
      </rPr>
      <t>8</t>
    </r>
    <r>
      <rPr>
        <vertAlign val="superscript"/>
        <sz val="12"/>
        <color theme="1"/>
        <rFont val="Arial"/>
        <family val="2"/>
      </rPr>
      <t>-1</t>
    </r>
  </si>
  <si>
    <r>
      <t>AV</t>
    </r>
    <r>
      <rPr>
        <vertAlign val="subscript"/>
        <sz val="12"/>
        <color theme="1"/>
        <rFont val="Arial"/>
        <family val="2"/>
      </rPr>
      <t>9</t>
    </r>
    <r>
      <rPr>
        <vertAlign val="superscript"/>
        <sz val="12"/>
        <color theme="1"/>
        <rFont val="Arial"/>
        <family val="2"/>
      </rPr>
      <t>-1</t>
    </r>
  </si>
  <si>
    <t>.</t>
  </si>
  <si>
    <t/>
  </si>
  <si>
    <r>
      <t>V</t>
    </r>
    <r>
      <rPr>
        <vertAlign val="subscript"/>
        <sz val="11"/>
        <color theme="1"/>
        <rFont val="Arial"/>
        <family val="2"/>
      </rPr>
      <t>0</t>
    </r>
  </si>
  <si>
    <r>
      <t>V</t>
    </r>
    <r>
      <rPr>
        <vertAlign val="subscript"/>
        <sz val="11"/>
        <color theme="1"/>
        <rFont val="Arial"/>
        <family val="2"/>
      </rPr>
      <t>1</t>
    </r>
    <r>
      <rPr>
        <sz val="11"/>
        <color theme="1"/>
        <rFont val="Aptos Narrow"/>
        <family val="2"/>
        <scheme val="minor"/>
      </rPr>
      <t/>
    </r>
  </si>
  <si>
    <r>
      <t>V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ptos Narrow"/>
        <family val="2"/>
        <scheme val="minor"/>
      </rPr>
      <t/>
    </r>
  </si>
  <si>
    <r>
      <t>V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ptos Narrow"/>
        <family val="2"/>
        <scheme val="minor"/>
      </rPr>
      <t/>
    </r>
  </si>
  <si>
    <r>
      <t>V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ptos Narrow"/>
        <family val="2"/>
        <scheme val="minor"/>
      </rPr>
      <t/>
    </r>
  </si>
  <si>
    <r>
      <t>V</t>
    </r>
    <r>
      <rPr>
        <vertAlign val="subscript"/>
        <sz val="11"/>
        <color theme="1"/>
        <rFont val="Arial"/>
        <family val="2"/>
      </rPr>
      <t>5</t>
    </r>
    <r>
      <rPr>
        <sz val="11"/>
        <color theme="1"/>
        <rFont val="Aptos Narrow"/>
        <family val="2"/>
        <scheme val="minor"/>
      </rPr>
      <t/>
    </r>
  </si>
  <si>
    <r>
      <t>V</t>
    </r>
    <r>
      <rPr>
        <vertAlign val="subscript"/>
        <sz val="11"/>
        <color theme="1"/>
        <rFont val="Arial"/>
        <family val="2"/>
      </rPr>
      <t>6</t>
    </r>
    <r>
      <rPr>
        <sz val="11"/>
        <color theme="1"/>
        <rFont val="Aptos Narrow"/>
        <family val="2"/>
        <scheme val="minor"/>
      </rPr>
      <t/>
    </r>
  </si>
  <si>
    <r>
      <t>V</t>
    </r>
    <r>
      <rPr>
        <vertAlign val="subscript"/>
        <sz val="11"/>
        <color theme="1"/>
        <rFont val="Arial"/>
        <family val="2"/>
      </rPr>
      <t>7</t>
    </r>
    <r>
      <rPr>
        <sz val="11"/>
        <color theme="1"/>
        <rFont val="Aptos Narrow"/>
        <family val="2"/>
        <scheme val="minor"/>
      </rPr>
      <t/>
    </r>
  </si>
  <si>
    <r>
      <t>V</t>
    </r>
    <r>
      <rPr>
        <vertAlign val="subscript"/>
        <sz val="11"/>
        <color theme="1"/>
        <rFont val="Arial"/>
        <family val="2"/>
      </rPr>
      <t>8</t>
    </r>
    <r>
      <rPr>
        <sz val="11"/>
        <color theme="1"/>
        <rFont val="Aptos Narrow"/>
        <family val="2"/>
        <scheme val="minor"/>
      </rPr>
      <t/>
    </r>
  </si>
  <si>
    <r>
      <t>V</t>
    </r>
    <r>
      <rPr>
        <vertAlign val="subscript"/>
        <sz val="11"/>
        <color theme="1"/>
        <rFont val="Arial"/>
        <family val="2"/>
      </rPr>
      <t>9</t>
    </r>
    <r>
      <rPr>
        <sz val="11"/>
        <color theme="1"/>
        <rFont val="Aptos Narrow"/>
        <family val="2"/>
        <scheme val="minor"/>
      </rPr>
      <t/>
    </r>
  </si>
  <si>
    <r>
      <t>AV</t>
    </r>
    <r>
      <rPr>
        <vertAlign val="subscript"/>
        <sz val="11"/>
        <color theme="1"/>
        <rFont val="Arial"/>
        <family val="2"/>
      </rPr>
      <t>0</t>
    </r>
  </si>
  <si>
    <r>
      <t>AV</t>
    </r>
    <r>
      <rPr>
        <vertAlign val="subscript"/>
        <sz val="11"/>
        <color theme="1"/>
        <rFont val="Arial"/>
        <family val="2"/>
      </rPr>
      <t>1</t>
    </r>
    <r>
      <rPr>
        <sz val="11"/>
        <color theme="1"/>
        <rFont val="Aptos Narrow"/>
        <family val="2"/>
        <scheme val="minor"/>
      </rPr>
      <t/>
    </r>
  </si>
  <si>
    <r>
      <t>AV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ptos Narrow"/>
        <family val="2"/>
        <scheme val="minor"/>
      </rPr>
      <t/>
    </r>
  </si>
  <si>
    <r>
      <t>AV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ptos Narrow"/>
        <family val="2"/>
        <scheme val="minor"/>
      </rPr>
      <t/>
    </r>
  </si>
  <si>
    <r>
      <t>AV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ptos Narrow"/>
        <family val="2"/>
        <scheme val="minor"/>
      </rPr>
      <t/>
    </r>
  </si>
  <si>
    <r>
      <t>AV</t>
    </r>
    <r>
      <rPr>
        <vertAlign val="subscript"/>
        <sz val="11"/>
        <color theme="1"/>
        <rFont val="Arial"/>
        <family val="2"/>
      </rPr>
      <t>5</t>
    </r>
    <r>
      <rPr>
        <sz val="11"/>
        <color theme="1"/>
        <rFont val="Aptos Narrow"/>
        <family val="2"/>
        <scheme val="minor"/>
      </rPr>
      <t/>
    </r>
  </si>
  <si>
    <r>
      <t>AV</t>
    </r>
    <r>
      <rPr>
        <vertAlign val="subscript"/>
        <sz val="11"/>
        <color theme="1"/>
        <rFont val="Arial"/>
        <family val="2"/>
      </rPr>
      <t>6</t>
    </r>
    <r>
      <rPr>
        <sz val="11"/>
        <color theme="1"/>
        <rFont val="Aptos Narrow"/>
        <family val="2"/>
        <scheme val="minor"/>
      </rPr>
      <t/>
    </r>
  </si>
  <si>
    <r>
      <t>AV</t>
    </r>
    <r>
      <rPr>
        <vertAlign val="subscript"/>
        <sz val="11"/>
        <color theme="1"/>
        <rFont val="Arial"/>
        <family val="2"/>
      </rPr>
      <t>7</t>
    </r>
    <r>
      <rPr>
        <sz val="11"/>
        <color theme="1"/>
        <rFont val="Aptos Narrow"/>
        <family val="2"/>
        <scheme val="minor"/>
      </rPr>
      <t/>
    </r>
  </si>
  <si>
    <r>
      <t>AV</t>
    </r>
    <r>
      <rPr>
        <vertAlign val="subscript"/>
        <sz val="11"/>
        <color theme="1"/>
        <rFont val="Arial"/>
        <family val="2"/>
      </rPr>
      <t>8</t>
    </r>
    <r>
      <rPr>
        <sz val="11"/>
        <color theme="1"/>
        <rFont val="Aptos Narrow"/>
        <family val="2"/>
        <scheme val="minor"/>
      </rPr>
      <t/>
    </r>
  </si>
  <si>
    <r>
      <t>AV</t>
    </r>
    <r>
      <rPr>
        <vertAlign val="subscript"/>
        <sz val="11"/>
        <color theme="1"/>
        <rFont val="Arial"/>
        <family val="2"/>
      </rPr>
      <t>9</t>
    </r>
    <r>
      <rPr>
        <sz val="11"/>
        <color theme="1"/>
        <rFont val="Aptos Narrow"/>
        <family val="2"/>
        <scheme val="minor"/>
      </rPr>
      <t/>
    </r>
  </si>
  <si>
    <r>
      <t>A</t>
    </r>
    <r>
      <rPr>
        <vertAlign val="superscript"/>
        <sz val="11"/>
        <color theme="1"/>
        <rFont val="Arial"/>
        <family val="2"/>
      </rPr>
      <t>-1</t>
    </r>
  </si>
  <si>
    <r>
      <t>AV</t>
    </r>
    <r>
      <rPr>
        <vertAlign val="subscript"/>
        <sz val="11"/>
        <color theme="1"/>
        <rFont val="Arial"/>
        <family val="2"/>
      </rPr>
      <t>0</t>
    </r>
    <r>
      <rPr>
        <vertAlign val="superscript"/>
        <sz val="11"/>
        <color theme="1"/>
        <rFont val="Arial"/>
        <family val="2"/>
      </rPr>
      <t>-1</t>
    </r>
  </si>
  <si>
    <r>
      <t>AV</t>
    </r>
    <r>
      <rPr>
        <vertAlign val="subscript"/>
        <sz val="11"/>
        <color theme="1"/>
        <rFont val="Arial"/>
        <family val="2"/>
      </rPr>
      <t>1</t>
    </r>
    <r>
      <rPr>
        <vertAlign val="superscript"/>
        <sz val="11"/>
        <color theme="1"/>
        <rFont val="Arial"/>
        <family val="2"/>
      </rPr>
      <t>-1</t>
    </r>
  </si>
  <si>
    <r>
      <t>AV</t>
    </r>
    <r>
      <rPr>
        <vertAlign val="subscript"/>
        <sz val="11"/>
        <color theme="1"/>
        <rFont val="Arial"/>
        <family val="2"/>
      </rPr>
      <t>2</t>
    </r>
    <r>
      <rPr>
        <vertAlign val="superscript"/>
        <sz val="11"/>
        <color theme="1"/>
        <rFont val="Arial"/>
        <family val="2"/>
      </rPr>
      <t>-1</t>
    </r>
  </si>
  <si>
    <r>
      <t>AV</t>
    </r>
    <r>
      <rPr>
        <vertAlign val="subscript"/>
        <sz val="11"/>
        <color theme="1"/>
        <rFont val="Arial"/>
        <family val="2"/>
      </rPr>
      <t>3</t>
    </r>
    <r>
      <rPr>
        <vertAlign val="superscript"/>
        <sz val="11"/>
        <color theme="1"/>
        <rFont val="Arial"/>
        <family val="2"/>
      </rPr>
      <t>-1</t>
    </r>
  </si>
  <si>
    <r>
      <t>AV</t>
    </r>
    <r>
      <rPr>
        <vertAlign val="subscript"/>
        <sz val="11"/>
        <color theme="1"/>
        <rFont val="Arial"/>
        <family val="2"/>
      </rPr>
      <t>4</t>
    </r>
    <r>
      <rPr>
        <vertAlign val="superscript"/>
        <sz val="11"/>
        <color theme="1"/>
        <rFont val="Arial"/>
        <family val="2"/>
      </rPr>
      <t>-1</t>
    </r>
  </si>
  <si>
    <r>
      <t>AV</t>
    </r>
    <r>
      <rPr>
        <vertAlign val="subscript"/>
        <sz val="11"/>
        <color theme="1"/>
        <rFont val="Arial"/>
        <family val="2"/>
      </rPr>
      <t>5</t>
    </r>
    <r>
      <rPr>
        <vertAlign val="superscript"/>
        <sz val="11"/>
        <color theme="1"/>
        <rFont val="Arial"/>
        <family val="2"/>
      </rPr>
      <t>-1</t>
    </r>
  </si>
  <si>
    <r>
      <t>AV</t>
    </r>
    <r>
      <rPr>
        <vertAlign val="subscript"/>
        <sz val="11"/>
        <color theme="1"/>
        <rFont val="Arial"/>
        <family val="2"/>
      </rPr>
      <t>6</t>
    </r>
    <r>
      <rPr>
        <vertAlign val="superscript"/>
        <sz val="11"/>
        <color theme="1"/>
        <rFont val="Arial"/>
        <family val="2"/>
      </rPr>
      <t>-1</t>
    </r>
  </si>
  <si>
    <r>
      <t>AV</t>
    </r>
    <r>
      <rPr>
        <vertAlign val="subscript"/>
        <sz val="11"/>
        <color theme="1"/>
        <rFont val="Arial"/>
        <family val="2"/>
      </rPr>
      <t>7</t>
    </r>
    <r>
      <rPr>
        <vertAlign val="superscript"/>
        <sz val="11"/>
        <color theme="1"/>
        <rFont val="Arial"/>
        <family val="2"/>
      </rPr>
      <t>-1</t>
    </r>
  </si>
  <si>
    <r>
      <t>AV</t>
    </r>
    <r>
      <rPr>
        <vertAlign val="subscript"/>
        <sz val="11"/>
        <color theme="1"/>
        <rFont val="Arial"/>
        <family val="2"/>
      </rPr>
      <t>8</t>
    </r>
    <r>
      <rPr>
        <vertAlign val="superscript"/>
        <sz val="11"/>
        <color theme="1"/>
        <rFont val="Arial"/>
        <family val="2"/>
      </rPr>
      <t>-1</t>
    </r>
  </si>
  <si>
    <r>
      <t>AV</t>
    </r>
    <r>
      <rPr>
        <vertAlign val="subscript"/>
        <sz val="11"/>
        <color theme="1"/>
        <rFont val="Arial"/>
        <family val="2"/>
      </rPr>
      <t>9</t>
    </r>
    <r>
      <rPr>
        <vertAlign val="superscript"/>
        <sz val="11"/>
        <color theme="1"/>
        <rFont val="Arial"/>
        <family val="2"/>
      </rPr>
      <t>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</si>
</sst>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E+00"/>
    <numFmt numFmtId="166" formatCode="0.000"/>
    <numFmt numFmtId="167" formatCode="0.0"/>
    <numFmt numFmtId="168" formatCode="0.0E+00"/>
    <numFmt numFmtId="169" formatCode="0.000000000"/>
    <numFmt numFmtId="170" formatCode="0.00000"/>
  </numFmts>
  <fonts count="2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b/>
      <sz val="12"/>
      <color theme="0"/>
      <name val="Aptos Narrow"/>
      <family val="2"/>
      <scheme val="minor"/>
    </font>
    <font>
      <b/>
      <sz val="12"/>
      <color rgb="FFFF0000"/>
      <name val="Ariela"/>
    </font>
    <font>
      <sz val="8"/>
      <name val="Aptos Narrow"/>
      <family val="2"/>
      <scheme val="minor"/>
    </font>
    <font>
      <b/>
      <sz val="12"/>
      <color theme="5" tint="0.79998168889431442"/>
      <name val="Arial"/>
      <family val="2"/>
    </font>
    <font>
      <sz val="12"/>
      <color theme="5" tint="0.79998168889431442"/>
      <name val="Arial"/>
      <family val="2"/>
    </font>
    <font>
      <b/>
      <sz val="12"/>
      <color theme="0"/>
      <name val="Arial"/>
      <family val="2"/>
    </font>
    <font>
      <b/>
      <sz val="12"/>
      <color rgb="FFC00000"/>
      <name val="Arial"/>
      <family val="2"/>
    </font>
    <font>
      <b/>
      <sz val="12"/>
      <color rgb="FFFF0000"/>
      <name val="Aptos Narrowarial"/>
    </font>
    <font>
      <vertAlign val="subscript"/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vertAlign val="subscript"/>
      <sz val="12"/>
      <color rgb="FF000000"/>
      <name val="Arial"/>
      <family val="2"/>
    </font>
    <font>
      <vertAlign val="superscript"/>
      <sz val="12"/>
      <color rgb="FF000000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vertAlign val="subscript"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b/>
      <sz val="11"/>
      <color theme="5" tint="0.79998168889431442"/>
      <name val="Arial"/>
      <family val="2"/>
    </font>
    <font>
      <sz val="11"/>
      <color theme="5" tint="0.79998168889431442"/>
      <name val="Arial"/>
      <family val="2"/>
    </font>
    <font>
      <sz val="11"/>
      <color theme="1"/>
      <name val="Aptos Narrow"/>
      <family val="2"/>
      <scheme val="minor"/>
    </font>
    <font>
      <b/>
      <sz val="11"/>
      <color rgb="FFFF0000"/>
      <name val="Arial"/>
    </font>
    <font>
      <b/>
      <sz val="11"/>
      <color theme="0"/>
      <name val="Arial"/>
    </font>
    <font>
      <sz val="11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6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164" fontId="9" fillId="10" borderId="0" xfId="0" applyNumberFormat="1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" fillId="12" borderId="0" xfId="0" applyFont="1" applyFill="1" applyAlignment="1">
      <alignment horizontal="center" vertical="center"/>
    </xf>
    <xf numFmtId="164" fontId="3" fillId="11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69" fontId="5" fillId="5" borderId="0" xfId="0" applyNumberFormat="1" applyFont="1" applyFill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68" fontId="3" fillId="11" borderId="0" xfId="0" applyNumberFormat="1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0" fontId="3" fillId="0" borderId="0" xfId="0" applyFont="1"/>
    <xf numFmtId="0" fontId="3" fillId="11" borderId="0" xfId="0" applyFont="1" applyFill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" fontId="3" fillId="6" borderId="0" xfId="0" applyNumberFormat="1" applyFont="1" applyFill="1" applyAlignment="1">
      <alignment horizontal="center" vertical="center"/>
    </xf>
    <xf numFmtId="170" fontId="2" fillId="5" borderId="0" xfId="0" applyNumberFormat="1" applyFont="1" applyFill="1" applyAlignment="1">
      <alignment horizontal="center" vertical="center"/>
    </xf>
    <xf numFmtId="170" fontId="3" fillId="11" borderId="0" xfId="0" applyNumberFormat="1" applyFont="1" applyFill="1" applyAlignment="1">
      <alignment horizontal="center" vertical="center"/>
    </xf>
    <xf numFmtId="170" fontId="3" fillId="0" borderId="0" xfId="0" applyNumberFormat="1" applyFont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67" fontId="4" fillId="4" borderId="0" xfId="0" applyNumberFormat="1" applyFont="1" applyFill="1" applyAlignment="1">
      <alignment horizontal="center" vertical="center"/>
    </xf>
    <xf numFmtId="1" fontId="9" fillId="4" borderId="0" xfId="0" applyNumberFormat="1" applyFont="1" applyFill="1" applyAlignment="1">
      <alignment horizontal="center" vertical="center"/>
    </xf>
    <xf numFmtId="1" fontId="4" fillId="4" borderId="0" xfId="0" applyNumberFormat="1" applyFont="1" applyFill="1" applyAlignment="1">
      <alignment horizontal="center" vertical="center"/>
    </xf>
    <xf numFmtId="1" fontId="5" fillId="5" borderId="0" xfId="0" applyNumberFormat="1" applyFont="1" applyFill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11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0" fillId="0" borderId="0" xfId="0" quotePrefix="1"/>
    <xf numFmtId="0" fontId="14" fillId="0" borderId="0" xfId="0" applyFont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164" fontId="18" fillId="11" borderId="0" xfId="0" applyNumberFormat="1" applyFont="1" applyFill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164" fontId="18" fillId="6" borderId="0" xfId="0" applyNumberFormat="1" applyFont="1" applyFill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1" fontId="18" fillId="0" borderId="7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164" fontId="21" fillId="3" borderId="0" xfId="0" applyNumberFormat="1" applyFont="1" applyFill="1" applyAlignment="1">
      <alignment horizontal="center" vertical="center"/>
    </xf>
    <xf numFmtId="0" fontId="18" fillId="11" borderId="6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164" fontId="22" fillId="4" borderId="0" xfId="0" applyNumberFormat="1" applyFont="1" applyFill="1" applyAlignment="1">
      <alignment horizontal="center" vertical="center"/>
    </xf>
    <xf numFmtId="1" fontId="18" fillId="0" borderId="2" xfId="0" applyNumberFormat="1" applyFont="1" applyBorder="1" applyAlignment="1">
      <alignment horizontal="center" vertical="center"/>
    </xf>
    <xf numFmtId="1" fontId="18" fillId="0" borderId="3" xfId="0" applyNumberFormat="1" applyFont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164" fontId="24" fillId="5" borderId="0" xfId="0" applyNumberFormat="1" applyFont="1" applyFill="1" applyAlignment="1">
      <alignment horizontal="center" vertical="center"/>
    </xf>
    <xf numFmtId="164" fontId="25" fillId="4" borderId="0" xfId="0" applyNumberFormat="1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1" fontId="10" fillId="8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7" fontId="9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1" fontId="9" fillId="3" borderId="0" xfId="0" applyNumberFormat="1" applyFont="1" applyFill="1" applyAlignment="1">
      <alignment horizontal="center" vertical="center"/>
    </xf>
    <xf numFmtId="167" fontId="3" fillId="11" borderId="0" xfId="0" applyNumberFormat="1" applyFont="1" applyFill="1" applyAlignment="1">
      <alignment horizontal="center" vertical="center"/>
    </xf>
    <xf numFmtId="167" fontId="3" fillId="6" borderId="0" xfId="0" applyNumberFormat="1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167" fontId="7" fillId="3" borderId="0" xfId="0" applyNumberFormat="1" applyFont="1" applyFill="1" applyAlignment="1">
      <alignment horizontal="center" vertical="center"/>
    </xf>
    <xf numFmtId="1" fontId="7" fillId="3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1" fontId="8" fillId="4" borderId="0" xfId="0" applyNumberFormat="1" applyFont="1" applyFill="1" applyAlignment="1">
      <alignment horizontal="center" vertical="center"/>
    </xf>
    <xf numFmtId="2" fontId="7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0.79998168889431442"/>
      </font>
      <fill>
        <patternFill>
          <bgColor theme="7"/>
        </patternFill>
      </fill>
    </dxf>
    <dxf>
      <font>
        <b/>
        <i val="0"/>
        <color theme="9" tint="0.79998168889431442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0.79998168889431442"/>
      </font>
      <fill>
        <patternFill>
          <bgColor theme="7"/>
        </patternFill>
      </fill>
    </dxf>
    <dxf>
      <font>
        <b/>
        <i val="0"/>
        <color theme="9" tint="0.79998168889431442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0.79998168889431442"/>
      </font>
      <fill>
        <patternFill>
          <bgColor theme="7"/>
        </patternFill>
      </fill>
    </dxf>
    <dxf>
      <font>
        <b/>
        <i val="0"/>
        <color theme="9" tint="0.79998168889431442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0.79998168889431442"/>
      </font>
      <fill>
        <patternFill>
          <bgColor theme="7"/>
        </patternFill>
      </fill>
    </dxf>
    <dxf>
      <font>
        <b/>
        <i val="0"/>
        <color theme="9" tint="0.79998168889431442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0.79998168889431442"/>
      </font>
      <fill>
        <patternFill>
          <bgColor theme="7"/>
        </patternFill>
      </fill>
    </dxf>
    <dxf>
      <font>
        <b/>
        <i val="0"/>
        <color theme="9" tint="0.79998168889431442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0.79998168889431442"/>
      </font>
      <fill>
        <patternFill>
          <bgColor theme="7"/>
        </patternFill>
      </fill>
    </dxf>
    <dxf>
      <font>
        <b/>
        <i val="0"/>
        <color theme="9" tint="0.79998168889431442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0.79998168889431442"/>
      </font>
      <fill>
        <patternFill>
          <bgColor theme="7"/>
        </patternFill>
      </fill>
    </dxf>
    <dxf>
      <font>
        <b/>
        <i val="0"/>
        <color theme="9" tint="0.79998168889431442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0.79998168889431442"/>
      </font>
      <fill>
        <patternFill>
          <bgColor theme="7"/>
        </patternFill>
      </fill>
    </dxf>
    <dxf>
      <font>
        <b/>
        <i val="0"/>
        <color theme="9" tint="0.79998168889431442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0.79998168889431442"/>
      </font>
      <fill>
        <patternFill>
          <bgColor theme="7"/>
        </patternFill>
      </fill>
    </dxf>
    <dxf>
      <font>
        <b/>
        <i val="0"/>
        <color theme="9" tint="0.79998168889431442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0.79998168889431442"/>
      </font>
      <fill>
        <patternFill>
          <bgColor theme="7"/>
        </patternFill>
      </fill>
    </dxf>
    <dxf>
      <font>
        <b/>
        <i val="0"/>
        <color theme="9" tint="0.79998168889431442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0.79998168889431442"/>
      </font>
      <fill>
        <patternFill>
          <bgColor theme="7"/>
        </patternFill>
      </fill>
    </dxf>
    <dxf>
      <font>
        <b/>
        <i val="0"/>
        <color theme="9" tint="0.79998168889431442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F651-80BB-438C-8EF9-0DAACABC2AD8}">
  <dimension ref="A1:M15"/>
  <sheetViews>
    <sheetView workbookViewId="0">
      <selection activeCell="M9" sqref="M9"/>
    </sheetView>
  </sheetViews>
  <sheetFormatPr defaultColWidth="11.42578125" defaultRowHeight="14.45"/>
  <cols>
    <col min="10" max="10" width="15.5703125" bestFit="1" customWidth="1"/>
    <col min="11" max="11" width="12.7109375" bestFit="1" customWidth="1"/>
    <col min="12" max="13" width="13.7109375" bestFit="1" customWidth="1"/>
    <col min="14" max="14" width="15.5703125" bestFit="1" customWidth="1"/>
    <col min="15" max="15" width="12" bestFit="1" customWidth="1"/>
    <col min="16" max="16" width="14.7109375" bestFit="1" customWidth="1"/>
  </cols>
  <sheetData>
    <row r="1" spans="1:13" ht="15.6">
      <c r="A1" s="1" t="s">
        <v>0</v>
      </c>
      <c r="B1" s="4"/>
      <c r="C1" s="4" t="s">
        <v>1</v>
      </c>
      <c r="D1" s="4"/>
      <c r="F1" s="4" t="s">
        <v>2</v>
      </c>
    </row>
    <row r="2" spans="1:13" ht="15.6">
      <c r="C2" s="25">
        <v>1</v>
      </c>
      <c r="D2" s="25">
        <v>0</v>
      </c>
      <c r="F2" s="26">
        <v>1</v>
      </c>
    </row>
    <row r="3" spans="1:13" ht="15.6">
      <c r="C3" s="25">
        <v>-1</v>
      </c>
      <c r="D3" s="25">
        <v>1</v>
      </c>
      <c r="F3" s="26">
        <v>0</v>
      </c>
    </row>
    <row r="4" spans="1:13" ht="15.6">
      <c r="B4" s="4"/>
      <c r="C4" s="4"/>
      <c r="E4" s="4"/>
      <c r="F4" s="4"/>
      <c r="G4" s="4"/>
      <c r="J4" s="33" t="s">
        <v>3</v>
      </c>
      <c r="K4" s="33" t="s">
        <v>4</v>
      </c>
      <c r="L4" s="33" t="s">
        <v>5</v>
      </c>
    </row>
    <row r="5" spans="1:13" ht="17.45">
      <c r="B5" s="4" t="s">
        <v>6</v>
      </c>
      <c r="C5" s="4" t="s">
        <v>7</v>
      </c>
      <c r="D5" s="4" t="s">
        <v>8</v>
      </c>
      <c r="E5" s="4"/>
      <c r="F5" s="4"/>
      <c r="I5" s="4"/>
      <c r="J5" s="34">
        <v>0.53320000000000001</v>
      </c>
      <c r="K5" s="34">
        <v>0.61803398899999995</v>
      </c>
      <c r="L5" s="39">
        <v>1</v>
      </c>
    </row>
    <row r="6" spans="1:13" ht="17.45">
      <c r="B6" s="7" cm="1">
        <f t="array" ref="B6:B7">MMULT($C$2:$D$3,C6:C7)</f>
        <v>1</v>
      </c>
      <c r="C6" s="7" cm="1">
        <f t="array" ref="C6:C7">MMULT($C$2:$D$3,D6:D7)</f>
        <v>1</v>
      </c>
      <c r="D6" s="7">
        <f>F2</f>
        <v>1</v>
      </c>
      <c r="E6" s="4"/>
      <c r="F6" s="27">
        <f>B6</f>
        <v>1</v>
      </c>
      <c r="H6" s="35">
        <f>(-1)^2</f>
        <v>1</v>
      </c>
      <c r="I6" s="4" t="s">
        <v>9</v>
      </c>
      <c r="J6" s="8">
        <f>H$6*$J5^3</f>
        <v>0.15158995436799999</v>
      </c>
      <c r="K6" s="8">
        <f>H$6*$K5^3</f>
        <v>0.23606797778638466</v>
      </c>
      <c r="L6" s="22">
        <f>H$6*$L5^3</f>
        <v>1</v>
      </c>
    </row>
    <row r="7" spans="1:13" ht="15.6">
      <c r="B7" s="7">
        <v>-2</v>
      </c>
      <c r="C7" s="7">
        <v>-1</v>
      </c>
      <c r="D7" s="7">
        <f>F3</f>
        <v>0</v>
      </c>
      <c r="E7" s="4" t="s">
        <v>10</v>
      </c>
      <c r="F7" s="27">
        <f>B7</f>
        <v>-2</v>
      </c>
      <c r="H7" s="35" cm="1">
        <f t="array" ref="H7:H8">MMULT(MINVERSE(C6:D7),F6:F7)</f>
        <v>2</v>
      </c>
      <c r="I7" s="4" t="s">
        <v>5</v>
      </c>
      <c r="J7" s="8">
        <f>H$7*$J5^2</f>
        <v>0.56860447999999997</v>
      </c>
      <c r="K7" s="8">
        <f>H$7*$K5^2</f>
        <v>0.76393202311850417</v>
      </c>
      <c r="L7" s="22">
        <f>H$7*$L5^2</f>
        <v>2</v>
      </c>
    </row>
    <row r="8" spans="1:13" ht="15.6">
      <c r="B8" s="43"/>
      <c r="C8" s="43"/>
      <c r="E8" s="4"/>
      <c r="H8" s="35">
        <v>-1</v>
      </c>
      <c r="I8" s="4">
        <v>1</v>
      </c>
      <c r="J8" s="22">
        <f>H8</f>
        <v>-1</v>
      </c>
      <c r="K8" s="22">
        <f>I8</f>
        <v>1</v>
      </c>
      <c r="L8" s="22">
        <f>J8</f>
        <v>-1</v>
      </c>
    </row>
    <row r="9" spans="1:13" ht="15.6">
      <c r="I9" s="4" t="s">
        <v>11</v>
      </c>
      <c r="J9" s="32">
        <f>SUM(J6:J8)</f>
        <v>-0.27980556563199999</v>
      </c>
      <c r="K9" s="40">
        <f>SUM(K6:K8)</f>
        <v>2.0000000009048886</v>
      </c>
      <c r="L9" s="40">
        <f>SUM(M6:M9)</f>
        <v>0</v>
      </c>
    </row>
    <row r="11" spans="1:13" ht="15.6">
      <c r="J11" s="37" cm="1">
        <f t="array" ref="J11:L11">TRANSPOSE(H6:H8)</f>
        <v>1</v>
      </c>
      <c r="K11" s="47">
        <v>2</v>
      </c>
      <c r="L11" s="37">
        <v>-1</v>
      </c>
    </row>
    <row r="12" spans="1:13" ht="15.6">
      <c r="J12" s="36"/>
      <c r="K12" s="31">
        <f>$I13*J13</f>
        <v>0.53320000000000001</v>
      </c>
      <c r="L12" s="31">
        <f>$I13*K13</f>
        <v>1.3507022399999999</v>
      </c>
      <c r="M12" s="37"/>
    </row>
    <row r="13" spans="1:13" ht="15">
      <c r="I13" s="8">
        <f>J5</f>
        <v>0.53320000000000001</v>
      </c>
      <c r="J13" s="4">
        <f>SUM(J11:J12)</f>
        <v>1</v>
      </c>
      <c r="K13" s="8">
        <f>SUM(K11:K12)</f>
        <v>2.5331999999999999</v>
      </c>
      <c r="L13" s="8">
        <f>SUM(L11:L12)</f>
        <v>0.35070223999999994</v>
      </c>
      <c r="M13" s="38">
        <f>$I13*L13</f>
        <v>0.18699443436799998</v>
      </c>
    </row>
    <row r="14" spans="1:13" ht="15">
      <c r="I14" s="4"/>
      <c r="J14" s="36"/>
      <c r="K14" s="31">
        <f>$I15*J15</f>
        <v>0.61803398899999995</v>
      </c>
      <c r="L14" s="31">
        <f>$I15*K15</f>
        <v>1.9475697124940516</v>
      </c>
      <c r="M14" s="44">
        <f>SUM(M12:M13)</f>
        <v>0.18699443436799998</v>
      </c>
    </row>
    <row r="15" spans="1:13" ht="15">
      <c r="I15" s="8">
        <f>K5</f>
        <v>0.61803398899999995</v>
      </c>
      <c r="J15" s="4">
        <f>SUM(J13:J14)</f>
        <v>1</v>
      </c>
      <c r="K15" s="22">
        <f>SUM(K13:K14)</f>
        <v>3.1512339889999996</v>
      </c>
      <c r="L15" s="44">
        <f>SUM(L13:L14)</f>
        <v>2.2982719524940514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E2D8-DAD8-4A42-B7A5-1F71511548BA}">
  <dimension ref="A1:P16"/>
  <sheetViews>
    <sheetView workbookViewId="0">
      <selection activeCell="M5" sqref="M5"/>
    </sheetView>
  </sheetViews>
  <sheetFormatPr defaultColWidth="11.42578125" defaultRowHeight="14.45"/>
  <cols>
    <col min="10" max="10" width="15.5703125" bestFit="1" customWidth="1"/>
    <col min="12" max="12" width="16.42578125" bestFit="1" customWidth="1"/>
    <col min="13" max="13" width="13" bestFit="1" customWidth="1"/>
    <col min="14" max="14" width="15.5703125" bestFit="1" customWidth="1"/>
    <col min="15" max="15" width="14.5703125" bestFit="1" customWidth="1"/>
    <col min="16" max="16" width="17" bestFit="1" customWidth="1"/>
  </cols>
  <sheetData>
    <row r="1" spans="1:16" ht="15.6">
      <c r="A1" s="1" t="s">
        <v>0</v>
      </c>
      <c r="B1" s="4"/>
      <c r="C1" s="4"/>
      <c r="D1" s="4" t="s">
        <v>1</v>
      </c>
      <c r="E1" s="4"/>
      <c r="F1" s="4"/>
      <c r="G1" s="4" t="s">
        <v>2</v>
      </c>
    </row>
    <row r="2" spans="1:16" ht="15.6">
      <c r="B2" s="4"/>
      <c r="C2" s="25">
        <v>1</v>
      </c>
      <c r="D2" s="25">
        <v>0</v>
      </c>
      <c r="E2" s="25">
        <v>2</v>
      </c>
      <c r="F2" s="4"/>
      <c r="G2" s="26">
        <v>1</v>
      </c>
    </row>
    <row r="3" spans="1:16" ht="15.6">
      <c r="B3" s="4"/>
      <c r="C3" s="25">
        <v>-1</v>
      </c>
      <c r="D3" s="25">
        <v>1</v>
      </c>
      <c r="E3" s="25">
        <v>-1</v>
      </c>
      <c r="F3" s="4"/>
      <c r="G3" s="26">
        <v>0</v>
      </c>
    </row>
    <row r="4" spans="1:16" ht="15.6">
      <c r="B4" s="4"/>
      <c r="C4" s="25">
        <v>-2</v>
      </c>
      <c r="D4" s="25">
        <v>1</v>
      </c>
      <c r="E4" s="25">
        <v>-1</v>
      </c>
      <c r="F4" s="4"/>
      <c r="G4" s="26">
        <v>0</v>
      </c>
      <c r="L4" s="33" t="s">
        <v>3</v>
      </c>
      <c r="M4" s="33" t="s">
        <v>4</v>
      </c>
      <c r="N4" s="33" t="s">
        <v>5</v>
      </c>
    </row>
    <row r="5" spans="1:16" ht="15.6">
      <c r="B5" s="4"/>
      <c r="C5" s="4"/>
      <c r="D5" s="4"/>
      <c r="E5" s="4"/>
      <c r="F5" s="4"/>
      <c r="G5" s="4"/>
      <c r="L5" s="34">
        <v>0.53318145800000005</v>
      </c>
      <c r="M5" s="34">
        <v>0.61803398899999995</v>
      </c>
      <c r="N5" s="39">
        <v>1</v>
      </c>
    </row>
    <row r="6" spans="1:16" ht="18.600000000000001">
      <c r="B6" s="4" t="s">
        <v>12</v>
      </c>
      <c r="C6" s="4" t="s">
        <v>6</v>
      </c>
      <c r="D6" s="4" t="s">
        <v>7</v>
      </c>
      <c r="E6" s="4" t="s">
        <v>8</v>
      </c>
      <c r="F6" s="4"/>
      <c r="G6" s="4"/>
      <c r="I6" s="45" t="s">
        <v>13</v>
      </c>
      <c r="J6" s="35">
        <f>(-1)^3</f>
        <v>-1</v>
      </c>
      <c r="K6" s="4" t="s">
        <v>14</v>
      </c>
      <c r="L6" s="8">
        <f>J$6*$L5^3</f>
        <v>-0.15157414032154312</v>
      </c>
      <c r="M6" s="8">
        <f>J$6*$M5^3</f>
        <v>-0.23606797778638466</v>
      </c>
      <c r="N6" s="22">
        <f>J$6*$N5^3</f>
        <v>-1</v>
      </c>
    </row>
    <row r="7" spans="1:16" ht="18.600000000000001">
      <c r="B7" s="7" cm="1">
        <f t="array" ref="B7:B9">MMULT($C$2:$E$4,C7:C9)</f>
        <v>-5</v>
      </c>
      <c r="C7" s="7" cm="1">
        <f t="array" ref="C7:C9">MMULT($C$2:$E$4,D7:D9)</f>
        <v>-3</v>
      </c>
      <c r="D7" s="7" cm="1">
        <f t="array" ref="D7:D9">MMULT($C$2:$E$4,E7:E9)</f>
        <v>1</v>
      </c>
      <c r="E7" s="7">
        <f>G2</f>
        <v>1</v>
      </c>
      <c r="F7" s="4"/>
      <c r="G7" s="27">
        <f>B7</f>
        <v>-5</v>
      </c>
      <c r="I7" s="45" t="s">
        <v>15</v>
      </c>
      <c r="J7" s="35" cm="1">
        <f t="array" ref="J7:J9">MMULT(MINVERSE(C7:E9),G7:G9)</f>
        <v>1</v>
      </c>
      <c r="K7" s="4" t="s">
        <v>9</v>
      </c>
      <c r="L7" s="8">
        <f>J$7*$L5^2</f>
        <v>0.28428246715500582</v>
      </c>
      <c r="M7" s="8">
        <f>J$7*$M5^2</f>
        <v>0.38196601155925208</v>
      </c>
      <c r="N7" s="22">
        <f>J$7*$N5^2</f>
        <v>1</v>
      </c>
    </row>
    <row r="8" spans="1:16" ht="18.600000000000001">
      <c r="B8" s="7">
        <v>4</v>
      </c>
      <c r="C8" s="7">
        <v>0</v>
      </c>
      <c r="D8" s="7">
        <v>-1</v>
      </c>
      <c r="E8" s="7">
        <f t="shared" ref="E8:E9" si="0">G3</f>
        <v>0</v>
      </c>
      <c r="F8" s="4" t="s">
        <v>10</v>
      </c>
      <c r="G8" s="27">
        <f t="shared" ref="G8:G9" si="1">B8</f>
        <v>4</v>
      </c>
      <c r="I8" s="45" t="s">
        <v>16</v>
      </c>
      <c r="J8" s="35">
        <v>-3.9999999999999991</v>
      </c>
      <c r="K8" s="4" t="s">
        <v>5</v>
      </c>
      <c r="L8" s="8">
        <f>J$8*$L5</f>
        <v>-2.1327258319999998</v>
      </c>
      <c r="M8" s="8">
        <f>J$8*$M5</f>
        <v>-2.4721359559999994</v>
      </c>
      <c r="N8" s="22">
        <f>J$8*$N5</f>
        <v>-3.9999999999999991</v>
      </c>
    </row>
    <row r="9" spans="1:16" ht="18.600000000000001">
      <c r="B9" s="7">
        <v>7</v>
      </c>
      <c r="C9" s="7">
        <v>-1</v>
      </c>
      <c r="D9" s="7">
        <v>-2</v>
      </c>
      <c r="E9" s="7">
        <f t="shared" si="0"/>
        <v>0</v>
      </c>
      <c r="F9" s="4"/>
      <c r="G9" s="27">
        <f t="shared" si="1"/>
        <v>7</v>
      </c>
      <c r="I9" s="45" t="s">
        <v>17</v>
      </c>
      <c r="J9" s="35">
        <v>2</v>
      </c>
      <c r="K9" s="4">
        <v>1</v>
      </c>
      <c r="L9" s="8">
        <f>J9</f>
        <v>2</v>
      </c>
      <c r="M9" s="8">
        <f>J9</f>
        <v>2</v>
      </c>
      <c r="N9" s="22">
        <f>J9</f>
        <v>2</v>
      </c>
    </row>
    <row r="10" spans="1:16" ht="15.6">
      <c r="K10" s="4" t="s">
        <v>11</v>
      </c>
      <c r="L10" s="32">
        <f>SUM(L6:L9)</f>
        <v>-1.7505166537201688E-5</v>
      </c>
      <c r="M10" s="32">
        <f t="shared" ref="M10:N10" si="2">SUM(M6:M9)</f>
        <v>-0.32623792222713188</v>
      </c>
      <c r="N10" s="40">
        <f t="shared" si="2"/>
        <v>-1.9999999999999991</v>
      </c>
    </row>
    <row r="12" spans="1:16" ht="15.6">
      <c r="M12" s="37" cm="1">
        <f t="array" ref="M12:P12">TRANSPOSE(J6:J9)</f>
        <v>-1</v>
      </c>
      <c r="N12" s="37">
        <v>1</v>
      </c>
      <c r="O12" s="37">
        <v>-3.9999999999999991</v>
      </c>
      <c r="P12" s="37">
        <v>2</v>
      </c>
    </row>
    <row r="13" spans="1:16" ht="15">
      <c r="L13" s="8">
        <f>L5</f>
        <v>0.53318145800000005</v>
      </c>
      <c r="M13" s="36"/>
      <c r="N13" s="31">
        <f>$L13*M14</f>
        <v>-0.53318145800000005</v>
      </c>
      <c r="O13" s="31">
        <f t="shared" ref="O13:P15" si="3">$L13*N14</f>
        <v>0.24889899084499423</v>
      </c>
      <c r="P13" s="38">
        <f t="shared" si="3"/>
        <v>-2.0000175051665372</v>
      </c>
    </row>
    <row r="14" spans="1:16" ht="15">
      <c r="L14" s="4"/>
      <c r="M14" s="4">
        <f>SUM(M12:M13)</f>
        <v>-1</v>
      </c>
      <c r="N14" s="8">
        <f>SUM(N12:N13)</f>
        <v>0.46681854199999995</v>
      </c>
      <c r="O14" s="8">
        <f t="shared" ref="O14:P14" si="4">SUM(O12:O13)</f>
        <v>-3.751101009155005</v>
      </c>
      <c r="P14" s="48">
        <f t="shared" si="4"/>
        <v>-1.7505166537201688E-5</v>
      </c>
    </row>
    <row r="15" spans="1:16" ht="15">
      <c r="L15" s="8">
        <f>M5</f>
        <v>0.61803398899999995</v>
      </c>
      <c r="M15" s="36"/>
      <c r="N15" s="31">
        <f>$L15*M16</f>
        <v>-0.61803398899999995</v>
      </c>
      <c r="O15" s="31">
        <f t="shared" si="3"/>
        <v>-9.3456285907828077E-2</v>
      </c>
    </row>
    <row r="16" spans="1:16" ht="15">
      <c r="M16" s="4">
        <f>SUM(M14:M15)</f>
        <v>-1</v>
      </c>
      <c r="N16" s="22">
        <f>SUM(N14:N15)</f>
        <v>-0.151215447</v>
      </c>
      <c r="O16" s="44">
        <f t="shared" ref="O16" si="5">SUM(O14:O15)</f>
        <v>-3.8445572950628333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8829-262B-4C76-8A5F-D1B11D95A311}">
  <dimension ref="A1:P16"/>
  <sheetViews>
    <sheetView zoomScale="69" zoomScaleNormal="69" workbookViewId="0">
      <selection activeCell="R9" sqref="R9"/>
    </sheetView>
  </sheetViews>
  <sheetFormatPr defaultColWidth="11.42578125" defaultRowHeight="14.45"/>
  <cols>
    <col min="10" max="10" width="16.42578125" bestFit="1" customWidth="1"/>
    <col min="12" max="12" width="16.42578125" bestFit="1" customWidth="1"/>
    <col min="13" max="13" width="13" bestFit="1" customWidth="1"/>
    <col min="14" max="14" width="15.5703125" bestFit="1" customWidth="1"/>
    <col min="15" max="15" width="14.5703125" bestFit="1" customWidth="1"/>
    <col min="16" max="16" width="17" bestFit="1" customWidth="1"/>
  </cols>
  <sheetData>
    <row r="1" spans="1:16" ht="15.6">
      <c r="A1" s="1" t="s">
        <v>0</v>
      </c>
      <c r="B1" s="4"/>
      <c r="C1" s="4"/>
      <c r="D1" s="4" t="s">
        <v>1</v>
      </c>
      <c r="E1" s="4"/>
      <c r="F1" s="4"/>
      <c r="G1" s="4" t="s">
        <v>2</v>
      </c>
    </row>
    <row r="2" spans="1:16" ht="15.6">
      <c r="B2" s="4"/>
      <c r="C2" s="25">
        <v>0</v>
      </c>
      <c r="D2" s="25">
        <v>1</v>
      </c>
      <c r="E2" s="25">
        <v>1</v>
      </c>
      <c r="F2" s="4"/>
      <c r="G2" s="26">
        <v>1</v>
      </c>
    </row>
    <row r="3" spans="1:16" ht="15.6">
      <c r="B3" s="4"/>
      <c r="C3" s="25">
        <v>1</v>
      </c>
      <c r="D3" s="25">
        <v>2</v>
      </c>
      <c r="E3" s="25">
        <v>1</v>
      </c>
      <c r="F3" s="4"/>
      <c r="G3" s="26">
        <v>0</v>
      </c>
    </row>
    <row r="4" spans="1:16" ht="15.6">
      <c r="B4" s="4"/>
      <c r="C4" s="25">
        <v>1</v>
      </c>
      <c r="D4" s="25">
        <v>1</v>
      </c>
      <c r="E4" s="25">
        <v>0</v>
      </c>
      <c r="F4" s="4"/>
      <c r="G4" s="26">
        <v>0</v>
      </c>
      <c r="L4" s="33" t="s">
        <v>3</v>
      </c>
      <c r="M4" s="33" t="s">
        <v>4</v>
      </c>
      <c r="N4" s="33" t="s">
        <v>5</v>
      </c>
    </row>
    <row r="5" spans="1:16" ht="15.6">
      <c r="B5" s="4"/>
      <c r="C5" s="4"/>
      <c r="D5" s="4"/>
      <c r="E5" s="4"/>
      <c r="F5" s="4"/>
      <c r="G5" s="4"/>
      <c r="L5" s="39">
        <v>3</v>
      </c>
      <c r="M5" s="39">
        <v>-1</v>
      </c>
      <c r="N5" s="39">
        <v>1</v>
      </c>
    </row>
    <row r="6" spans="1:16" ht="18.600000000000001">
      <c r="B6" s="4" t="s">
        <v>12</v>
      </c>
      <c r="C6" s="4" t="s">
        <v>6</v>
      </c>
      <c r="D6" s="4" t="s">
        <v>7</v>
      </c>
      <c r="E6" s="4" t="s">
        <v>8</v>
      </c>
      <c r="F6" s="4"/>
      <c r="G6" s="4"/>
      <c r="I6" s="45" t="s">
        <v>18</v>
      </c>
      <c r="J6" s="35">
        <f>(-1)^3</f>
        <v>-1</v>
      </c>
      <c r="K6" s="4" t="s">
        <v>14</v>
      </c>
      <c r="L6" s="22">
        <f>J$6*$L5^3</f>
        <v>-27</v>
      </c>
      <c r="M6" s="22">
        <f>J$6*$M5^3</f>
        <v>1</v>
      </c>
      <c r="N6" s="22">
        <f>J$6*$N5^3</f>
        <v>-1</v>
      </c>
    </row>
    <row r="7" spans="1:16" ht="18.600000000000001">
      <c r="B7" s="7" cm="1">
        <f t="array" ref="B7:B9">MMULT($C$2:$E$4,C7:C9)</f>
        <v>4</v>
      </c>
      <c r="C7" s="7" cm="1">
        <f t="array" ref="C7:C9">MMULT($C$2:$E$4,D7:D9)</f>
        <v>2</v>
      </c>
      <c r="D7" s="7" cm="1">
        <f t="array" ref="D7:D9">MMULT($C$2:$E$4,E7:E9)</f>
        <v>0</v>
      </c>
      <c r="E7" s="7">
        <f>G2</f>
        <v>1</v>
      </c>
      <c r="F7" s="4"/>
      <c r="G7" s="27">
        <f>B7</f>
        <v>4</v>
      </c>
      <c r="I7" s="45" t="s">
        <v>19</v>
      </c>
      <c r="J7" s="99" cm="1">
        <f t="array" ref="J7:J9">MMULT(MINVERSE(C7:E9),G7:G9)</f>
        <v>2.0000000000000004</v>
      </c>
      <c r="K7" s="4" t="s">
        <v>9</v>
      </c>
      <c r="L7" s="22">
        <f>J$7*$L5^2</f>
        <v>18.000000000000004</v>
      </c>
      <c r="M7" s="22">
        <f>J$7*$M5^2</f>
        <v>2.0000000000000004</v>
      </c>
      <c r="N7" s="22">
        <f>J$7*$N5^2</f>
        <v>2.0000000000000004</v>
      </c>
    </row>
    <row r="8" spans="1:16" ht="18.600000000000001">
      <c r="B8" s="7">
        <v>9</v>
      </c>
      <c r="C8" s="7">
        <v>3</v>
      </c>
      <c r="D8" s="7">
        <v>1</v>
      </c>
      <c r="E8" s="7">
        <f t="shared" ref="E8:E9" si="0">G3</f>
        <v>0</v>
      </c>
      <c r="F8" s="4" t="s">
        <v>10</v>
      </c>
      <c r="G8" s="27">
        <f t="shared" ref="G8:G9" si="1">B8</f>
        <v>9</v>
      </c>
      <c r="I8" s="45" t="s">
        <v>20</v>
      </c>
      <c r="J8" s="99">
        <v>3</v>
      </c>
      <c r="K8" s="4" t="s">
        <v>5</v>
      </c>
      <c r="L8" s="22">
        <f>J$8*$L5</f>
        <v>9</v>
      </c>
      <c r="M8" s="22">
        <f>J$8*$M5</f>
        <v>-3</v>
      </c>
      <c r="N8" s="22">
        <f>J$8*$N5</f>
        <v>3</v>
      </c>
    </row>
    <row r="9" spans="1:16" ht="18.600000000000001">
      <c r="B9" s="7">
        <v>5</v>
      </c>
      <c r="C9" s="7">
        <v>1</v>
      </c>
      <c r="D9" s="7">
        <v>1</v>
      </c>
      <c r="E9" s="7">
        <f t="shared" si="0"/>
        <v>0</v>
      </c>
      <c r="F9" s="4"/>
      <c r="G9" s="27">
        <f t="shared" si="1"/>
        <v>5</v>
      </c>
      <c r="I9" s="45" t="s">
        <v>21</v>
      </c>
      <c r="J9" s="99">
        <v>8.8817841970012523E-16</v>
      </c>
      <c r="K9" s="4">
        <v>1</v>
      </c>
      <c r="L9" s="22">
        <f>J9</f>
        <v>8.8817841970012523E-16</v>
      </c>
      <c r="M9" s="22">
        <f>J9</f>
        <v>8.8817841970012523E-16</v>
      </c>
      <c r="N9" s="22">
        <f>J9</f>
        <v>8.8817841970012523E-16</v>
      </c>
    </row>
    <row r="10" spans="1:16" ht="15.6">
      <c r="K10" s="4" t="s">
        <v>11</v>
      </c>
      <c r="L10" s="40">
        <f>SUM(L6:L9)</f>
        <v>4.4408920985006262E-15</v>
      </c>
      <c r="M10" s="40">
        <f>SUM(M6:M9)</f>
        <v>1.3322676295501878E-15</v>
      </c>
      <c r="N10" s="40">
        <f>SUM(N6:N9)</f>
        <v>4.0000000000000009</v>
      </c>
    </row>
    <row r="12" spans="1:16" ht="15.6">
      <c r="M12" s="37" cm="1">
        <f t="array" ref="M12:P12">TRANSPOSE(J6:J9)</f>
        <v>-1</v>
      </c>
      <c r="N12" s="37">
        <v>2.0000000000000004</v>
      </c>
      <c r="O12" s="37">
        <v>3</v>
      </c>
      <c r="P12" s="47">
        <v>8.8817841970012523E-16</v>
      </c>
    </row>
    <row r="13" spans="1:16" ht="15">
      <c r="L13" s="8">
        <f>L5</f>
        <v>3</v>
      </c>
      <c r="M13" s="36"/>
      <c r="N13" s="38">
        <f>$L13*M14</f>
        <v>-3</v>
      </c>
      <c r="O13" s="38">
        <f>$L13*N14</f>
        <v>-2.9999999999999987</v>
      </c>
      <c r="P13" s="38">
        <f>$L13*O14</f>
        <v>0</v>
      </c>
    </row>
    <row r="14" spans="1:16" ht="15">
      <c r="L14" s="4"/>
      <c r="M14" s="4">
        <f>SUM(M12:M13)</f>
        <v>-1</v>
      </c>
      <c r="N14" s="22">
        <f>SUM(N12:N13)</f>
        <v>-0.99999999999999956</v>
      </c>
      <c r="O14" s="22">
        <f t="shared" ref="O14:P14" si="2">SUM(O12:O13)</f>
        <v>0</v>
      </c>
      <c r="P14" s="69">
        <f t="shared" si="2"/>
        <v>8.8817841970012523E-16</v>
      </c>
    </row>
    <row r="15" spans="1:16" ht="15">
      <c r="L15" s="8">
        <f>M5</f>
        <v>-1</v>
      </c>
      <c r="M15" s="36"/>
      <c r="N15" s="38">
        <f>$L15*M16</f>
        <v>1</v>
      </c>
      <c r="O15" s="38">
        <f t="shared" ref="O15" si="3">$L15*N16</f>
        <v>0</v>
      </c>
    </row>
    <row r="16" spans="1:16" ht="15">
      <c r="M16" s="4">
        <f>SUM(M14:M15)</f>
        <v>-1</v>
      </c>
      <c r="N16" s="22">
        <f>SUM(N14:N15)</f>
        <v>0</v>
      </c>
      <c r="O16" s="69">
        <f t="shared" ref="O16" si="4">SUM(O14:O15)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649A4-F92C-47A4-9C37-54A996522199}">
  <dimension ref="A1:Q18"/>
  <sheetViews>
    <sheetView workbookViewId="0">
      <selection activeCell="L5" sqref="L5"/>
    </sheetView>
  </sheetViews>
  <sheetFormatPr defaultColWidth="11.42578125" defaultRowHeight="14.45"/>
  <cols>
    <col min="5" max="5" width="12.140625" customWidth="1"/>
    <col min="6" max="6" width="3.140625" customWidth="1"/>
    <col min="7" max="7" width="7.28515625" customWidth="1"/>
    <col min="11" max="11" width="15.5703125" bestFit="1" customWidth="1"/>
    <col min="12" max="12" width="25.7109375" bestFit="1" customWidth="1"/>
    <col min="13" max="13" width="11.85546875" bestFit="1" customWidth="1"/>
    <col min="14" max="14" width="13" bestFit="1" customWidth="1"/>
    <col min="15" max="15" width="15.5703125" bestFit="1" customWidth="1"/>
    <col min="16" max="16" width="12" bestFit="1" customWidth="1"/>
    <col min="17" max="17" width="14.7109375" bestFit="1" customWidth="1"/>
  </cols>
  <sheetData>
    <row r="1" spans="1:17" ht="15.6">
      <c r="A1" s="1" t="s">
        <v>0</v>
      </c>
      <c r="B1" s="4"/>
      <c r="C1" s="4" t="s">
        <v>1</v>
      </c>
      <c r="D1" s="4"/>
      <c r="E1" s="4"/>
      <c r="F1" s="4"/>
      <c r="G1" s="4" t="s">
        <v>2</v>
      </c>
    </row>
    <row r="2" spans="1:17" ht="15.6">
      <c r="B2" s="25">
        <v>2</v>
      </c>
      <c r="C2" s="25">
        <v>0</v>
      </c>
      <c r="D2" s="25">
        <v>1</v>
      </c>
      <c r="E2" s="25">
        <v>1</v>
      </c>
      <c r="F2" s="4"/>
      <c r="G2" s="26">
        <v>1</v>
      </c>
    </row>
    <row r="3" spans="1:17" ht="15.6">
      <c r="B3" s="25">
        <v>3</v>
      </c>
      <c r="C3" s="25">
        <v>1</v>
      </c>
      <c r="D3" s="25">
        <v>4</v>
      </c>
      <c r="E3" s="25">
        <v>-1</v>
      </c>
      <c r="F3" s="4"/>
      <c r="G3" s="26">
        <v>0</v>
      </c>
    </row>
    <row r="4" spans="1:17" ht="15.6">
      <c r="B4" s="25">
        <v>0</v>
      </c>
      <c r="C4" s="25">
        <v>2</v>
      </c>
      <c r="D4" s="25">
        <v>5</v>
      </c>
      <c r="E4" s="25">
        <v>0</v>
      </c>
      <c r="F4" s="4"/>
      <c r="G4" s="26">
        <v>0</v>
      </c>
    </row>
    <row r="5" spans="1:17" ht="15.6">
      <c r="B5" s="25">
        <v>0</v>
      </c>
      <c r="C5" s="25">
        <v>-1</v>
      </c>
      <c r="D5" s="25">
        <v>-1</v>
      </c>
      <c r="E5" s="25">
        <v>1</v>
      </c>
      <c r="F5" s="4"/>
      <c r="G5" s="26">
        <v>0</v>
      </c>
      <c r="L5" s="33" t="s">
        <v>3</v>
      </c>
      <c r="M5" s="33" t="s">
        <v>4</v>
      </c>
      <c r="N5" s="33" t="s">
        <v>5</v>
      </c>
    </row>
    <row r="6" spans="1:17" ht="15.6">
      <c r="B6" s="4"/>
      <c r="C6" s="4"/>
      <c r="D6" s="4"/>
      <c r="E6" s="4"/>
      <c r="F6" s="4"/>
      <c r="G6" s="4"/>
      <c r="L6" s="34">
        <v>6.6763007575592592</v>
      </c>
      <c r="M6" s="34">
        <v>-0.77647683384012056</v>
      </c>
      <c r="N6" s="39">
        <v>1</v>
      </c>
    </row>
    <row r="7" spans="1:17" ht="18.600000000000001">
      <c r="A7" s="4" t="s">
        <v>22</v>
      </c>
      <c r="B7" s="4" t="s">
        <v>12</v>
      </c>
      <c r="C7" s="4" t="s">
        <v>6</v>
      </c>
      <c r="D7" s="4" t="s">
        <v>7</v>
      </c>
      <c r="E7" s="4" t="s">
        <v>8</v>
      </c>
      <c r="F7" s="4"/>
      <c r="G7" s="4"/>
      <c r="I7" s="42" t="s">
        <v>23</v>
      </c>
      <c r="J7" s="35">
        <f>(-1)^4</f>
        <v>1</v>
      </c>
      <c r="K7" s="4" t="s">
        <v>24</v>
      </c>
      <c r="L7" s="8">
        <f>J$7*$L6^4</f>
        <v>1986.7515984830375</v>
      </c>
      <c r="M7" s="60">
        <f>J$7*$M6^4</f>
        <v>0.3635080328395246</v>
      </c>
      <c r="N7" s="4">
        <f>J$7*$N6^4</f>
        <v>1</v>
      </c>
    </row>
    <row r="8" spans="1:17" ht="18.600000000000001">
      <c r="A8" s="43" cm="1">
        <f t="array" ref="A8:A11">MMULT($B$2:$E$5,B8:B11)</f>
        <v>52</v>
      </c>
      <c r="B8" s="7" cm="1">
        <f t="array" ref="B8:B11">MMULT($B$2:$E$5,C8:C11)</f>
        <v>11</v>
      </c>
      <c r="C8" s="7" cm="1">
        <f t="array" ref="C8:C11">MMULT($B$2:$E$5,D8:D11)</f>
        <v>4</v>
      </c>
      <c r="D8" s="7" cm="1">
        <f t="array" ref="D8:D11">MMULT($B$2:$E$5,E8:E11)</f>
        <v>2</v>
      </c>
      <c r="E8" s="7">
        <f>G2</f>
        <v>1</v>
      </c>
      <c r="F8" s="4"/>
      <c r="G8" s="27">
        <f>-A8</f>
        <v>-52</v>
      </c>
      <c r="I8" s="42" t="s">
        <v>25</v>
      </c>
      <c r="J8" s="35" cm="1">
        <f t="array" ref="J8:J11">MMULT(MINVERSE(B8:E11),G8:G11)</f>
        <v>-9</v>
      </c>
      <c r="K8" s="4" t="s">
        <v>14</v>
      </c>
      <c r="L8" s="8">
        <f>J$8*$L6^3</f>
        <v>-2678.2442906128508</v>
      </c>
      <c r="M8" s="8">
        <f>J$7*$M6^3</f>
        <v>-0.4681505191104931</v>
      </c>
      <c r="N8" s="22">
        <f>J$7*$N6^3</f>
        <v>1</v>
      </c>
    </row>
    <row r="9" spans="1:17" ht="18.600000000000001">
      <c r="A9" s="43">
        <v>291</v>
      </c>
      <c r="B9" s="7">
        <v>48</v>
      </c>
      <c r="C9" s="7">
        <v>9</v>
      </c>
      <c r="D9" s="7">
        <v>3</v>
      </c>
      <c r="E9" s="7">
        <f t="shared" ref="E9:E11" si="0">G3</f>
        <v>0</v>
      </c>
      <c r="F9" s="4" t="s">
        <v>10</v>
      </c>
      <c r="G9" s="27">
        <f>-A9</f>
        <v>-291</v>
      </c>
      <c r="I9" s="42" t="s">
        <v>26</v>
      </c>
      <c r="J9" s="35">
        <v>16</v>
      </c>
      <c r="K9" s="4" t="s">
        <v>9</v>
      </c>
      <c r="L9" s="8">
        <f>J$9*$L6^2</f>
        <v>713.1678688861814</v>
      </c>
      <c r="M9" s="8">
        <f>J$9*$M6^2</f>
        <v>9.6466603758460518</v>
      </c>
      <c r="N9" s="22">
        <f>J$9*$N6^2</f>
        <v>16</v>
      </c>
    </row>
    <row r="10" spans="1:17" ht="18.600000000000001">
      <c r="A10" s="43">
        <v>336</v>
      </c>
      <c r="B10" s="7">
        <v>48</v>
      </c>
      <c r="C10" s="7">
        <v>6</v>
      </c>
      <c r="D10" s="7">
        <v>0</v>
      </c>
      <c r="E10" s="7">
        <f t="shared" si="0"/>
        <v>0</v>
      </c>
      <c r="F10" s="4"/>
      <c r="G10" s="27">
        <f>-A10</f>
        <v>-336</v>
      </c>
      <c r="I10" s="42" t="s">
        <v>27</v>
      </c>
      <c r="J10" s="35">
        <v>-1</v>
      </c>
      <c r="K10" s="4" t="s">
        <v>5</v>
      </c>
      <c r="L10" s="8">
        <f>J10*L6</f>
        <v>-6.6763007575592592</v>
      </c>
      <c r="M10" s="8">
        <f>J$10*$M6</f>
        <v>0.77647683384012056</v>
      </c>
      <c r="N10" s="22">
        <f>J$10*$N6</f>
        <v>-1</v>
      </c>
    </row>
    <row r="11" spans="1:17" ht="18.600000000000001">
      <c r="A11" s="43">
        <v>-114</v>
      </c>
      <c r="B11" s="7">
        <v>-18</v>
      </c>
      <c r="C11" s="7">
        <v>-3</v>
      </c>
      <c r="D11" s="7">
        <v>0</v>
      </c>
      <c r="E11" s="7">
        <f t="shared" si="0"/>
        <v>0</v>
      </c>
      <c r="F11" s="4"/>
      <c r="G11" s="27">
        <f>-A11</f>
        <v>114</v>
      </c>
      <c r="I11" s="42" t="s">
        <v>28</v>
      </c>
      <c r="J11" s="35">
        <v>-15</v>
      </c>
      <c r="K11" s="4">
        <v>1</v>
      </c>
      <c r="L11" s="22">
        <f>J11</f>
        <v>-15</v>
      </c>
      <c r="M11" s="22">
        <f>J11</f>
        <v>-15</v>
      </c>
      <c r="N11" s="22">
        <f>J11</f>
        <v>-15</v>
      </c>
    </row>
    <row r="12" spans="1:17" ht="15.6">
      <c r="J12" s="100"/>
      <c r="K12" s="4" t="s">
        <v>11</v>
      </c>
      <c r="L12" s="32">
        <f>SUM(L7:L11)</f>
        <v>-1.124001191213253E-3</v>
      </c>
      <c r="M12" s="32">
        <f>SUM(M7:M11)</f>
        <v>-4.6815052765847955</v>
      </c>
      <c r="N12" s="40">
        <f>SUM(N7:N11)</f>
        <v>2</v>
      </c>
    </row>
    <row r="14" spans="1:17" ht="15.6">
      <c r="M14" s="37" cm="1">
        <f t="array" ref="M14:Q14">TRANSPOSE(J7:J11)</f>
        <v>1</v>
      </c>
      <c r="N14" s="37">
        <v>-9</v>
      </c>
      <c r="O14" s="37">
        <v>16</v>
      </c>
      <c r="P14" s="37">
        <v>-1</v>
      </c>
      <c r="Q14" s="41">
        <v>-15</v>
      </c>
    </row>
    <row r="15" spans="1:17" ht="15">
      <c r="L15" s="8">
        <f>L6</f>
        <v>6.6763007575592592</v>
      </c>
      <c r="M15" s="36"/>
      <c r="N15" s="31">
        <f>$L15*M16</f>
        <v>6.6763007575592592</v>
      </c>
      <c r="O15" s="31">
        <f>$L15*N16</f>
        <v>-15.513715012646994</v>
      </c>
      <c r="P15" s="31">
        <f>$L15*O16</f>
        <v>3.2465848294545685</v>
      </c>
      <c r="Q15" s="38">
        <f>$L15*P16</f>
        <v>14.998875998808675</v>
      </c>
    </row>
    <row r="16" spans="1:17" ht="15">
      <c r="L16" s="4"/>
      <c r="M16" s="4">
        <f>SUM(M14:M15)</f>
        <v>1</v>
      </c>
      <c r="N16" s="8">
        <f>SUM(N14:N15)</f>
        <v>-2.3236992424407408</v>
      </c>
      <c r="O16" s="8">
        <f>SUM(O14:O15)</f>
        <v>0.48628498735300596</v>
      </c>
      <c r="P16" s="8">
        <f>SUM(P14:P15)</f>
        <v>2.2465848294545685</v>
      </c>
      <c r="Q16" s="44">
        <f>SUM(Q14:Q15)</f>
        <v>-1.1240011913251635E-3</v>
      </c>
    </row>
    <row r="17" spans="12:15" ht="15">
      <c r="L17" s="8">
        <f>M6</f>
        <v>-0.77647683384012056</v>
      </c>
      <c r="M17" s="36"/>
      <c r="N17" s="31">
        <f>$L17*M18</f>
        <v>-0.77647683384012056</v>
      </c>
      <c r="O17" s="31">
        <f>$L17*N18</f>
        <v>2.4072149040574513</v>
      </c>
    </row>
    <row r="18" spans="12:15" ht="15">
      <c r="M18" s="4">
        <f>SUM(M16:M17)</f>
        <v>1</v>
      </c>
      <c r="N18" s="22">
        <f>SUM(N16:N17)</f>
        <v>-3.1001760762808614</v>
      </c>
      <c r="O18" s="44">
        <f>SUM(O16:O17)</f>
        <v>2.8934998914104573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B7F8-13D9-4021-9CB3-01DAB63AEAB2}">
  <dimension ref="A1:M17"/>
  <sheetViews>
    <sheetView workbookViewId="0">
      <selection activeCell="L5" sqref="L5"/>
    </sheetView>
  </sheetViews>
  <sheetFormatPr defaultColWidth="11.42578125" defaultRowHeight="14.45"/>
  <cols>
    <col min="10" max="10" width="15.5703125" bestFit="1" customWidth="1"/>
    <col min="11" max="11" width="12.7109375" bestFit="1" customWidth="1"/>
    <col min="12" max="13" width="13.7109375" bestFit="1" customWidth="1"/>
    <col min="14" max="14" width="15.5703125" bestFit="1" customWidth="1"/>
    <col min="15" max="15" width="12" bestFit="1" customWidth="1"/>
    <col min="16" max="16" width="14.7109375" bestFit="1" customWidth="1"/>
  </cols>
  <sheetData>
    <row r="1" spans="1:13" ht="15.6">
      <c r="A1" s="1" t="s">
        <v>0</v>
      </c>
      <c r="B1" s="4"/>
      <c r="C1" s="4" t="s">
        <v>1</v>
      </c>
      <c r="D1" s="4"/>
      <c r="F1" s="4" t="s">
        <v>2</v>
      </c>
    </row>
    <row r="2" spans="1:13" ht="15.6">
      <c r="C2" s="25">
        <v>1</v>
      </c>
      <c r="D2" s="25">
        <v>2</v>
      </c>
      <c r="F2" s="26">
        <v>1</v>
      </c>
    </row>
    <row r="3" spans="1:13" ht="15.6">
      <c r="C3" s="25">
        <v>3</v>
      </c>
      <c r="D3" s="25">
        <v>2</v>
      </c>
      <c r="F3" s="26">
        <v>0</v>
      </c>
    </row>
    <row r="4" spans="1:13" ht="15.6">
      <c r="B4" s="4"/>
      <c r="C4" s="4"/>
      <c r="E4" s="4"/>
      <c r="F4" s="4"/>
      <c r="H4" s="4"/>
      <c r="K4" s="33" t="s">
        <v>3</v>
      </c>
      <c r="L4" s="33" t="s">
        <v>4</v>
      </c>
      <c r="M4" s="33" t="s">
        <v>5</v>
      </c>
    </row>
    <row r="5" spans="1:13" ht="17.45">
      <c r="B5" s="72" t="s">
        <v>29</v>
      </c>
      <c r="C5" s="4" t="s">
        <v>7</v>
      </c>
      <c r="D5" s="4" t="s">
        <v>8</v>
      </c>
      <c r="E5" s="4"/>
      <c r="F5" s="4" t="s">
        <v>30</v>
      </c>
      <c r="J5" s="4"/>
      <c r="K5" s="39">
        <v>3.9999999997089617</v>
      </c>
      <c r="L5" s="39">
        <v>-1.0000190734135701</v>
      </c>
      <c r="M5" s="39">
        <v>1</v>
      </c>
    </row>
    <row r="6" spans="1:13" ht="18.600000000000001">
      <c r="B6" s="7" cm="1">
        <f t="array" ref="B6:B7">MMULT($C$2:$D$3,C6:C7)</f>
        <v>7</v>
      </c>
      <c r="C6" s="7" cm="1">
        <f t="array" ref="C6:C7">MMULT($C$2:$D$3,D6:D7)</f>
        <v>1</v>
      </c>
      <c r="D6" s="7">
        <f>F2</f>
        <v>1</v>
      </c>
      <c r="E6" s="4"/>
      <c r="F6" s="27">
        <f>-B6</f>
        <v>-7</v>
      </c>
      <c r="H6" s="45" t="s">
        <v>19</v>
      </c>
      <c r="I6" s="35">
        <f>(-1)^2</f>
        <v>1</v>
      </c>
      <c r="J6" s="4" t="s">
        <v>9</v>
      </c>
      <c r="K6" s="22">
        <f>I$6*$K5^2</f>
        <v>15.999999997671694</v>
      </c>
      <c r="L6" s="22">
        <f>I$6*$L5^2</f>
        <v>1.0000381471909354</v>
      </c>
      <c r="M6" s="22">
        <f>I$6*$M5^2</f>
        <v>1</v>
      </c>
    </row>
    <row r="7" spans="1:13" ht="18.600000000000001">
      <c r="B7" s="7">
        <v>9</v>
      </c>
      <c r="C7" s="7">
        <v>3</v>
      </c>
      <c r="D7" s="7">
        <f>F3</f>
        <v>0</v>
      </c>
      <c r="E7" s="4" t="s">
        <v>10</v>
      </c>
      <c r="F7" s="27">
        <f>-B7</f>
        <v>-9</v>
      </c>
      <c r="H7" s="45" t="s">
        <v>20</v>
      </c>
      <c r="I7" s="35" cm="1">
        <f t="array" ref="I7:I8">MMULT(MINVERSE(C6:D7),F6:F7)</f>
        <v>-3</v>
      </c>
      <c r="J7" s="4" t="s">
        <v>5</v>
      </c>
      <c r="K7" s="22">
        <f>I$7*$K5</f>
        <v>-11.999999999126885</v>
      </c>
      <c r="L7" s="22">
        <f>I$7*$L5</f>
        <v>3.0000572202407101</v>
      </c>
      <c r="M7" s="22">
        <f>I$7*$M5</f>
        <v>-3</v>
      </c>
    </row>
    <row r="8" spans="1:13" ht="18.600000000000001">
      <c r="B8" s="43"/>
      <c r="C8" s="43"/>
      <c r="E8" s="4"/>
      <c r="H8" s="45" t="s">
        <v>21</v>
      </c>
      <c r="I8" s="35">
        <v>-4</v>
      </c>
      <c r="J8" s="4">
        <v>1</v>
      </c>
      <c r="K8" s="22">
        <f>I8</f>
        <v>-4</v>
      </c>
      <c r="L8" s="22">
        <f>I8</f>
        <v>-4</v>
      </c>
      <c r="M8" s="22">
        <f>I8</f>
        <v>-4</v>
      </c>
    </row>
    <row r="9" spans="1:13" ht="15.6">
      <c r="J9" s="4" t="s">
        <v>11</v>
      </c>
      <c r="K9" s="40">
        <f>SUM(K6:K8)</f>
        <v>-1.4551915228366852E-9</v>
      </c>
      <c r="L9" s="40">
        <f>SUM(L6:L8)</f>
        <v>9.5367431645954071E-5</v>
      </c>
      <c r="M9" s="40">
        <f>SUM(M6:M8)</f>
        <v>-6</v>
      </c>
    </row>
    <row r="11" spans="1:13" ht="15.6">
      <c r="J11" s="4"/>
      <c r="K11" s="41" cm="1">
        <f t="array" ref="K11:M11">TRANSPOSE(I6:I8)</f>
        <v>1</v>
      </c>
      <c r="L11" s="41">
        <v>-3</v>
      </c>
      <c r="M11" s="41">
        <v>-4</v>
      </c>
    </row>
    <row r="12" spans="1:13" ht="15">
      <c r="J12" s="22">
        <f>K5</f>
        <v>3.9999999997089617</v>
      </c>
      <c r="K12" s="36"/>
      <c r="L12" s="14">
        <f>$J12*K13</f>
        <v>3.9999999997089617</v>
      </c>
      <c r="M12" s="14">
        <f>$J12*L13</f>
        <v>3.9999999985448085</v>
      </c>
    </row>
    <row r="13" spans="1:13" ht="15">
      <c r="J13" s="4"/>
      <c r="K13" s="4">
        <f>SUM(K11:K12)</f>
        <v>1</v>
      </c>
      <c r="L13" s="4">
        <f>SUM(L11:L12)</f>
        <v>0.9999999997089617</v>
      </c>
      <c r="M13" s="69">
        <f>SUM(M11:M12)</f>
        <v>-1.4551915228366852E-9</v>
      </c>
    </row>
    <row r="14" spans="1:13" ht="15">
      <c r="J14" s="22">
        <f>L5</f>
        <v>-1.0000190734135701</v>
      </c>
      <c r="K14" s="36"/>
      <c r="L14" s="14">
        <f>$J14*K15</f>
        <v>-1.0000190734135701</v>
      </c>
    </row>
    <row r="15" spans="1:13" ht="15">
      <c r="J15" s="4"/>
      <c r="K15" s="4">
        <f>SUM(K13:K14)</f>
        <v>1</v>
      </c>
      <c r="L15" s="69">
        <f>SUM(L13:L14)</f>
        <v>-1.9073704608407738E-5</v>
      </c>
    </row>
    <row r="16" spans="1:13" ht="15">
      <c r="I16" s="4"/>
      <c r="J16" s="4"/>
      <c r="K16" s="4"/>
      <c r="L16" s="4"/>
    </row>
    <row r="17" spans="9:12" ht="15">
      <c r="I17" s="4"/>
      <c r="J17" s="4"/>
      <c r="K17" s="4"/>
      <c r="L1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4259F-DB37-4974-A3B6-DD6A60947CC9}">
  <dimension ref="A1:P16"/>
  <sheetViews>
    <sheetView topLeftCell="D1" workbookViewId="0">
      <selection activeCell="K9" sqref="A1:K9"/>
    </sheetView>
  </sheetViews>
  <sheetFormatPr defaultColWidth="11.42578125" defaultRowHeight="14.45"/>
  <cols>
    <col min="10" max="10" width="15.5703125" bestFit="1" customWidth="1"/>
    <col min="12" max="12" width="16.42578125" bestFit="1" customWidth="1"/>
    <col min="13" max="13" width="13" bestFit="1" customWidth="1"/>
    <col min="14" max="14" width="15.5703125" bestFit="1" customWidth="1"/>
    <col min="15" max="15" width="14.5703125" bestFit="1" customWidth="1"/>
    <col min="16" max="16" width="17" bestFit="1" customWidth="1"/>
  </cols>
  <sheetData>
    <row r="1" spans="1:16" ht="15.6">
      <c r="A1" s="1" t="s">
        <v>0</v>
      </c>
      <c r="B1" s="4"/>
      <c r="C1" s="4"/>
      <c r="D1" s="4" t="s">
        <v>1</v>
      </c>
      <c r="E1" s="4"/>
      <c r="F1" s="4"/>
      <c r="G1" s="4" t="s">
        <v>2</v>
      </c>
    </row>
    <row r="2" spans="1:16" ht="15.6">
      <c r="B2" s="4"/>
      <c r="C2" s="25">
        <v>2</v>
      </c>
      <c r="D2" s="25">
        <v>2</v>
      </c>
      <c r="E2" s="25">
        <v>3</v>
      </c>
      <c r="F2" s="4"/>
      <c r="G2" s="26">
        <v>1</v>
      </c>
    </row>
    <row r="3" spans="1:16" ht="15.6">
      <c r="B3" s="4"/>
      <c r="C3" s="25">
        <v>-10</v>
      </c>
      <c r="D3" s="25">
        <v>-1</v>
      </c>
      <c r="E3" s="25">
        <v>2</v>
      </c>
      <c r="F3" s="4"/>
      <c r="G3" s="26">
        <v>0</v>
      </c>
    </row>
    <row r="4" spans="1:16" ht="15.6">
      <c r="B4" s="4"/>
      <c r="C4" s="25">
        <v>-2</v>
      </c>
      <c r="D4" s="25">
        <v>4</v>
      </c>
      <c r="E4" s="25">
        <v>9</v>
      </c>
      <c r="F4" s="4"/>
      <c r="G4" s="26">
        <v>0</v>
      </c>
      <c r="L4" s="33" t="s">
        <v>3</v>
      </c>
      <c r="M4" s="33" t="s">
        <v>4</v>
      </c>
      <c r="N4" s="33" t="s">
        <v>5</v>
      </c>
    </row>
    <row r="5" spans="1:16" ht="15.6">
      <c r="B5" s="4"/>
      <c r="C5" s="4"/>
      <c r="D5" s="4"/>
      <c r="E5" s="4"/>
      <c r="F5" s="4"/>
      <c r="G5" s="4"/>
      <c r="L5" s="34">
        <v>6.37228337179448</v>
      </c>
      <c r="M5" s="34">
        <v>0.62771867254821079</v>
      </c>
      <c r="N5" s="39">
        <v>1</v>
      </c>
    </row>
    <row r="6" spans="1:16" ht="18.600000000000001">
      <c r="B6" s="4" t="s">
        <v>12</v>
      </c>
      <c r="C6" s="4" t="s">
        <v>6</v>
      </c>
      <c r="D6" s="4" t="s">
        <v>7</v>
      </c>
      <c r="E6" s="4" t="s">
        <v>8</v>
      </c>
      <c r="F6" s="4"/>
      <c r="G6" s="4"/>
      <c r="I6" s="45" t="s">
        <v>18</v>
      </c>
      <c r="J6" s="35">
        <f>(-1)^3</f>
        <v>-1</v>
      </c>
      <c r="K6" s="4" t="s">
        <v>14</v>
      </c>
      <c r="L6" s="8">
        <f>J$6*$L5^3</f>
        <v>-258.75290909427213</v>
      </c>
      <c r="M6" s="8">
        <f>J$6*$M5^3</f>
        <v>-0.24734044794992957</v>
      </c>
      <c r="N6" s="22">
        <f>J$6*$N5^3</f>
        <v>-1</v>
      </c>
    </row>
    <row r="7" spans="1:16" ht="18.600000000000001">
      <c r="B7" s="7" cm="1">
        <f t="array" ref="B7:B9">MMULT($C$2:$E$4,C7:C9)</f>
        <v>-258</v>
      </c>
      <c r="C7" s="7" cm="1">
        <f t="array" ref="C7:C9">MMULT($C$2:$E$4,D7:D9)</f>
        <v>-22</v>
      </c>
      <c r="D7" s="7" cm="1">
        <f t="array" ref="D7:D9">MMULT($C$2:$E$4,E7:E9)</f>
        <v>2</v>
      </c>
      <c r="E7" s="7">
        <f>G2</f>
        <v>1</v>
      </c>
      <c r="F7" s="4"/>
      <c r="G7" s="27">
        <f>B7</f>
        <v>-258</v>
      </c>
      <c r="I7" s="45" t="s">
        <v>19</v>
      </c>
      <c r="J7" s="35" cm="1">
        <f t="array" ref="J7:J9">MMULT(MINVERSE(C7:E9),G7:G9)</f>
        <v>10</v>
      </c>
      <c r="K7" s="4" t="s">
        <v>9</v>
      </c>
      <c r="L7" s="8">
        <f>J$7*$L5^2</f>
        <v>406.05995370448426</v>
      </c>
      <c r="M7" s="8">
        <f>J$7*$M5^2</f>
        <v>3.9403073186568789</v>
      </c>
      <c r="N7" s="22">
        <f>J$7*$N5^2</f>
        <v>10</v>
      </c>
    </row>
    <row r="8" spans="1:16" ht="18.600000000000001">
      <c r="B8" s="7">
        <v>110</v>
      </c>
      <c r="C8" s="7">
        <v>-14</v>
      </c>
      <c r="D8" s="7">
        <v>-10</v>
      </c>
      <c r="E8" s="7">
        <f t="shared" ref="E8:E9" si="0">G3</f>
        <v>0</v>
      </c>
      <c r="F8" s="4" t="s">
        <v>10</v>
      </c>
      <c r="G8" s="27">
        <f t="shared" ref="G8:G9" si="1">B8</f>
        <v>110</v>
      </c>
      <c r="I8" s="45" t="s">
        <v>20</v>
      </c>
      <c r="J8" s="35">
        <v>-25</v>
      </c>
      <c r="K8" s="4" t="s">
        <v>5</v>
      </c>
      <c r="L8" s="8">
        <f>J$8*$L5</f>
        <v>-159.30708429486199</v>
      </c>
      <c r="M8" s="8">
        <f>J$8*$M5</f>
        <v>-15.69296681370527</v>
      </c>
      <c r="N8" s="22">
        <f>J$8*$N5</f>
        <v>-25</v>
      </c>
    </row>
    <row r="9" spans="1:16" ht="18.600000000000001">
      <c r="B9" s="7">
        <v>-570</v>
      </c>
      <c r="C9" s="7">
        <v>-62</v>
      </c>
      <c r="D9" s="7">
        <v>-2</v>
      </c>
      <c r="E9" s="7">
        <f t="shared" si="0"/>
        <v>0</v>
      </c>
      <c r="F9" s="4"/>
      <c r="G9" s="27">
        <f t="shared" si="1"/>
        <v>-570</v>
      </c>
      <c r="I9" s="45" t="s">
        <v>21</v>
      </c>
      <c r="J9" s="35">
        <v>12</v>
      </c>
      <c r="K9" s="4">
        <v>1</v>
      </c>
      <c r="L9" s="22">
        <f>J9</f>
        <v>12</v>
      </c>
      <c r="M9" s="22">
        <f>J9</f>
        <v>12</v>
      </c>
      <c r="N9" s="22">
        <f>J9</f>
        <v>12</v>
      </c>
    </row>
    <row r="10" spans="1:16" ht="15.6">
      <c r="K10" s="4" t="s">
        <v>11</v>
      </c>
      <c r="L10" s="40">
        <f>SUM(L6:L9)</f>
        <v>-3.968464986314757E-5</v>
      </c>
      <c r="M10" s="40">
        <f t="shared" ref="M10:N10" si="2">SUM(M6:M9)</f>
        <v>5.7001678044343862E-8</v>
      </c>
      <c r="N10" s="40">
        <f t="shared" si="2"/>
        <v>-4</v>
      </c>
    </row>
    <row r="12" spans="1:16" ht="15.6">
      <c r="M12" s="37" cm="1">
        <f t="array" ref="M12:P12">TRANSPOSE(J6:J9)</f>
        <v>-1</v>
      </c>
      <c r="N12" s="37">
        <v>10</v>
      </c>
      <c r="O12" s="37">
        <v>-25</v>
      </c>
      <c r="P12" s="37">
        <v>12</v>
      </c>
    </row>
    <row r="13" spans="1:16" ht="15">
      <c r="L13" s="8">
        <f>L5</f>
        <v>6.37228337179448</v>
      </c>
      <c r="M13" s="36"/>
      <c r="N13" s="31">
        <f>$L13*M14</f>
        <v>-6.37228337179448</v>
      </c>
      <c r="O13" s="31">
        <f>$L13*N14</f>
        <v>23.116838347496373</v>
      </c>
      <c r="P13" s="38">
        <f t="shared" ref="O13:P15" si="3">$L13*O14</f>
        <v>-12.000039684649879</v>
      </c>
    </row>
    <row r="14" spans="1:16" ht="15">
      <c r="L14" s="4"/>
      <c r="M14" s="4">
        <f>SUM(M12:M13)</f>
        <v>-1</v>
      </c>
      <c r="N14" s="8">
        <f>SUM(N12:N13)</f>
        <v>3.62771662820552</v>
      </c>
      <c r="O14" s="8">
        <f t="shared" ref="O14" si="4">SUM(O12:O13)</f>
        <v>-1.8831616525036274</v>
      </c>
      <c r="P14" s="69">
        <f>SUM(P12:P13)</f>
        <v>-3.9684649879134781E-5</v>
      </c>
    </row>
    <row r="15" spans="1:16" ht="15">
      <c r="L15" s="8">
        <f>M5</f>
        <v>0.62771867254821079</v>
      </c>
      <c r="M15" s="36"/>
      <c r="N15" s="31">
        <f>$L15*M16</f>
        <v>-0.62771867254821079</v>
      </c>
      <c r="O15" s="31">
        <f t="shared" si="3"/>
        <v>1.8831547343725523</v>
      </c>
    </row>
    <row r="16" spans="1:16" ht="15">
      <c r="M16" s="4">
        <f>SUM(M14:M15)</f>
        <v>-1</v>
      </c>
      <c r="N16" s="22">
        <f>SUM(N14:N15)</f>
        <v>2.9999979556573093</v>
      </c>
      <c r="O16" s="69">
        <f t="shared" ref="O16" si="5">SUM(O14:O15)</f>
        <v>-6.9181310751176284E-6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D69F-3F47-4D85-BFC6-B340D3FD3B2F}">
  <dimension ref="A1:Q19"/>
  <sheetViews>
    <sheetView tabSelected="1" workbookViewId="0">
      <selection activeCell="P8" sqref="P8"/>
    </sheetView>
  </sheetViews>
  <sheetFormatPr defaultColWidth="11.42578125" defaultRowHeight="14.45"/>
  <cols>
    <col min="5" max="5" width="12.140625" customWidth="1"/>
    <col min="6" max="6" width="3.140625" customWidth="1"/>
    <col min="7" max="7" width="7.28515625" customWidth="1"/>
    <col min="8" max="10" width="11.42578125" bestFit="1" customWidth="1"/>
    <col min="11" max="11" width="15.5703125" bestFit="1" customWidth="1"/>
    <col min="12" max="12" width="25.7109375" bestFit="1" customWidth="1"/>
    <col min="13" max="13" width="11.85546875" bestFit="1" customWidth="1"/>
    <col min="14" max="14" width="13" bestFit="1" customWidth="1"/>
    <col min="15" max="15" width="15.5703125" bestFit="1" customWidth="1"/>
    <col min="16" max="16" width="12" bestFit="1" customWidth="1"/>
    <col min="17" max="17" width="14.7109375" bestFit="1" customWidth="1"/>
  </cols>
  <sheetData>
    <row r="1" spans="1:17" ht="15.6">
      <c r="A1" s="1" t="s">
        <v>0</v>
      </c>
      <c r="B1" s="4"/>
      <c r="C1" s="4" t="s">
        <v>1</v>
      </c>
      <c r="D1" s="4"/>
      <c r="E1" s="4"/>
      <c r="F1" s="4"/>
      <c r="G1" s="4" t="s">
        <v>2</v>
      </c>
    </row>
    <row r="2" spans="1:17" ht="15.6">
      <c r="B2" s="25">
        <v>-2</v>
      </c>
      <c r="C2" s="25">
        <v>2</v>
      </c>
      <c r="D2" s="25">
        <v>0</v>
      </c>
      <c r="E2" s="25">
        <v>1</v>
      </c>
      <c r="F2" s="4"/>
      <c r="G2" s="26">
        <v>1</v>
      </c>
    </row>
    <row r="3" spans="1:17" ht="15.6">
      <c r="B3" s="25">
        <v>0</v>
      </c>
      <c r="C3" s="25">
        <v>-6</v>
      </c>
      <c r="D3" s="25">
        <v>1</v>
      </c>
      <c r="E3" s="25">
        <v>-1</v>
      </c>
      <c r="F3" s="4"/>
      <c r="G3" s="26">
        <v>0</v>
      </c>
    </row>
    <row r="4" spans="1:17" ht="15.6">
      <c r="B4" s="25">
        <v>-1</v>
      </c>
      <c r="C4" s="25">
        <v>3</v>
      </c>
      <c r="D4" s="25">
        <v>2</v>
      </c>
      <c r="E4" s="25">
        <v>0</v>
      </c>
      <c r="F4" s="4"/>
      <c r="G4" s="26">
        <v>0</v>
      </c>
    </row>
    <row r="5" spans="1:17" ht="15.6">
      <c r="B5" s="25">
        <v>0</v>
      </c>
      <c r="C5" s="25">
        <v>-1</v>
      </c>
      <c r="D5" s="25">
        <v>-1</v>
      </c>
      <c r="E5" s="25">
        <v>1</v>
      </c>
      <c r="F5" s="4"/>
      <c r="G5" s="26">
        <v>0</v>
      </c>
      <c r="L5" s="33" t="s">
        <v>3</v>
      </c>
      <c r="M5" s="33" t="s">
        <v>4</v>
      </c>
      <c r="N5" s="33" t="s">
        <v>5</v>
      </c>
    </row>
    <row r="6" spans="1:17" ht="15.6">
      <c r="B6" s="4"/>
      <c r="C6" s="4"/>
      <c r="D6" s="4"/>
      <c r="E6" s="4"/>
      <c r="F6" s="4"/>
      <c r="G6" s="4"/>
      <c r="L6" s="34">
        <v>0.6608458147174181</v>
      </c>
      <c r="M6" s="34">
        <v>-6.4867999999999997</v>
      </c>
      <c r="N6" s="39">
        <v>1</v>
      </c>
    </row>
    <row r="7" spans="1:17" ht="18.600000000000001">
      <c r="A7" s="4" t="s">
        <v>22</v>
      </c>
      <c r="B7" s="4" t="s">
        <v>12</v>
      </c>
      <c r="C7" s="4" t="s">
        <v>6</v>
      </c>
      <c r="D7" s="4" t="s">
        <v>7</v>
      </c>
      <c r="E7" s="4" t="s">
        <v>8</v>
      </c>
      <c r="F7" s="4"/>
      <c r="G7" s="4"/>
      <c r="I7" s="42" t="s">
        <v>23</v>
      </c>
      <c r="J7" s="35">
        <f>(-1)^4</f>
        <v>1</v>
      </c>
      <c r="K7" s="4" t="s">
        <v>24</v>
      </c>
      <c r="L7" s="8">
        <f>J$7*$L6^4</f>
        <v>0.19072190476603446</v>
      </c>
      <c r="M7" s="8">
        <f>J$7*$M6^4</f>
        <v>1770.606410071191</v>
      </c>
      <c r="N7" s="22">
        <f>J$7*$N6^4</f>
        <v>1</v>
      </c>
    </row>
    <row r="8" spans="1:17" ht="18.600000000000001">
      <c r="A8" s="43" cm="1">
        <f t="array" ref="A8:A11">MMULT($B$2:$E$5,B8:B11)</f>
        <v>30</v>
      </c>
      <c r="B8" s="7" cm="1">
        <f t="array" ref="B8:B11">MMULT($B$2:$E$5,C8:C11)</f>
        <v>-9</v>
      </c>
      <c r="C8" s="7" cm="1">
        <f t="array" ref="C8:C11">MMULT($B$2:$E$5,D8:D11)</f>
        <v>4</v>
      </c>
      <c r="D8" s="7" cm="1">
        <f t="array" ref="D8:D11">MMULT($B$2:$E$5,E8:E11)</f>
        <v>-2</v>
      </c>
      <c r="E8" s="7">
        <f>G2</f>
        <v>1</v>
      </c>
      <c r="F8" s="4"/>
      <c r="G8" s="27">
        <f>-A8</f>
        <v>-30</v>
      </c>
      <c r="I8" s="42" t="s">
        <v>25</v>
      </c>
      <c r="J8" s="35" cm="1">
        <f t="array" ref="J8:J11">MMULT(MINVERSE(B8:E11),G8:G11)</f>
        <v>5</v>
      </c>
      <c r="K8" s="4" t="s">
        <v>14</v>
      </c>
      <c r="L8" s="8">
        <f>J$8*$L6^3</f>
        <v>1.4430136388742083</v>
      </c>
      <c r="M8" s="8">
        <f>J$8*$M6^3</f>
        <v>-1364.7764769001597</v>
      </c>
      <c r="N8" s="22">
        <f>J$8*$N6^3</f>
        <v>5</v>
      </c>
    </row>
    <row r="9" spans="1:17" ht="18.600000000000001">
      <c r="A9" s="43">
        <v>-39</v>
      </c>
      <c r="B9" s="7">
        <v>5</v>
      </c>
      <c r="C9" s="7">
        <v>-1</v>
      </c>
      <c r="D9" s="7">
        <v>0</v>
      </c>
      <c r="E9" s="7">
        <f>G3</f>
        <v>0</v>
      </c>
      <c r="F9" s="4" t="s">
        <v>10</v>
      </c>
      <c r="G9" s="27">
        <f>-A9</f>
        <v>39</v>
      </c>
      <c r="I9" s="42" t="s">
        <v>26</v>
      </c>
      <c r="J9" s="35">
        <v>-14</v>
      </c>
      <c r="K9" s="4" t="s">
        <v>9</v>
      </c>
      <c r="L9" s="8">
        <f>J$9*$L6^2</f>
        <v>-6.1140406716133935</v>
      </c>
      <c r="M9" s="8">
        <f>J$9*$M6^2</f>
        <v>-589.10003935999998</v>
      </c>
      <c r="N9" s="22">
        <f>J$9*$N6^2</f>
        <v>-14</v>
      </c>
    </row>
    <row r="10" spans="1:17" ht="18.600000000000001">
      <c r="A10" s="43">
        <v>10</v>
      </c>
      <c r="B10" s="7">
        <v>-7</v>
      </c>
      <c r="C10" s="7">
        <v>0</v>
      </c>
      <c r="D10" s="7">
        <v>-1</v>
      </c>
      <c r="E10" s="7">
        <f>G4</f>
        <v>0</v>
      </c>
      <c r="F10" s="4"/>
      <c r="G10" s="27">
        <f>-A10</f>
        <v>-10</v>
      </c>
      <c r="I10" s="42" t="s">
        <v>27</v>
      </c>
      <c r="J10" s="35">
        <v>-25</v>
      </c>
      <c r="K10" s="4" t="s">
        <v>5</v>
      </c>
      <c r="L10" s="8">
        <f>J$10*$L6</f>
        <v>-16.521145367935453</v>
      </c>
      <c r="M10" s="8">
        <f>J$10*$M6</f>
        <v>162.16999999999999</v>
      </c>
      <c r="N10" s="22">
        <f>J$10*$N6</f>
        <v>-25</v>
      </c>
    </row>
    <row r="11" spans="1:17" ht="18.600000000000001">
      <c r="A11" s="43">
        <v>4</v>
      </c>
      <c r="B11" s="7">
        <v>2</v>
      </c>
      <c r="C11" s="7">
        <v>1</v>
      </c>
      <c r="D11" s="7">
        <v>0</v>
      </c>
      <c r="E11" s="7">
        <f>G5</f>
        <v>0</v>
      </c>
      <c r="F11" s="4"/>
      <c r="G11" s="27">
        <f>-A11</f>
        <v>-4</v>
      </c>
      <c r="I11" s="42" t="s">
        <v>28</v>
      </c>
      <c r="J11" s="35">
        <v>20.999999999999993</v>
      </c>
      <c r="K11" s="4">
        <v>1</v>
      </c>
      <c r="L11" s="22">
        <f>J11</f>
        <v>20.999999999999993</v>
      </c>
      <c r="M11" s="22">
        <f>J11</f>
        <v>20.999999999999993</v>
      </c>
      <c r="N11" s="22">
        <f>J11</f>
        <v>20.999999999999993</v>
      </c>
    </row>
    <row r="12" spans="1:17" ht="15.6">
      <c r="J12" s="100"/>
      <c r="K12" s="4" t="s">
        <v>11</v>
      </c>
      <c r="L12" s="32">
        <f>SUM(L7:L11)</f>
        <v>-1.4504959086103497E-3</v>
      </c>
      <c r="M12" s="32">
        <f>SUM(M7:M11)</f>
        <v>-0.10010618896863122</v>
      </c>
      <c r="N12" s="40">
        <f>SUM(N7:N11)</f>
        <v>-12.000000000000007</v>
      </c>
    </row>
    <row r="14" spans="1:17" ht="15.6">
      <c r="M14" s="37" cm="1">
        <f t="array" ref="M14:Q14">TRANSPOSE(J7:J11)</f>
        <v>1</v>
      </c>
      <c r="N14" s="37">
        <v>5</v>
      </c>
      <c r="O14" s="37">
        <v>-14</v>
      </c>
      <c r="P14" s="37">
        <v>-25</v>
      </c>
      <c r="Q14" s="41">
        <v>20.999999999999993</v>
      </c>
    </row>
    <row r="15" spans="1:17" ht="15">
      <c r="L15" s="8">
        <f>L6</f>
        <v>0.6608458147174181</v>
      </c>
      <c r="M15" s="36"/>
      <c r="N15" s="31">
        <f>$L15*M16</f>
        <v>0.6608458147174181</v>
      </c>
      <c r="O15" s="31">
        <f>$L15*N16</f>
        <v>3.7409462644166185</v>
      </c>
      <c r="P15" s="38">
        <f>$L15*O16</f>
        <v>-6.7796527241213722</v>
      </c>
      <c r="Q15" s="38">
        <f>$L15*P16</f>
        <v>-21.001450495908603</v>
      </c>
    </row>
    <row r="16" spans="1:17" ht="15">
      <c r="L16" s="4"/>
      <c r="M16" s="4">
        <f>SUM(M14:M15)</f>
        <v>1</v>
      </c>
      <c r="N16" s="8">
        <f>SUM(N14:N15)</f>
        <v>5.6608458147174181</v>
      </c>
      <c r="O16" s="8">
        <f>SUM(O14:O15)</f>
        <v>-10.259053735583382</v>
      </c>
      <c r="P16" s="101">
        <f>SUM(P14:P15)</f>
        <v>-31.779652724121373</v>
      </c>
      <c r="Q16" s="44">
        <f>SUM(Q14:Q15)</f>
        <v>-1.4504959086103497E-3</v>
      </c>
    </row>
    <row r="17" spans="9:15" ht="15">
      <c r="L17" s="8">
        <f>M6</f>
        <v>-6.4867999999999997</v>
      </c>
      <c r="M17" s="36"/>
      <c r="N17" s="31">
        <f>$L17*M18</f>
        <v>-6.4867999999999997</v>
      </c>
      <c r="O17" s="31">
        <f>$L17*N18</f>
        <v>5.3577996090910496</v>
      </c>
    </row>
    <row r="18" spans="9:15" ht="15">
      <c r="M18" s="4">
        <f>SUM(M16:M17)</f>
        <v>1</v>
      </c>
      <c r="N18" s="22">
        <f>SUM(N16:N17)</f>
        <v>-0.82595418528258158</v>
      </c>
      <c r="O18" s="44">
        <f>SUM(O16:O17)</f>
        <v>-4.9012541264923328</v>
      </c>
    </row>
    <row r="19" spans="9:15" ht="15.75">
      <c r="I19" s="34">
        <v>-6.4868118290459797</v>
      </c>
      <c r="J19" s="34">
        <v>0.6608458147174181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22E15-F98E-4A6E-925D-F7932B76B947}">
  <dimension ref="A1:M15"/>
  <sheetViews>
    <sheetView workbookViewId="0">
      <selection activeCell="L15" sqref="L15"/>
    </sheetView>
  </sheetViews>
  <sheetFormatPr defaultColWidth="11.42578125" defaultRowHeight="14.45"/>
  <cols>
    <col min="10" max="10" width="15.5703125" bestFit="1" customWidth="1"/>
    <col min="11" max="11" width="12.7109375" bestFit="1" customWidth="1"/>
    <col min="12" max="13" width="13.7109375" bestFit="1" customWidth="1"/>
    <col min="14" max="14" width="15.5703125" bestFit="1" customWidth="1"/>
    <col min="15" max="15" width="12" bestFit="1" customWidth="1"/>
    <col min="16" max="16" width="14.7109375" bestFit="1" customWidth="1"/>
  </cols>
  <sheetData>
    <row r="1" spans="1:13" ht="15.6">
      <c r="A1" s="1" t="s">
        <v>0</v>
      </c>
      <c r="B1" s="4"/>
      <c r="C1" s="4" t="s">
        <v>1</v>
      </c>
      <c r="D1" s="4"/>
      <c r="F1" s="4" t="s">
        <v>2</v>
      </c>
    </row>
    <row r="2" spans="1:13" ht="15.6">
      <c r="C2" s="25">
        <v>4</v>
      </c>
      <c r="D2" s="25">
        <v>3</v>
      </c>
      <c r="F2" s="26">
        <v>1</v>
      </c>
    </row>
    <row r="3" spans="1:13" ht="15.6">
      <c r="C3" s="25">
        <v>6</v>
      </c>
      <c r="D3" s="25">
        <v>-3</v>
      </c>
      <c r="F3" s="26">
        <v>0</v>
      </c>
    </row>
    <row r="4" spans="1:13" ht="15.6">
      <c r="B4" s="4"/>
      <c r="C4" s="4"/>
      <c r="E4" s="4"/>
      <c r="F4" s="4"/>
      <c r="H4" s="4"/>
      <c r="K4" s="33" t="s">
        <v>3</v>
      </c>
      <c r="L4" s="33" t="s">
        <v>4</v>
      </c>
      <c r="M4" s="33" t="s">
        <v>5</v>
      </c>
    </row>
    <row r="5" spans="1:13" ht="17.45">
      <c r="B5" s="4" t="s">
        <v>6</v>
      </c>
      <c r="C5" s="4" t="s">
        <v>7</v>
      </c>
      <c r="D5" s="4" t="s">
        <v>8</v>
      </c>
      <c r="E5" s="4"/>
      <c r="F5" s="4"/>
      <c r="J5" s="4"/>
      <c r="K5" s="34">
        <v>6</v>
      </c>
      <c r="L5" s="34">
        <v>-5</v>
      </c>
      <c r="M5" s="39">
        <v>1</v>
      </c>
    </row>
    <row r="6" spans="1:13" ht="18.600000000000001">
      <c r="B6" s="7" cm="1">
        <f t="array" ref="B6:B7">MMULT($C$2:$D$3,C6:C7)</f>
        <v>34</v>
      </c>
      <c r="C6" s="7" cm="1">
        <f t="array" ref="C6:C7">MMULT($C$2:$D$3,D6:D7)</f>
        <v>4</v>
      </c>
      <c r="D6" s="7">
        <f>F2</f>
        <v>1</v>
      </c>
      <c r="E6" s="4"/>
      <c r="F6" s="27">
        <f>-B6</f>
        <v>-34</v>
      </c>
      <c r="H6" s="42" t="s">
        <v>26</v>
      </c>
      <c r="I6" s="35">
        <f>(-1)^2</f>
        <v>1</v>
      </c>
      <c r="J6" s="4" t="s">
        <v>9</v>
      </c>
      <c r="K6" s="22">
        <f>I$6*$K5^2</f>
        <v>36</v>
      </c>
      <c r="L6" s="22">
        <f>I$6*$L5^2</f>
        <v>25</v>
      </c>
      <c r="M6" s="22">
        <f>I$6*$M5^2</f>
        <v>1</v>
      </c>
    </row>
    <row r="7" spans="1:13" ht="18.600000000000001">
      <c r="B7" s="7">
        <v>6</v>
      </c>
      <c r="C7" s="7">
        <v>6</v>
      </c>
      <c r="D7" s="7">
        <f>F3</f>
        <v>0</v>
      </c>
      <c r="E7" s="4" t="s">
        <v>10</v>
      </c>
      <c r="F7" s="27">
        <f>-B7</f>
        <v>-6</v>
      </c>
      <c r="H7" s="42" t="s">
        <v>27</v>
      </c>
      <c r="I7" s="35" cm="1">
        <f t="array" ref="I7:I8">MMULT(MINVERSE(C6:D7),F6:F7)</f>
        <v>-1</v>
      </c>
      <c r="J7" s="4" t="s">
        <v>5</v>
      </c>
      <c r="K7" s="22">
        <f>I$7*$K5</f>
        <v>-6</v>
      </c>
      <c r="L7" s="22">
        <f>I$7*$L5</f>
        <v>5</v>
      </c>
      <c r="M7" s="22">
        <f>I$7*$M5</f>
        <v>-1</v>
      </c>
    </row>
    <row r="8" spans="1:13" ht="18.600000000000001">
      <c r="B8" s="43"/>
      <c r="C8" s="43"/>
      <c r="E8" s="4"/>
      <c r="H8" s="42" t="s">
        <v>28</v>
      </c>
      <c r="I8" s="35">
        <v>-30</v>
      </c>
      <c r="J8" s="4">
        <v>1</v>
      </c>
      <c r="K8" s="22">
        <f>I8</f>
        <v>-30</v>
      </c>
      <c r="L8" s="22">
        <f>I8</f>
        <v>-30</v>
      </c>
      <c r="M8" s="22">
        <f>I8</f>
        <v>-30</v>
      </c>
    </row>
    <row r="9" spans="1:13" ht="15.6">
      <c r="J9" s="4" t="s">
        <v>11</v>
      </c>
      <c r="K9" s="40">
        <f>SUM(K6:K8)</f>
        <v>0</v>
      </c>
      <c r="L9" s="40">
        <f>SUM(L6:L8)</f>
        <v>0</v>
      </c>
      <c r="M9" s="40">
        <f>SUM(M6:M8)</f>
        <v>-30</v>
      </c>
    </row>
    <row r="11" spans="1:13" ht="15.6">
      <c r="J11" s="4"/>
      <c r="K11" s="41" cm="1">
        <f t="array" ref="K11:M11">TRANSPOSE(I6:I8)</f>
        <v>1</v>
      </c>
      <c r="L11" s="41">
        <v>-1</v>
      </c>
      <c r="M11" s="41">
        <v>-30</v>
      </c>
    </row>
    <row r="12" spans="1:13" ht="15">
      <c r="J12" s="8">
        <f>K5</f>
        <v>6</v>
      </c>
      <c r="K12" s="36"/>
      <c r="L12" s="14">
        <f>$J12*K13</f>
        <v>6</v>
      </c>
      <c r="M12" s="38">
        <f>$J12*L13</f>
        <v>30</v>
      </c>
    </row>
    <row r="13" spans="1:13" ht="15">
      <c r="J13" s="4"/>
      <c r="K13" s="4">
        <f>SUM(K11:K12)</f>
        <v>1</v>
      </c>
      <c r="L13" s="4">
        <f>SUM(L11:L12)</f>
        <v>5</v>
      </c>
      <c r="M13" s="69">
        <f>SUM(M11:M12)</f>
        <v>0</v>
      </c>
    </row>
    <row r="14" spans="1:13" ht="15">
      <c r="J14" s="8">
        <f>L5</f>
        <v>-5</v>
      </c>
      <c r="K14" s="36"/>
      <c r="L14" s="14">
        <f>$J14*K15</f>
        <v>-5</v>
      </c>
    </row>
    <row r="15" spans="1:13" ht="15">
      <c r="J15" s="4"/>
      <c r="K15" s="4">
        <f>SUM(K13:K14)</f>
        <v>1</v>
      </c>
      <c r="L15" s="69">
        <f>SUM(L13:L14)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44BA-137E-410A-AE91-FD47B1D48EBE}">
  <dimension ref="A1:P16"/>
  <sheetViews>
    <sheetView workbookViewId="0">
      <selection activeCell="A2" sqref="A2:K9"/>
    </sheetView>
  </sheetViews>
  <sheetFormatPr defaultColWidth="11.42578125" defaultRowHeight="14.45"/>
  <cols>
    <col min="10" max="10" width="15.5703125" bestFit="1" customWidth="1"/>
    <col min="11" max="11" width="11.42578125" bestFit="1" customWidth="1"/>
    <col min="12" max="12" width="16.42578125" bestFit="1" customWidth="1"/>
    <col min="13" max="13" width="13" bestFit="1" customWidth="1"/>
    <col min="14" max="14" width="15.5703125" bestFit="1" customWidth="1"/>
    <col min="15" max="15" width="14.5703125" bestFit="1" customWidth="1"/>
    <col min="16" max="16" width="17" bestFit="1" customWidth="1"/>
  </cols>
  <sheetData>
    <row r="1" spans="1:16" ht="15.6">
      <c r="A1" s="1" t="s">
        <v>0</v>
      </c>
      <c r="B1" s="4"/>
      <c r="C1" s="4"/>
      <c r="D1" s="4" t="s">
        <v>1</v>
      </c>
      <c r="E1" s="4"/>
      <c r="F1" s="4"/>
      <c r="G1" s="4" t="s">
        <v>2</v>
      </c>
    </row>
    <row r="2" spans="1:16" ht="15.6">
      <c r="B2" s="4"/>
      <c r="C2" s="25">
        <v>1</v>
      </c>
      <c r="D2" s="25">
        <v>3</v>
      </c>
      <c r="E2" s="25">
        <v>1</v>
      </c>
      <c r="F2" s="4"/>
      <c r="G2" s="26">
        <v>1</v>
      </c>
    </row>
    <row r="3" spans="1:16" ht="15.6">
      <c r="B3" s="4"/>
      <c r="C3" s="25">
        <v>2</v>
      </c>
      <c r="D3" s="25">
        <v>0</v>
      </c>
      <c r="E3" s="25">
        <v>3</v>
      </c>
      <c r="F3" s="4"/>
      <c r="G3" s="26">
        <v>0</v>
      </c>
    </row>
    <row r="4" spans="1:16" ht="15.6">
      <c r="B4" s="4"/>
      <c r="C4" s="25">
        <v>1</v>
      </c>
      <c r="D4" s="25">
        <v>-2</v>
      </c>
      <c r="E4" s="25">
        <v>1</v>
      </c>
      <c r="F4" s="4"/>
      <c r="G4" s="26">
        <v>0</v>
      </c>
      <c r="L4" s="33" t="s">
        <v>3</v>
      </c>
      <c r="M4" s="33" t="s">
        <v>4</v>
      </c>
      <c r="N4" s="33" t="s">
        <v>5</v>
      </c>
    </row>
    <row r="5" spans="1:16" ht="15.6">
      <c r="B5" s="4"/>
      <c r="C5" s="4"/>
      <c r="D5" s="4"/>
      <c r="E5" s="4"/>
      <c r="F5" s="4"/>
      <c r="G5" s="4"/>
      <c r="L5" s="34">
        <v>2.6906472642794221</v>
      </c>
      <c r="M5" s="34">
        <v>0.61803398899999995</v>
      </c>
      <c r="N5" s="39">
        <v>1</v>
      </c>
    </row>
    <row r="6" spans="1:16" ht="18.600000000000001">
      <c r="B6" s="4" t="s">
        <v>12</v>
      </c>
      <c r="C6" s="4" t="s">
        <v>6</v>
      </c>
      <c r="D6" s="4" t="s">
        <v>7</v>
      </c>
      <c r="E6" s="4" t="s">
        <v>8</v>
      </c>
      <c r="F6" s="4"/>
      <c r="G6" s="4"/>
      <c r="I6" s="45" t="s">
        <v>18</v>
      </c>
      <c r="J6" s="35">
        <f>(-1)^3</f>
        <v>-1</v>
      </c>
      <c r="K6" s="4" t="s">
        <v>14</v>
      </c>
      <c r="L6" s="8">
        <f>J$6*$L5^3</f>
        <v>-19.479163388363105</v>
      </c>
      <c r="M6" s="8">
        <f>J$6*$M5^3</f>
        <v>-0.23606797778638466</v>
      </c>
      <c r="N6" s="22">
        <f>J$6*$N5^3</f>
        <v>-1</v>
      </c>
    </row>
    <row r="7" spans="1:16" ht="18.600000000000001">
      <c r="B7" s="7" cm="1">
        <f t="array" ref="B7:B9">MMULT($C$2:$E$4,C7:C9)</f>
        <v>21</v>
      </c>
      <c r="C7" s="7" cm="1">
        <f t="array" ref="C7:C9">MMULT($C$2:$E$4,D7:D9)</f>
        <v>8</v>
      </c>
      <c r="D7" s="7" cm="1">
        <f t="array" ref="D7:D9">MMULT($C$2:$E$4,E7:E9)</f>
        <v>1</v>
      </c>
      <c r="E7" s="7">
        <f>G2</f>
        <v>1</v>
      </c>
      <c r="F7" s="4"/>
      <c r="G7" s="27">
        <f>B7</f>
        <v>21</v>
      </c>
      <c r="I7" s="45" t="s">
        <v>19</v>
      </c>
      <c r="J7" s="35" cm="1">
        <f t="array" ref="J7:J9">MMULT(MINVERSE(C7:E9),G7:G9)</f>
        <v>2</v>
      </c>
      <c r="K7" s="4" t="s">
        <v>9</v>
      </c>
      <c r="L7" s="8">
        <f>J$7*$L5^2</f>
        <v>14.479165401548677</v>
      </c>
      <c r="M7" s="8">
        <f>J$7*$M5^2</f>
        <v>0.76393202311850417</v>
      </c>
      <c r="N7" s="22">
        <f>J$7*$N5^2</f>
        <v>2</v>
      </c>
    </row>
    <row r="8" spans="1:16" ht="18.600000000000001">
      <c r="B8" s="7">
        <v>10</v>
      </c>
      <c r="C8" s="7">
        <v>5</v>
      </c>
      <c r="D8" s="7">
        <v>2</v>
      </c>
      <c r="E8" s="7">
        <f>G3</f>
        <v>0</v>
      </c>
      <c r="F8" s="4" t="s">
        <v>10</v>
      </c>
      <c r="G8" s="27">
        <f>B8</f>
        <v>10</v>
      </c>
      <c r="I8" s="45" t="s">
        <v>20</v>
      </c>
      <c r="J8" s="35">
        <v>0</v>
      </c>
      <c r="K8" s="4" t="s">
        <v>5</v>
      </c>
      <c r="L8" s="22">
        <f>J$8*$L5</f>
        <v>0</v>
      </c>
      <c r="M8" s="22">
        <f>J$8*$M5</f>
        <v>0</v>
      </c>
      <c r="N8" s="22">
        <f>J$8*$N5</f>
        <v>0</v>
      </c>
    </row>
    <row r="9" spans="1:16" ht="18.600000000000001">
      <c r="B9" s="7">
        <v>-4</v>
      </c>
      <c r="C9" s="7">
        <v>-2</v>
      </c>
      <c r="D9" s="7">
        <v>1</v>
      </c>
      <c r="E9" s="7">
        <f>G4</f>
        <v>0</v>
      </c>
      <c r="F9" s="4"/>
      <c r="G9" s="27">
        <f>B9</f>
        <v>-4</v>
      </c>
      <c r="I9" s="45" t="s">
        <v>21</v>
      </c>
      <c r="J9" s="35">
        <v>5</v>
      </c>
      <c r="K9" s="4">
        <v>1</v>
      </c>
      <c r="L9" s="22">
        <f>J9</f>
        <v>5</v>
      </c>
      <c r="M9" s="22">
        <f>J9</f>
        <v>5</v>
      </c>
      <c r="N9" s="22">
        <f>J9</f>
        <v>5</v>
      </c>
    </row>
    <row r="10" spans="1:16" ht="15.6">
      <c r="K10" s="4" t="s">
        <v>11</v>
      </c>
      <c r="L10" s="32">
        <f>SUM(L6:L9)</f>
        <v>2.0131855720251224E-6</v>
      </c>
      <c r="M10" s="32">
        <f>SUM(M6:M9)</f>
        <v>5.5278640453321195</v>
      </c>
      <c r="N10" s="40">
        <f>SUM(N6:N9)</f>
        <v>6</v>
      </c>
    </row>
    <row r="12" spans="1:16" ht="15.6">
      <c r="M12" s="37" cm="1">
        <f t="array" ref="M12:P12">TRANSPOSE(J6:J9)</f>
        <v>-1</v>
      </c>
      <c r="N12" s="37">
        <v>2</v>
      </c>
      <c r="O12" s="37">
        <v>0</v>
      </c>
      <c r="P12" s="37">
        <v>5</v>
      </c>
    </row>
    <row r="13" spans="1:16" ht="15">
      <c r="L13" s="8">
        <f>L5</f>
        <v>2.6906472642794221</v>
      </c>
      <c r="M13" s="36"/>
      <c r="N13" s="31">
        <f>$L13*M14</f>
        <v>-2.6906472642794221</v>
      </c>
      <c r="O13" s="31">
        <f>$L13*N14</f>
        <v>-1.8582881722154942</v>
      </c>
      <c r="P13" s="38">
        <f>$L13*O14</f>
        <v>-4.9999979868144271</v>
      </c>
    </row>
    <row r="14" spans="1:16" ht="15">
      <c r="L14" s="4"/>
      <c r="M14" s="4">
        <f>SUM(M12:M13)</f>
        <v>-1</v>
      </c>
      <c r="N14" s="8">
        <f>SUM(N12:N13)</f>
        <v>-0.69064726427942214</v>
      </c>
      <c r="O14" s="8">
        <f>SUM(O12:O13)</f>
        <v>-1.8582881722154942</v>
      </c>
      <c r="P14" s="48">
        <f>SUM(P12:P13)</f>
        <v>2.0131855729133008E-6</v>
      </c>
    </row>
    <row r="15" spans="1:16" ht="15">
      <c r="L15" s="8">
        <f>M5</f>
        <v>0.61803398899999995</v>
      </c>
      <c r="M15" s="36"/>
      <c r="N15" s="31">
        <f>$L15*M16</f>
        <v>-0.61803398899999995</v>
      </c>
      <c r="O15" s="31">
        <f>$L15*N16</f>
        <v>-0.80880949529380053</v>
      </c>
    </row>
    <row r="16" spans="1:16" ht="15">
      <c r="M16" s="4">
        <f>SUM(M14:M15)</f>
        <v>-1</v>
      </c>
      <c r="N16" s="22">
        <f>SUM(N14:N15)</f>
        <v>-1.3086812532794221</v>
      </c>
      <c r="O16" s="44">
        <f>SUM(O14:O15)</f>
        <v>-2.667097667509295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5FA-6D63-458D-B38F-EB42D4991C1C}">
  <dimension ref="A1:P20"/>
  <sheetViews>
    <sheetView workbookViewId="0">
      <selection activeCell="K4" sqref="K4:P16"/>
    </sheetView>
  </sheetViews>
  <sheetFormatPr defaultColWidth="11.42578125" defaultRowHeight="14.45"/>
  <cols>
    <col min="10" max="10" width="15.5703125" bestFit="1" customWidth="1"/>
    <col min="11" max="11" width="11.42578125" bestFit="1" customWidth="1"/>
    <col min="12" max="12" width="16.42578125" bestFit="1" customWidth="1"/>
    <col min="13" max="13" width="13" bestFit="1" customWidth="1"/>
    <col min="14" max="14" width="15.5703125" bestFit="1" customWidth="1"/>
    <col min="15" max="15" width="14.5703125" bestFit="1" customWidth="1"/>
    <col min="16" max="16" width="17" bestFit="1" customWidth="1"/>
  </cols>
  <sheetData>
    <row r="1" spans="1:16" ht="15.6">
      <c r="A1" s="1" t="s">
        <v>0</v>
      </c>
      <c r="B1" s="4"/>
      <c r="C1" s="4"/>
      <c r="D1" s="4" t="s">
        <v>1</v>
      </c>
      <c r="E1" s="4"/>
      <c r="F1" s="4"/>
      <c r="G1" s="4" t="s">
        <v>2</v>
      </c>
    </row>
    <row r="2" spans="1:16" ht="15.6">
      <c r="B2" s="4"/>
      <c r="C2" s="25">
        <v>-1</v>
      </c>
      <c r="D2" s="25">
        <v>1</v>
      </c>
      <c r="E2" s="25">
        <v>1</v>
      </c>
      <c r="F2" s="4"/>
      <c r="G2" s="26">
        <v>1</v>
      </c>
    </row>
    <row r="3" spans="1:16" ht="15.6">
      <c r="B3" s="4"/>
      <c r="C3" s="25">
        <v>1</v>
      </c>
      <c r="D3" s="25">
        <v>-2</v>
      </c>
      <c r="E3" s="25">
        <v>2</v>
      </c>
      <c r="F3" s="4"/>
      <c r="G3" s="26">
        <v>0</v>
      </c>
    </row>
    <row r="4" spans="1:16" ht="15.6">
      <c r="B4" s="4"/>
      <c r="C4" s="25">
        <v>1</v>
      </c>
      <c r="D4" s="25">
        <v>2</v>
      </c>
      <c r="E4" s="25">
        <v>-3</v>
      </c>
      <c r="F4" s="4"/>
      <c r="G4" s="26">
        <v>0</v>
      </c>
      <c r="L4" s="33" t="s">
        <v>3</v>
      </c>
      <c r="M4" s="33" t="s">
        <v>4</v>
      </c>
      <c r="N4" s="33" t="s">
        <v>5</v>
      </c>
    </row>
    <row r="5" spans="1:16" ht="15.6">
      <c r="B5" s="4"/>
      <c r="C5" s="4"/>
      <c r="D5" s="4"/>
      <c r="E5" s="4"/>
      <c r="F5" s="4"/>
      <c r="G5" s="4"/>
      <c r="L5" s="34">
        <v>0.71450000000000002</v>
      </c>
      <c r="M5" s="34">
        <v>-4.5712000000000002</v>
      </c>
      <c r="N5" s="39">
        <v>1</v>
      </c>
    </row>
    <row r="6" spans="1:16" ht="18.600000000000001">
      <c r="B6" s="4" t="s">
        <v>12</v>
      </c>
      <c r="C6" s="4" t="s">
        <v>6</v>
      </c>
      <c r="D6" s="4" t="s">
        <v>7</v>
      </c>
      <c r="E6" s="4" t="s">
        <v>8</v>
      </c>
      <c r="F6" s="4"/>
      <c r="G6" s="4"/>
      <c r="I6" s="45" t="s">
        <v>18</v>
      </c>
      <c r="J6" s="35">
        <f>(-1)^3</f>
        <v>-1</v>
      </c>
      <c r="K6" s="4" t="s">
        <v>14</v>
      </c>
      <c r="L6" s="8">
        <f>J$6*$L5^3</f>
        <v>-0.36475957362500006</v>
      </c>
      <c r="M6" s="8">
        <f>J$6*$M5^3</f>
        <v>95.519198384128018</v>
      </c>
      <c r="N6" s="22">
        <f>J$6*$N5^3</f>
        <v>-1</v>
      </c>
    </row>
    <row r="7" spans="1:16" ht="18.600000000000001">
      <c r="B7" s="7" cm="1">
        <f t="array" ref="B7:B9">MMULT($C$2:$E$4,C7:C9)</f>
        <v>-6</v>
      </c>
      <c r="C7" s="7" cm="1">
        <f t="array" ref="C7:C9">MMULT($C$2:$E$4,D7:D9)</f>
        <v>3</v>
      </c>
      <c r="D7" s="7" cm="1">
        <f t="array" ref="D7:D9">MMULT($C$2:$E$4,E7:E9)</f>
        <v>-1</v>
      </c>
      <c r="E7" s="7">
        <f>G2</f>
        <v>1</v>
      </c>
      <c r="F7" s="4"/>
      <c r="G7" s="27">
        <f>B7</f>
        <v>-6</v>
      </c>
      <c r="I7" s="45" t="s">
        <v>19</v>
      </c>
      <c r="J7" s="35" cm="1">
        <f t="array" ref="J7:J9">MMULT(MINVERSE(C7:E9),G7:G9)</f>
        <v>-6</v>
      </c>
      <c r="K7" s="4" t="s">
        <v>9</v>
      </c>
      <c r="L7" s="8">
        <f>J$7*$L5^2</f>
        <v>-3.0630615000000003</v>
      </c>
      <c r="M7" s="8">
        <f>J$7*$M5^2</f>
        <v>-125.37521664000002</v>
      </c>
      <c r="N7" s="22">
        <f>J$7*$N5^2</f>
        <v>-6</v>
      </c>
    </row>
    <row r="8" spans="1:16" ht="18.600000000000001">
      <c r="B8" s="7">
        <v>1</v>
      </c>
      <c r="C8" s="7">
        <v>-1</v>
      </c>
      <c r="D8" s="7">
        <v>1</v>
      </c>
      <c r="E8" s="7">
        <f>G3</f>
        <v>0</v>
      </c>
      <c r="F8" s="4" t="s">
        <v>10</v>
      </c>
      <c r="G8" s="27">
        <f>B8</f>
        <v>1</v>
      </c>
      <c r="I8" s="45" t="s">
        <v>20</v>
      </c>
      <c r="J8" s="35">
        <v>-4.9999999999999982</v>
      </c>
      <c r="K8" s="4" t="s">
        <v>5</v>
      </c>
      <c r="L8" s="8">
        <f>J$8*$L5</f>
        <v>-3.5724999999999989</v>
      </c>
      <c r="M8" s="8">
        <f>J$8*$M5</f>
        <v>22.855999999999991</v>
      </c>
      <c r="N8" s="22">
        <f>J$8*$N5</f>
        <v>-4.9999999999999982</v>
      </c>
    </row>
    <row r="9" spans="1:16" ht="18.600000000000001">
      <c r="B9" s="7">
        <v>7</v>
      </c>
      <c r="C9" s="7">
        <v>-2</v>
      </c>
      <c r="D9" s="7">
        <v>1</v>
      </c>
      <c r="E9" s="7">
        <f>G4</f>
        <v>0</v>
      </c>
      <c r="F9" s="4"/>
      <c r="G9" s="27">
        <f>B9</f>
        <v>7</v>
      </c>
      <c r="I9" s="45" t="s">
        <v>21</v>
      </c>
      <c r="J9" s="35">
        <v>7</v>
      </c>
      <c r="K9" s="4">
        <v>1</v>
      </c>
      <c r="L9" s="8">
        <f>J9</f>
        <v>7</v>
      </c>
      <c r="M9" s="8">
        <f>J9</f>
        <v>7</v>
      </c>
      <c r="N9" s="22">
        <f>J9</f>
        <v>7</v>
      </c>
    </row>
    <row r="10" spans="1:16" ht="15.6">
      <c r="K10" s="4" t="s">
        <v>11</v>
      </c>
      <c r="L10" s="32">
        <f>SUM(L6:L9)</f>
        <v>-3.2107362499900205E-4</v>
      </c>
      <c r="M10" s="32">
        <f>SUM(M6:M9)</f>
        <v>-1.8255872010541907E-5</v>
      </c>
      <c r="N10" s="40">
        <f>SUM(N6:N9)</f>
        <v>-4.9999999999999982</v>
      </c>
    </row>
    <row r="12" spans="1:16" ht="15.6">
      <c r="M12" s="37" cm="1">
        <f t="array" ref="M12:P12">TRANSPOSE(J6:J9)</f>
        <v>-1</v>
      </c>
      <c r="N12" s="37">
        <v>-6</v>
      </c>
      <c r="O12" s="37">
        <v>-4.9999999999999982</v>
      </c>
      <c r="P12" s="37">
        <v>7</v>
      </c>
    </row>
    <row r="13" spans="1:16" ht="15">
      <c r="L13" s="8">
        <f>L5</f>
        <v>0.71450000000000002</v>
      </c>
      <c r="M13" s="36"/>
      <c r="N13" s="31">
        <f>$L13*M14</f>
        <v>-0.71450000000000002</v>
      </c>
      <c r="O13" s="31">
        <f>$L13*N14</f>
        <v>-4.7975102500000002</v>
      </c>
      <c r="P13" s="38">
        <f>$L13*O14</f>
        <v>-7.000321073624999</v>
      </c>
    </row>
    <row r="14" spans="1:16" ht="15">
      <c r="L14" s="4"/>
      <c r="M14" s="4">
        <f>SUM(M12:M13)</f>
        <v>-1</v>
      </c>
      <c r="N14" s="8">
        <f>SUM(N12:N13)</f>
        <v>-6.7145000000000001</v>
      </c>
      <c r="O14" s="8">
        <f>SUM(O12:O13)</f>
        <v>-9.7975102499999984</v>
      </c>
      <c r="P14" s="69">
        <f>SUM(P12:P13)</f>
        <v>-3.2107362499900205E-4</v>
      </c>
    </row>
    <row r="15" spans="1:16" ht="15">
      <c r="L15" s="8">
        <f>M5</f>
        <v>-4.5712000000000002</v>
      </c>
      <c r="M15" s="36"/>
      <c r="N15" s="31">
        <f>$L15*M16</f>
        <v>4.5712000000000002</v>
      </c>
      <c r="O15" s="31">
        <f>$L15*N16</f>
        <v>9.7974529600000011</v>
      </c>
    </row>
    <row r="16" spans="1:16" ht="15">
      <c r="M16" s="4">
        <f>SUM(M14:M15)</f>
        <v>-1</v>
      </c>
      <c r="N16" s="22">
        <f>SUM(N14:N15)</f>
        <v>-2.1433</v>
      </c>
      <c r="O16" s="44">
        <f>SUM(O14:O15)</f>
        <v>-5.7289999997323093E-5</v>
      </c>
    </row>
    <row r="19" spans="9:11" ht="15.75">
      <c r="I19" s="34">
        <v>0.71450000000000002</v>
      </c>
    </row>
    <row r="20" spans="9:11" ht="15.75">
      <c r="K20" s="34">
        <v>-4.5712000000000002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D3567-8AF9-6B47-8666-55D6C197BB91}">
  <dimension ref="A1:L29"/>
  <sheetViews>
    <sheetView workbookViewId="0">
      <selection sqref="A1:G14"/>
    </sheetView>
  </sheetViews>
  <sheetFormatPr defaultColWidth="11.42578125" defaultRowHeight="14.45"/>
  <cols>
    <col min="1" max="1" width="13.7109375" bestFit="1" customWidth="1"/>
    <col min="3" max="5" width="13.7109375" bestFit="1" customWidth="1"/>
    <col min="6" max="6" width="13.42578125" bestFit="1" customWidth="1"/>
    <col min="7" max="7" width="13.7109375" bestFit="1" customWidth="1"/>
    <col min="8" max="10" width="13.42578125" bestFit="1" customWidth="1"/>
    <col min="11" max="11" width="12.7109375" bestFit="1" customWidth="1"/>
    <col min="12" max="12" width="13.42578125" bestFit="1" customWidth="1"/>
  </cols>
  <sheetData>
    <row r="1" spans="1:12" ht="15.6">
      <c r="A1" s="1" t="s">
        <v>31</v>
      </c>
      <c r="D1" s="2" t="s">
        <v>1</v>
      </c>
    </row>
    <row r="2" spans="1:12">
      <c r="C2" s="3">
        <v>1</v>
      </c>
      <c r="D2" s="3">
        <v>0</v>
      </c>
    </row>
    <row r="3" spans="1:12">
      <c r="C3" s="3">
        <v>-1</v>
      </c>
      <c r="D3" s="3">
        <v>1</v>
      </c>
    </row>
    <row r="5" spans="1:12" ht="18.600000000000001">
      <c r="C5" s="4" t="s">
        <v>32</v>
      </c>
      <c r="D5" s="51" t="s">
        <v>33</v>
      </c>
      <c r="E5" s="51" t="s">
        <v>34</v>
      </c>
      <c r="F5" s="51" t="s">
        <v>35</v>
      </c>
      <c r="G5" s="51" t="s">
        <v>36</v>
      </c>
      <c r="H5" s="51" t="s">
        <v>37</v>
      </c>
      <c r="I5" s="51" t="s">
        <v>38</v>
      </c>
      <c r="J5" s="51" t="s">
        <v>39</v>
      </c>
      <c r="K5" s="51" t="s">
        <v>40</v>
      </c>
      <c r="L5" s="51" t="s">
        <v>41</v>
      </c>
    </row>
    <row r="6" spans="1:12" ht="15.6">
      <c r="C6" s="5">
        <v>1</v>
      </c>
      <c r="D6" s="44">
        <f t="shared" ref="D6:L6" si="0">C10/C12</f>
        <v>1</v>
      </c>
      <c r="E6" s="44">
        <f t="shared" si="0"/>
        <v>-1</v>
      </c>
      <c r="F6" s="44">
        <f t="shared" si="0"/>
        <v>-0.5</v>
      </c>
      <c r="G6" s="44">
        <f t="shared" si="0"/>
        <v>-0.33333333333333331</v>
      </c>
      <c r="H6" s="44">
        <f t="shared" si="0"/>
        <v>-0.25</v>
      </c>
      <c r="I6" s="44">
        <f t="shared" si="0"/>
        <v>-0.2</v>
      </c>
      <c r="J6" s="44">
        <f t="shared" si="0"/>
        <v>-0.16666666666666669</v>
      </c>
      <c r="K6" s="44">
        <f t="shared" si="0"/>
        <v>-0.14285714285714288</v>
      </c>
      <c r="L6" s="44">
        <f t="shared" si="0"/>
        <v>-0.12500000000000003</v>
      </c>
    </row>
    <row r="7" spans="1:12" ht="15.6">
      <c r="C7" s="5">
        <v>1</v>
      </c>
      <c r="D7" s="44">
        <f t="shared" ref="D7:L7" si="1">C11/C12</f>
        <v>0</v>
      </c>
      <c r="E7" s="44">
        <f t="shared" si="1"/>
        <v>1</v>
      </c>
      <c r="F7" s="44">
        <f t="shared" si="1"/>
        <v>1</v>
      </c>
      <c r="G7" s="44">
        <f t="shared" si="1"/>
        <v>1</v>
      </c>
      <c r="H7" s="44">
        <f t="shared" si="1"/>
        <v>1</v>
      </c>
      <c r="I7" s="44">
        <f t="shared" si="1"/>
        <v>1</v>
      </c>
      <c r="J7" s="44">
        <f t="shared" si="1"/>
        <v>1</v>
      </c>
      <c r="K7" s="44">
        <f t="shared" si="1"/>
        <v>1</v>
      </c>
      <c r="L7" s="44">
        <f t="shared" si="1"/>
        <v>1</v>
      </c>
    </row>
    <row r="9" spans="1:12" ht="18.600000000000001">
      <c r="C9" s="52" t="s">
        <v>42</v>
      </c>
      <c r="D9" s="52" t="s">
        <v>43</v>
      </c>
      <c r="E9" s="52" t="s">
        <v>44</v>
      </c>
      <c r="F9" s="52" t="s">
        <v>45</v>
      </c>
      <c r="G9" s="52" t="s">
        <v>46</v>
      </c>
      <c r="H9" s="52" t="s">
        <v>47</v>
      </c>
      <c r="I9" s="52" t="s">
        <v>48</v>
      </c>
      <c r="J9" s="52" t="s">
        <v>49</v>
      </c>
      <c r="K9" s="52" t="s">
        <v>50</v>
      </c>
      <c r="L9" s="52" t="s">
        <v>51</v>
      </c>
    </row>
    <row r="10" spans="1:12" ht="15">
      <c r="C10" s="9" cm="1">
        <f t="array" ref="C10:C11">MMULT($C$2:$D$3,C6:C7)</f>
        <v>1</v>
      </c>
      <c r="D10" s="9" cm="1">
        <f t="array" ref="D10:D11">MMULT($C$2:$D$3,D6:D7)</f>
        <v>1</v>
      </c>
      <c r="E10" s="9" cm="1">
        <f t="array" ref="E10:E11">MMULT($C$2:$D$3,E6:E7)</f>
        <v>-1</v>
      </c>
      <c r="F10" s="9" cm="1">
        <f t="array" ref="F10:F11">MMULT($C$2:$D$3,F6:F7)</f>
        <v>-0.5</v>
      </c>
      <c r="G10" s="9" cm="1">
        <f t="array" ref="G10:G11">MMULT($C$2:$D$3,G6:G7)</f>
        <v>-0.33333333333333331</v>
      </c>
      <c r="H10" s="9" cm="1">
        <f t="array" ref="H10:H11">MMULT($C$2:$D$3,H6:H7)</f>
        <v>-0.25</v>
      </c>
      <c r="I10" s="9" cm="1">
        <f t="array" ref="I10:I11">MMULT($C$2:$D$3,I6:I7)</f>
        <v>-0.2</v>
      </c>
      <c r="J10" s="9" cm="1">
        <f t="array" ref="J10:J11">MMULT($C$2:$D$3,J6:J7)</f>
        <v>-0.16666666666666669</v>
      </c>
      <c r="K10" s="9" cm="1">
        <f t="array" ref="K10:K11">MMULT($C$2:$D$3,K6:K7)</f>
        <v>-0.14285714285714288</v>
      </c>
      <c r="L10" s="9" cm="1">
        <f t="array" ref="L10:L11">MMULT($C$2:$D$3,L6:L7)</f>
        <v>-0.12500000000000003</v>
      </c>
    </row>
    <row r="11" spans="1:12" ht="15">
      <c r="C11" s="9">
        <v>0</v>
      </c>
      <c r="D11" s="9">
        <v>-1</v>
      </c>
      <c r="E11" s="9">
        <v>2</v>
      </c>
      <c r="F11" s="9">
        <v>1.5</v>
      </c>
      <c r="G11" s="9">
        <v>1.3333333333333333</v>
      </c>
      <c r="H11" s="9">
        <v>1.25</v>
      </c>
      <c r="I11" s="9">
        <v>1.2</v>
      </c>
      <c r="J11" s="9">
        <v>1.1666666666666667</v>
      </c>
      <c r="K11" s="9">
        <v>1.1428571428571428</v>
      </c>
      <c r="L11" s="9">
        <v>1.125</v>
      </c>
    </row>
    <row r="12" spans="1:12" ht="15.6">
      <c r="A12" s="11" t="s">
        <v>52</v>
      </c>
      <c r="B12" s="4" t="s">
        <v>3</v>
      </c>
      <c r="C12" s="10">
        <f t="shared" ref="C12:L12" si="2">IF(MAX(C10:C11)&gt;ABS(MIN(C10:C11)),MAX(C10:C11),MIN(C10:C11))</f>
        <v>1</v>
      </c>
      <c r="D12" s="10">
        <f t="shared" si="2"/>
        <v>-1</v>
      </c>
      <c r="E12" s="10">
        <f t="shared" si="2"/>
        <v>2</v>
      </c>
      <c r="F12" s="10">
        <f t="shared" si="2"/>
        <v>1.5</v>
      </c>
      <c r="G12" s="10">
        <f t="shared" si="2"/>
        <v>1.3333333333333333</v>
      </c>
      <c r="H12" s="10">
        <f t="shared" si="2"/>
        <v>1.25</v>
      </c>
      <c r="I12" s="10">
        <f t="shared" si="2"/>
        <v>1.2</v>
      </c>
      <c r="J12" s="10">
        <f t="shared" si="2"/>
        <v>1.1666666666666667</v>
      </c>
      <c r="K12" s="10">
        <f t="shared" si="2"/>
        <v>1.1428571428571428</v>
      </c>
      <c r="L12" s="10">
        <f t="shared" si="2"/>
        <v>1.125</v>
      </c>
    </row>
    <row r="13" spans="1:12" ht="15">
      <c r="A13" s="16">
        <v>0.01</v>
      </c>
      <c r="B13" s="12" t="s">
        <v>53</v>
      </c>
      <c r="C13" s="12" t="s">
        <v>54</v>
      </c>
      <c r="D13" s="21">
        <f>ABS(D12-C12)</f>
        <v>2</v>
      </c>
      <c r="E13" s="21">
        <f t="shared" ref="E13:L13" si="3">ABS(E12-D12)</f>
        <v>3</v>
      </c>
      <c r="F13" s="21">
        <f t="shared" si="3"/>
        <v>0.5</v>
      </c>
      <c r="G13" s="20">
        <f t="shared" si="3"/>
        <v>0.16666666666666674</v>
      </c>
      <c r="H13" s="13">
        <f t="shared" si="3"/>
        <v>8.3333333333333259E-2</v>
      </c>
      <c r="I13" s="13">
        <f t="shared" si="3"/>
        <v>5.0000000000000044E-2</v>
      </c>
      <c r="J13" s="19">
        <f t="shared" si="3"/>
        <v>3.3333333333333215E-2</v>
      </c>
      <c r="K13" s="13">
        <f t="shared" si="3"/>
        <v>2.3809523809523947E-2</v>
      </c>
      <c r="L13" s="13">
        <f t="shared" si="3"/>
        <v>1.7857142857142794E-2</v>
      </c>
    </row>
    <row r="14" spans="1:12" ht="15">
      <c r="A14" s="17">
        <v>0.05</v>
      </c>
      <c r="B14" s="14"/>
      <c r="C14" s="14" t="s">
        <v>55</v>
      </c>
      <c r="D14" s="15">
        <f>ABS((D12-C12)/D12)*100</f>
        <v>200</v>
      </c>
      <c r="E14" s="15">
        <f t="shared" ref="E14:L14" si="4">ABS((E12-D12)/E12)*100</f>
        <v>150</v>
      </c>
      <c r="F14" s="15">
        <f t="shared" si="4"/>
        <v>33.333333333333329</v>
      </c>
      <c r="G14" s="18">
        <f t="shared" si="4"/>
        <v>12.500000000000005</v>
      </c>
      <c r="H14" s="15">
        <f t="shared" si="4"/>
        <v>6.6666666666666607</v>
      </c>
      <c r="I14" s="18">
        <f t="shared" si="4"/>
        <v>4.1666666666666705</v>
      </c>
      <c r="J14" s="18">
        <f t="shared" si="4"/>
        <v>2.8571428571428465</v>
      </c>
      <c r="K14" s="18">
        <f t="shared" si="4"/>
        <v>2.0833333333333455</v>
      </c>
      <c r="L14" s="18">
        <f t="shared" si="4"/>
        <v>1.5873015873015817</v>
      </c>
    </row>
    <row r="16" spans="1:12" ht="18">
      <c r="D16" s="45" t="s">
        <v>56</v>
      </c>
    </row>
    <row r="17" spans="1:12" ht="15.6">
      <c r="C17" s="23" cm="1">
        <f t="array" ref="C17:D18">MINVERSE(C2:D3)</f>
        <v>1</v>
      </c>
      <c r="D17" s="23">
        <v>0</v>
      </c>
    </row>
    <row r="18" spans="1:12" ht="15.6">
      <c r="C18" s="23">
        <v>1</v>
      </c>
      <c r="D18" s="23">
        <v>1</v>
      </c>
    </row>
    <row r="20" spans="1:12" ht="18.600000000000001">
      <c r="C20" s="4" t="s">
        <v>32</v>
      </c>
      <c r="D20" s="55" t="s">
        <v>33</v>
      </c>
      <c r="E20" s="55" t="s">
        <v>34</v>
      </c>
      <c r="F20" s="55" t="s">
        <v>35</v>
      </c>
      <c r="G20" s="55" t="s">
        <v>36</v>
      </c>
      <c r="H20" s="55" t="s">
        <v>37</v>
      </c>
      <c r="I20" s="55" t="s">
        <v>38</v>
      </c>
      <c r="J20" s="55" t="s">
        <v>39</v>
      </c>
      <c r="K20" s="55" t="s">
        <v>40</v>
      </c>
      <c r="L20" s="55" t="s">
        <v>41</v>
      </c>
    </row>
    <row r="21" spans="1:12" ht="15">
      <c r="C21" s="24">
        <v>1</v>
      </c>
      <c r="D21" s="44">
        <f t="shared" ref="D21:L21" si="5">C25*C27</f>
        <v>0.5</v>
      </c>
      <c r="E21" s="44">
        <f t="shared" si="5"/>
        <v>0.33333333333333331</v>
      </c>
      <c r="F21" s="44">
        <f t="shared" si="5"/>
        <v>0.25</v>
      </c>
      <c r="G21" s="44">
        <f t="shared" si="5"/>
        <v>0.2</v>
      </c>
      <c r="H21" s="44">
        <f t="shared" si="5"/>
        <v>0.16666666666666669</v>
      </c>
      <c r="I21" s="44">
        <f t="shared" si="5"/>
        <v>0.14285714285714288</v>
      </c>
      <c r="J21" s="44">
        <f t="shared" si="5"/>
        <v>0.12500000000000003</v>
      </c>
      <c r="K21" s="44">
        <f t="shared" si="5"/>
        <v>0.11111111111111113</v>
      </c>
      <c r="L21" s="44">
        <f t="shared" si="5"/>
        <v>0.1</v>
      </c>
    </row>
    <row r="22" spans="1:12" ht="15">
      <c r="C22" s="24">
        <v>1</v>
      </c>
      <c r="D22" s="44">
        <f t="shared" ref="D22:L22" si="6">C26*C27</f>
        <v>1</v>
      </c>
      <c r="E22" s="44">
        <f t="shared" si="6"/>
        <v>1</v>
      </c>
      <c r="F22" s="44">
        <f t="shared" si="6"/>
        <v>1</v>
      </c>
      <c r="G22" s="44">
        <f t="shared" si="6"/>
        <v>1</v>
      </c>
      <c r="H22" s="44">
        <f t="shared" si="6"/>
        <v>1</v>
      </c>
      <c r="I22" s="44">
        <f t="shared" si="6"/>
        <v>1</v>
      </c>
      <c r="J22" s="44">
        <f t="shared" si="6"/>
        <v>1</v>
      </c>
      <c r="K22" s="44">
        <f t="shared" si="6"/>
        <v>1</v>
      </c>
      <c r="L22" s="44">
        <f t="shared" si="6"/>
        <v>1</v>
      </c>
    </row>
    <row r="24" spans="1:12" ht="18.600000000000001">
      <c r="C24" s="52" t="s">
        <v>57</v>
      </c>
      <c r="D24" s="52" t="s">
        <v>58</v>
      </c>
      <c r="E24" s="52" t="s">
        <v>59</v>
      </c>
      <c r="F24" s="52" t="s">
        <v>60</v>
      </c>
      <c r="G24" s="52" t="s">
        <v>61</v>
      </c>
      <c r="H24" s="52" t="s">
        <v>62</v>
      </c>
      <c r="I24" s="52" t="s">
        <v>63</v>
      </c>
      <c r="J24" s="52" t="s">
        <v>64</v>
      </c>
      <c r="K24" s="52" t="s">
        <v>65</v>
      </c>
      <c r="L24" s="52" t="s">
        <v>66</v>
      </c>
    </row>
    <row r="25" spans="1:12" ht="15">
      <c r="C25" s="7" cm="1">
        <f t="array" ref="C25:C26">MMULT($C$17:$D$18,C21:C22)</f>
        <v>1</v>
      </c>
      <c r="D25" s="7" cm="1">
        <f t="array" ref="D25:D26">MMULT($C$17:$D$18,D21:D22)</f>
        <v>0.5</v>
      </c>
      <c r="E25" s="9" cm="1">
        <f t="array" ref="E25:E26">MMULT($C$17:$D$18,E21:E22)</f>
        <v>0.33333333333333331</v>
      </c>
      <c r="F25" s="9" cm="1">
        <f t="array" ref="F25:F26">MMULT($C$17:$D$18,F21:F22)</f>
        <v>0.25</v>
      </c>
      <c r="G25" s="7" cm="1">
        <f t="array" ref="G25:G26">MMULT($C$17:$D$18,G21:G22)</f>
        <v>0.2</v>
      </c>
      <c r="H25" s="9" cm="1">
        <f t="array" ref="H25:H26">MMULT($C$17:$D$18,H21:H22)</f>
        <v>0.16666666666666669</v>
      </c>
      <c r="I25" s="9" cm="1">
        <f t="array" ref="I25:I26">MMULT($C$17:$D$18,I21:I22)</f>
        <v>0.14285714285714288</v>
      </c>
      <c r="J25" s="9" cm="1">
        <f t="array" ref="J25:J26">MMULT($C$17:$D$18,J21:J22)</f>
        <v>0.12500000000000003</v>
      </c>
      <c r="K25" s="9" cm="1">
        <f t="array" ref="K25:K26">MMULT($C$17:$D$18,K21:K22)</f>
        <v>0.11111111111111113</v>
      </c>
      <c r="L25" s="9" cm="1">
        <f t="array" ref="L25:L26">MMULT($C$17:$D$18,L21:L22)</f>
        <v>0.1</v>
      </c>
    </row>
    <row r="26" spans="1:12" ht="15">
      <c r="C26" s="7">
        <v>2</v>
      </c>
      <c r="D26" s="9">
        <v>1.5</v>
      </c>
      <c r="E26" s="9">
        <v>1.3333333333333333</v>
      </c>
      <c r="F26" s="9">
        <v>1.25</v>
      </c>
      <c r="G26" s="7">
        <v>1.2</v>
      </c>
      <c r="H26" s="9">
        <v>1.1666666666666667</v>
      </c>
      <c r="I26" s="9">
        <v>1.1428571428571428</v>
      </c>
      <c r="J26" s="9">
        <v>1.125</v>
      </c>
      <c r="K26" s="9">
        <v>1.1111111111111112</v>
      </c>
      <c r="L26" s="9">
        <v>1.1000000000000001</v>
      </c>
    </row>
    <row r="27" spans="1:12" ht="15.6">
      <c r="A27" s="11" t="s">
        <v>52</v>
      </c>
      <c r="B27" s="4" t="s">
        <v>4</v>
      </c>
      <c r="C27" s="10">
        <f t="shared" ref="C27:L27" si="7">1/IF(MAX(C25:C26)&gt;ABS(MIN(C25:C26)),MAX(C25:C26),MIN(C25:C26))</f>
        <v>0.5</v>
      </c>
      <c r="D27" s="10">
        <f t="shared" si="7"/>
        <v>0.66666666666666663</v>
      </c>
      <c r="E27" s="6">
        <f t="shared" si="7"/>
        <v>0.75</v>
      </c>
      <c r="F27" s="6">
        <f t="shared" si="7"/>
        <v>0.8</v>
      </c>
      <c r="G27" s="10">
        <f t="shared" si="7"/>
        <v>0.83333333333333337</v>
      </c>
      <c r="H27" s="10">
        <f t="shared" si="7"/>
        <v>0.8571428571428571</v>
      </c>
      <c r="I27" s="10">
        <f t="shared" si="7"/>
        <v>0.875</v>
      </c>
      <c r="J27" s="10">
        <f t="shared" si="7"/>
        <v>0.88888888888888884</v>
      </c>
      <c r="K27" s="10">
        <f t="shared" si="7"/>
        <v>0.89999999999999991</v>
      </c>
      <c r="L27" s="46">
        <f t="shared" si="7"/>
        <v>0.90909090909090906</v>
      </c>
    </row>
    <row r="28" spans="1:12" ht="15">
      <c r="A28" s="16">
        <v>0.01</v>
      </c>
      <c r="B28" s="12" t="s">
        <v>53</v>
      </c>
      <c r="C28" s="12" t="s">
        <v>54</v>
      </c>
      <c r="D28" s="28">
        <f>ABS(D27-C27)</f>
        <v>0.16666666666666663</v>
      </c>
      <c r="E28" s="29">
        <f t="shared" ref="E28:L28" si="8">ABS(E27-D27)</f>
        <v>8.333333333333337E-2</v>
      </c>
      <c r="F28" s="29">
        <f t="shared" si="8"/>
        <v>5.0000000000000044E-2</v>
      </c>
      <c r="G28" s="29">
        <f t="shared" si="8"/>
        <v>3.3333333333333326E-2</v>
      </c>
      <c r="H28" s="29">
        <f t="shared" si="8"/>
        <v>2.3809523809523725E-2</v>
      </c>
      <c r="I28" s="29">
        <f t="shared" si="8"/>
        <v>1.7857142857142905E-2</v>
      </c>
      <c r="J28" s="29">
        <f t="shared" si="8"/>
        <v>1.388888888888884E-2</v>
      </c>
      <c r="K28" s="29">
        <f t="shared" si="8"/>
        <v>1.1111111111111072E-2</v>
      </c>
      <c r="L28" s="13">
        <f t="shared" si="8"/>
        <v>9.0909090909091494E-3</v>
      </c>
    </row>
    <row r="29" spans="1:12" ht="15">
      <c r="A29" s="17">
        <v>0.05</v>
      </c>
      <c r="B29" s="14"/>
      <c r="C29" s="14" t="s">
        <v>55</v>
      </c>
      <c r="D29" s="30">
        <f>ABS((D27-C27)/D27)*100</f>
        <v>24.999999999999993</v>
      </c>
      <c r="E29" s="31">
        <f t="shared" ref="E29:L29" si="9">ABS((E27-D27)/E27)*100</f>
        <v>11.111111111111116</v>
      </c>
      <c r="F29" s="31">
        <f t="shared" si="9"/>
        <v>6.2500000000000053</v>
      </c>
      <c r="G29" s="31">
        <f t="shared" si="9"/>
        <v>3.9999999999999987</v>
      </c>
      <c r="H29" s="31">
        <f t="shared" si="9"/>
        <v>2.7777777777777679</v>
      </c>
      <c r="I29" s="31">
        <f t="shared" si="9"/>
        <v>2.0408163265306176</v>
      </c>
      <c r="J29" s="31">
        <f t="shared" si="9"/>
        <v>1.5624999999999944</v>
      </c>
      <c r="K29" s="31">
        <f t="shared" si="9"/>
        <v>1.2345679012345636</v>
      </c>
      <c r="L29" s="18">
        <f t="shared" si="9"/>
        <v>1.0000000000000064</v>
      </c>
    </row>
  </sheetData>
  <phoneticPr fontId="6" type="noConversion"/>
  <conditionalFormatting sqref="D13:L13">
    <cfRule type="cellIs" dxfId="43" priority="4" operator="lessThan">
      <formula>$A$13</formula>
    </cfRule>
  </conditionalFormatting>
  <conditionalFormatting sqref="D14:L14">
    <cfRule type="cellIs" dxfId="42" priority="3" operator="lessThan">
      <formula>$A$14</formula>
    </cfRule>
  </conditionalFormatting>
  <conditionalFormatting sqref="D28:L28">
    <cfRule type="cellIs" dxfId="41" priority="2" operator="lessThan">
      <formula>$A$28</formula>
    </cfRule>
  </conditionalFormatting>
  <conditionalFormatting sqref="D29:L29">
    <cfRule type="cellIs" dxfId="40" priority="1" operator="lessThan">
      <formula>$A$29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367C-706C-4377-AF9E-15C16EA85162}">
  <dimension ref="A1:L35"/>
  <sheetViews>
    <sheetView workbookViewId="0">
      <selection activeCell="K21" sqref="K21"/>
    </sheetView>
  </sheetViews>
  <sheetFormatPr defaultColWidth="11.42578125" defaultRowHeight="14.45"/>
  <cols>
    <col min="1" max="1" width="13.7109375" bestFit="1" customWidth="1"/>
    <col min="3" max="5" width="13.7109375" bestFit="1" customWidth="1"/>
    <col min="6" max="6" width="13.42578125" bestFit="1" customWidth="1"/>
    <col min="7" max="7" width="13.7109375" bestFit="1" customWidth="1"/>
    <col min="8" max="10" width="13.42578125" bestFit="1" customWidth="1"/>
    <col min="11" max="11" width="12.7109375" bestFit="1" customWidth="1"/>
    <col min="12" max="12" width="13.42578125" bestFit="1" customWidth="1"/>
  </cols>
  <sheetData>
    <row r="1" spans="1:12" ht="15.6">
      <c r="A1" s="1" t="s">
        <v>31</v>
      </c>
      <c r="D1" s="2" t="s">
        <v>1</v>
      </c>
    </row>
    <row r="2" spans="1:12">
      <c r="C2" s="3">
        <v>2</v>
      </c>
      <c r="D2" s="3">
        <v>1</v>
      </c>
      <c r="E2" s="3">
        <v>-2</v>
      </c>
    </row>
    <row r="3" spans="1:12">
      <c r="C3" s="3">
        <v>2</v>
      </c>
      <c r="D3" s="3">
        <v>-1</v>
      </c>
      <c r="E3" s="3">
        <v>-1</v>
      </c>
    </row>
    <row r="4" spans="1:12">
      <c r="C4" s="3">
        <v>1</v>
      </c>
      <c r="D4" s="3">
        <v>1</v>
      </c>
      <c r="E4" s="3">
        <v>-1</v>
      </c>
    </row>
    <row r="6" spans="1:12" ht="18.600000000000001">
      <c r="C6" s="4" t="s">
        <v>32</v>
      </c>
      <c r="D6" s="51" t="s">
        <v>33</v>
      </c>
      <c r="E6" s="51" t="s">
        <v>34</v>
      </c>
      <c r="F6" s="51" t="s">
        <v>35</v>
      </c>
      <c r="G6" s="51" t="s">
        <v>36</v>
      </c>
      <c r="H6" s="51" t="s">
        <v>37</v>
      </c>
      <c r="I6" s="51" t="s">
        <v>38</v>
      </c>
      <c r="J6" s="51" t="s">
        <v>39</v>
      </c>
      <c r="K6" s="51" t="s">
        <v>40</v>
      </c>
      <c r="L6" s="51" t="s">
        <v>41</v>
      </c>
    </row>
    <row r="7" spans="1:12" ht="15.6">
      <c r="C7" s="5">
        <v>-2</v>
      </c>
      <c r="D7" s="44">
        <f>C12/C15</f>
        <v>1</v>
      </c>
      <c r="E7" s="44">
        <f t="shared" ref="E7:J7" si="0">D12/D15</f>
        <v>1</v>
      </c>
      <c r="F7" s="44">
        <f t="shared" si="0"/>
        <v>1</v>
      </c>
      <c r="G7" s="44">
        <f t="shared" si="0"/>
        <v>1</v>
      </c>
      <c r="H7" s="44">
        <f t="shared" si="0"/>
        <v>1</v>
      </c>
      <c r="I7" s="44">
        <f t="shared" si="0"/>
        <v>1</v>
      </c>
      <c r="J7" s="44">
        <f t="shared" si="0"/>
        <v>0.50000000000000122</v>
      </c>
      <c r="K7" s="44">
        <f>J12/J15</f>
        <v>1</v>
      </c>
      <c r="L7" s="44">
        <f t="shared" ref="L7" si="1">K12/K15</f>
        <v>1.1304088978001604E-15</v>
      </c>
    </row>
    <row r="8" spans="1:12" ht="15.6">
      <c r="C8" s="5">
        <v>-1</v>
      </c>
      <c r="D8" s="44">
        <f>C13/C15</f>
        <v>0.66666666666666663</v>
      </c>
      <c r="E8" s="44">
        <f t="shared" ref="E8:J8" si="2">D13/D15</f>
        <v>0.50000000000000022</v>
      </c>
      <c r="F8" s="44">
        <f t="shared" si="2"/>
        <v>0.74999999999999978</v>
      </c>
      <c r="G8" s="44">
        <f t="shared" si="2"/>
        <v>0.40000000000000013</v>
      </c>
      <c r="H8" s="44">
        <f t="shared" si="2"/>
        <v>0.99999999999999933</v>
      </c>
      <c r="I8" s="44">
        <f t="shared" si="2"/>
        <v>0.1666666666666673</v>
      </c>
      <c r="J8" s="44">
        <f t="shared" si="2"/>
        <v>1</v>
      </c>
      <c r="K8" s="44">
        <f>J13/J15</f>
        <v>-0.24999999999999883</v>
      </c>
      <c r="L8" s="44">
        <f t="shared" ref="L8" si="3">K13/K15</f>
        <v>1</v>
      </c>
    </row>
    <row r="9" spans="1:12" ht="15.6">
      <c r="C9" s="5">
        <v>-1</v>
      </c>
      <c r="D9" s="44">
        <f>C14/C15</f>
        <v>0.66666666666666663</v>
      </c>
      <c r="E9" s="44">
        <f t="shared" ref="E9:J9" si="4">D14/D15</f>
        <v>0.75</v>
      </c>
      <c r="F9" s="44">
        <f t="shared" si="4"/>
        <v>0.75000000000000022</v>
      </c>
      <c r="G9" s="44">
        <f t="shared" si="4"/>
        <v>0.79999999999999993</v>
      </c>
      <c r="H9" s="44">
        <f t="shared" si="4"/>
        <v>0.74999999999999978</v>
      </c>
      <c r="I9" s="44">
        <f t="shared" si="4"/>
        <v>0.83333333333333326</v>
      </c>
      <c r="J9" s="44">
        <f t="shared" si="4"/>
        <v>0.33333333333333437</v>
      </c>
      <c r="K9" s="44">
        <f>J14/J15</f>
        <v>0.87499999999999978</v>
      </c>
      <c r="L9" s="44">
        <f>K14/K15</f>
        <v>-9.090909090909001E-2</v>
      </c>
    </row>
    <row r="11" spans="1:12" ht="18.600000000000001">
      <c r="C11" s="52" t="s">
        <v>42</v>
      </c>
      <c r="D11" s="52" t="s">
        <v>43</v>
      </c>
      <c r="E11" s="52" t="s">
        <v>44</v>
      </c>
      <c r="F11" s="52" t="s">
        <v>45</v>
      </c>
      <c r="G11" s="52" t="s">
        <v>46</v>
      </c>
      <c r="H11" s="52" t="s">
        <v>47</v>
      </c>
      <c r="I11" s="52" t="s">
        <v>48</v>
      </c>
      <c r="J11" s="52" t="s">
        <v>49</v>
      </c>
      <c r="K11" s="52" t="s">
        <v>50</v>
      </c>
      <c r="L11" s="52" t="s">
        <v>51</v>
      </c>
    </row>
    <row r="12" spans="1:12" ht="15">
      <c r="C12" s="9" cm="1">
        <f t="array" ref="C12:C14">MMULT($C$2:$E$4,C7:C9)</f>
        <v>-3</v>
      </c>
      <c r="D12" s="9" cm="1">
        <f t="array" ref="D12:D14">MMULT($C$2:$E$4,D7:D9)</f>
        <v>1.3333333333333333</v>
      </c>
      <c r="E12" s="9" cm="1">
        <f t="array" ref="E12:E14">MMULT($C$2:$E$4,E7:E9)</f>
        <v>1</v>
      </c>
      <c r="F12" s="9" cm="1">
        <f t="array" ref="F12:F14">MMULT($C$2:$E$4,F7:F9)</f>
        <v>1.2499999999999996</v>
      </c>
      <c r="G12" s="9" cm="1">
        <f t="array" ref="G12:G14">MMULT($C$2:$E$4,G7:G9)</f>
        <v>0.80000000000000049</v>
      </c>
      <c r="H12" s="9" cm="1">
        <f t="array" ref="H12:H14">MMULT($C$2:$E$4,H7:H9)</f>
        <v>1.4999999999999996</v>
      </c>
      <c r="I12" s="9" cm="1">
        <f t="array" ref="I12:I14">MMULT($C$2:$E$4,I7:I9)</f>
        <v>0.50000000000000089</v>
      </c>
      <c r="J12" s="9" cm="1">
        <f t="array" ref="J12:J14">MMULT($C$2:$E$4,J7:J9)</f>
        <v>1.3333333333333339</v>
      </c>
      <c r="K12" s="9" cm="1">
        <f t="array" ref="K12:K14">MMULT($C$2:$E$4,K7:K9)</f>
        <v>1.5543122344752192E-15</v>
      </c>
      <c r="L12" s="9" cm="1">
        <f t="array" ref="L12:L14">MMULT($C$2:$E$4,L7:L9)</f>
        <v>1.1818181818181823</v>
      </c>
    </row>
    <row r="13" spans="1:12" ht="15">
      <c r="C13" s="9">
        <v>-2</v>
      </c>
      <c r="D13" s="9">
        <v>0.66666666666666685</v>
      </c>
      <c r="E13" s="9">
        <v>0.74999999999999978</v>
      </c>
      <c r="F13" s="9">
        <v>0.5</v>
      </c>
      <c r="G13" s="9">
        <v>0.79999999999999993</v>
      </c>
      <c r="H13" s="9">
        <v>0.25000000000000089</v>
      </c>
      <c r="I13" s="9">
        <v>0.99999999999999933</v>
      </c>
      <c r="J13" s="9">
        <v>-0.33333333333333193</v>
      </c>
      <c r="K13" s="9">
        <v>1.3749999999999989</v>
      </c>
      <c r="L13" s="9">
        <v>-0.90909090909090773</v>
      </c>
    </row>
    <row r="14" spans="1:12" ht="15">
      <c r="C14" s="9">
        <v>-2</v>
      </c>
      <c r="D14" s="9">
        <v>0.99999999999999989</v>
      </c>
      <c r="E14" s="9">
        <v>0.75000000000000022</v>
      </c>
      <c r="F14" s="9">
        <v>0.99999999999999956</v>
      </c>
      <c r="G14" s="9">
        <v>0.6000000000000002</v>
      </c>
      <c r="H14" s="9">
        <v>1.2499999999999996</v>
      </c>
      <c r="I14" s="9">
        <v>0.33333333333333415</v>
      </c>
      <c r="J14" s="9">
        <v>1.166666666666667</v>
      </c>
      <c r="K14" s="9">
        <v>-0.12499999999999867</v>
      </c>
      <c r="L14" s="9">
        <v>1.0909090909090911</v>
      </c>
    </row>
    <row r="15" spans="1:12" ht="15.6">
      <c r="A15" s="11" t="s">
        <v>52</v>
      </c>
      <c r="B15" s="4" t="s">
        <v>3</v>
      </c>
      <c r="C15" s="10">
        <f>IF(MAX(C12:C14)&gt;ABS(MIN(C12:C14)),MAX(C12:C14),MIN(C12:C14))</f>
        <v>-3</v>
      </c>
      <c r="D15" s="10">
        <f>IF(MAX(D12:D14)&gt;ABS(MIN(D12:D14)),MAX(D12:D14),MIN(D12:D14))</f>
        <v>1.3333333333333333</v>
      </c>
      <c r="E15" s="10">
        <f t="shared" ref="E15:J15" si="5">IF(MAX(E12:E14)&gt;ABS(MIN(E12:E14)),MAX(E12:E14),MIN(E12:E14))</f>
        <v>1</v>
      </c>
      <c r="F15" s="10">
        <f t="shared" si="5"/>
        <v>1.2499999999999996</v>
      </c>
      <c r="G15" s="10">
        <f t="shared" si="5"/>
        <v>0.80000000000000049</v>
      </c>
      <c r="H15" s="10">
        <f t="shared" si="5"/>
        <v>1.4999999999999996</v>
      </c>
      <c r="I15" s="10">
        <f t="shared" si="5"/>
        <v>0.99999999999999933</v>
      </c>
      <c r="J15" s="10">
        <f t="shared" si="5"/>
        <v>1.3333333333333339</v>
      </c>
      <c r="K15" s="10">
        <f>IF(MAX(K12:K14)&gt;ABS(MIN(K12:K14)),MAX(K12:K14),MIN(K12:K14))</f>
        <v>1.3749999999999989</v>
      </c>
      <c r="L15" s="10">
        <f t="shared" ref="L15" si="6">IF(MAX(L12:L14)&gt;ABS(MIN(L12:L14)),MAX(L12:L14),MIN(L12:L14))</f>
        <v>1.1818181818181823</v>
      </c>
    </row>
    <row r="16" spans="1:12" ht="15">
      <c r="A16" s="16">
        <v>0.01</v>
      </c>
      <c r="B16" s="12" t="s">
        <v>53</v>
      </c>
      <c r="C16" s="12" t="s">
        <v>54</v>
      </c>
      <c r="D16" s="21">
        <f>ABS(D15-C15)</f>
        <v>4.333333333333333</v>
      </c>
      <c r="E16" s="21">
        <f t="shared" ref="E16:L16" si="7">ABS(E15-D15)</f>
        <v>0.33333333333333326</v>
      </c>
      <c r="F16" s="21">
        <f t="shared" si="7"/>
        <v>0.24999999999999956</v>
      </c>
      <c r="G16" s="20">
        <f t="shared" si="7"/>
        <v>0.44999999999999907</v>
      </c>
      <c r="H16" s="13">
        <f t="shared" si="7"/>
        <v>0.69999999999999907</v>
      </c>
      <c r="I16" s="13">
        <f t="shared" si="7"/>
        <v>0.50000000000000022</v>
      </c>
      <c r="J16" s="19">
        <f t="shared" si="7"/>
        <v>0.33333333333333459</v>
      </c>
      <c r="K16" s="13">
        <f t="shared" si="7"/>
        <v>4.1666666666664964E-2</v>
      </c>
      <c r="L16" s="13">
        <f t="shared" si="7"/>
        <v>0.19318181818181657</v>
      </c>
    </row>
    <row r="17" spans="1:12" ht="15">
      <c r="A17" s="17">
        <v>0.05</v>
      </c>
      <c r="B17" s="14"/>
      <c r="C17" s="14" t="s">
        <v>55</v>
      </c>
      <c r="D17" s="15">
        <f>ABS((D15-C15)/D15)*100</f>
        <v>325</v>
      </c>
      <c r="E17" s="15">
        <f t="shared" ref="E17:L17" si="8">ABS((E15-D15)/E15)*100</f>
        <v>33.333333333333329</v>
      </c>
      <c r="F17" s="15">
        <f t="shared" si="8"/>
        <v>19.999999999999972</v>
      </c>
      <c r="G17" s="18">
        <f t="shared" si="8"/>
        <v>56.249999999999844</v>
      </c>
      <c r="H17" s="15">
        <f t="shared" si="8"/>
        <v>46.666666666666615</v>
      </c>
      <c r="I17" s="18">
        <f t="shared" si="8"/>
        <v>50.000000000000057</v>
      </c>
      <c r="J17" s="18">
        <f t="shared" si="8"/>
        <v>25.000000000000082</v>
      </c>
      <c r="K17" s="18">
        <f t="shared" si="8"/>
        <v>3.030303030302909</v>
      </c>
      <c r="L17" s="18">
        <f t="shared" si="8"/>
        <v>16.346153846153701</v>
      </c>
    </row>
    <row r="19" spans="1:12" ht="18">
      <c r="D19" s="45" t="s">
        <v>56</v>
      </c>
    </row>
    <row r="20" spans="1:12" ht="15.6">
      <c r="C20" s="23" cm="1">
        <f t="array" ref="C20:E22">MINVERSE(C2:E4)</f>
        <v>-2</v>
      </c>
      <c r="D20" s="23">
        <v>1</v>
      </c>
      <c r="E20" s="23">
        <v>3</v>
      </c>
    </row>
    <row r="21" spans="1:12" ht="15.6">
      <c r="C21" s="23">
        <v>-1</v>
      </c>
      <c r="D21" s="23">
        <v>0</v>
      </c>
      <c r="E21" s="23">
        <v>2</v>
      </c>
    </row>
    <row r="22" spans="1:12" ht="15.6">
      <c r="C22" s="23">
        <v>-3</v>
      </c>
      <c r="D22" s="23">
        <v>1</v>
      </c>
      <c r="E22" s="23">
        <v>4</v>
      </c>
    </row>
    <row r="24" spans="1:12" ht="18.600000000000001">
      <c r="C24" s="4" t="s">
        <v>32</v>
      </c>
      <c r="D24" s="55" t="s">
        <v>33</v>
      </c>
      <c r="E24" s="55" t="s">
        <v>34</v>
      </c>
      <c r="F24" s="55" t="s">
        <v>35</v>
      </c>
      <c r="G24" s="55" t="s">
        <v>36</v>
      </c>
      <c r="H24" s="55" t="s">
        <v>37</v>
      </c>
      <c r="I24" s="55" t="s">
        <v>38</v>
      </c>
      <c r="J24" s="55" t="s">
        <v>39</v>
      </c>
      <c r="K24" s="55" t="s">
        <v>40</v>
      </c>
      <c r="L24" s="55" t="s">
        <v>41</v>
      </c>
    </row>
    <row r="25" spans="1:12" ht="15">
      <c r="C25" s="24">
        <v>1</v>
      </c>
      <c r="D25" s="44">
        <f>C30*C33</f>
        <v>0.66666666666666663</v>
      </c>
      <c r="E25" s="44">
        <f t="shared" ref="E25:L25" si="9">D30*D33</f>
        <v>0.85714285714285721</v>
      </c>
      <c r="F25" s="44">
        <f t="shared" si="9"/>
        <v>0.9285714285714286</v>
      </c>
      <c r="G25" s="44">
        <f t="shared" si="9"/>
        <v>0.96000000000000008</v>
      </c>
      <c r="H25" s="44">
        <f t="shared" si="9"/>
        <v>0.9767441860465117</v>
      </c>
      <c r="I25" s="44">
        <f t="shared" si="9"/>
        <v>0.98611111111111105</v>
      </c>
      <c r="J25" s="44">
        <f t="shared" si="9"/>
        <v>0.99159663865546188</v>
      </c>
      <c r="K25" s="44">
        <f t="shared" si="9"/>
        <v>0.99487179487179489</v>
      </c>
      <c r="L25" s="44">
        <f t="shared" si="9"/>
        <v>0.99685534591194969</v>
      </c>
    </row>
    <row r="26" spans="1:12" ht="15">
      <c r="C26" s="24">
        <v>0</v>
      </c>
      <c r="D26" s="44">
        <f>C31*C33</f>
        <v>0.33333333333333331</v>
      </c>
      <c r="E26" s="44">
        <f t="shared" ref="E26:L26" si="10">D31*D33</f>
        <v>0.57142857142857151</v>
      </c>
      <c r="F26" s="44">
        <f t="shared" si="10"/>
        <v>0.5714285714285714</v>
      </c>
      <c r="G26" s="44">
        <f t="shared" si="10"/>
        <v>0.60000000000000009</v>
      </c>
      <c r="H26" s="44">
        <f t="shared" si="10"/>
        <v>0.60465116279069775</v>
      </c>
      <c r="I26" s="44">
        <f t="shared" si="10"/>
        <v>0.61111111111111105</v>
      </c>
      <c r="J26" s="44">
        <f t="shared" si="10"/>
        <v>0.61344537815126032</v>
      </c>
      <c r="K26" s="44">
        <f t="shared" si="10"/>
        <v>0.61538461538461542</v>
      </c>
      <c r="L26" s="44">
        <f t="shared" si="10"/>
        <v>0.61635220125786161</v>
      </c>
    </row>
    <row r="27" spans="1:12" ht="15">
      <c r="C27" s="24">
        <v>0</v>
      </c>
      <c r="D27" s="44">
        <f>C32*C33</f>
        <v>1</v>
      </c>
      <c r="E27" s="44">
        <f t="shared" ref="E27:L27" si="11">D32*D33</f>
        <v>1</v>
      </c>
      <c r="F27" s="44">
        <f t="shared" si="11"/>
        <v>1</v>
      </c>
      <c r="G27" s="44">
        <f t="shared" si="11"/>
        <v>1</v>
      </c>
      <c r="H27" s="44">
        <f t="shared" si="11"/>
        <v>0.99999999999999989</v>
      </c>
      <c r="I27" s="44">
        <f t="shared" si="11"/>
        <v>1</v>
      </c>
      <c r="J27" s="44">
        <f t="shared" si="11"/>
        <v>1</v>
      </c>
      <c r="K27" s="44">
        <f t="shared" si="11"/>
        <v>1</v>
      </c>
      <c r="L27" s="44">
        <f t="shared" si="11"/>
        <v>1</v>
      </c>
    </row>
    <row r="29" spans="1:12" ht="18.600000000000001">
      <c r="C29" s="52" t="s">
        <v>57</v>
      </c>
      <c r="D29" s="52" t="s">
        <v>58</v>
      </c>
      <c r="E29" s="52" t="s">
        <v>59</v>
      </c>
      <c r="F29" s="52" t="s">
        <v>60</v>
      </c>
      <c r="G29" s="52" t="s">
        <v>61</v>
      </c>
      <c r="H29" s="52" t="s">
        <v>62</v>
      </c>
      <c r="I29" s="52" t="s">
        <v>63</v>
      </c>
      <c r="J29" s="52" t="s">
        <v>64</v>
      </c>
      <c r="K29" s="52" t="s">
        <v>65</v>
      </c>
      <c r="L29" s="52" t="s">
        <v>66</v>
      </c>
    </row>
    <row r="30" spans="1:12" ht="15">
      <c r="C30" s="7" cm="1">
        <f t="array" ref="C30:C32">MMULT($C$20:$E$22,C25:C27)</f>
        <v>-2</v>
      </c>
      <c r="D30" s="7" cm="1">
        <f t="array" ref="D30:D32">MMULT($C$20:$E$22,D25:D27)</f>
        <v>2</v>
      </c>
      <c r="E30" s="9" cm="1">
        <f t="array" ref="E30:E32">MMULT($C$20:$E$22,E25:E27)</f>
        <v>1.8571428571428572</v>
      </c>
      <c r="F30" s="9" cm="1">
        <f t="array" ref="F30:F32">MMULT($C$20:$E$22,F25:F27)</f>
        <v>1.7142857142857142</v>
      </c>
      <c r="G30" s="7" cm="1">
        <f t="array" ref="G30:G32">MMULT($C$20:$E$22,G25:G27)</f>
        <v>1.68</v>
      </c>
      <c r="H30" s="9" cm="1">
        <f t="array" ref="H30:H32">MMULT($C$20:$E$22,H25:H27)</f>
        <v>1.6511627906976738</v>
      </c>
      <c r="I30" s="9" cm="1">
        <f t="array" ref="I30:I32">MMULT($C$20:$E$22,I25:I27)</f>
        <v>1.6388888888888888</v>
      </c>
      <c r="J30" s="9" cm="1">
        <f t="array" ref="J30:J32">MMULT($C$20:$E$22,J25:J27)</f>
        <v>1.6302521008403366</v>
      </c>
      <c r="K30" s="9" cm="1">
        <f t="array" ref="K30:K32">MMULT($C$20:$E$22,K25:K27)</f>
        <v>1.6256410256410256</v>
      </c>
      <c r="L30" s="9" cm="1">
        <f t="array" ref="L30:L32">MMULT($C$20:$E$22,L25:L27)</f>
        <v>1.6226415094339623</v>
      </c>
    </row>
    <row r="31" spans="1:12" ht="15">
      <c r="C31" s="7">
        <v>-1</v>
      </c>
      <c r="D31" s="9">
        <v>1.3333333333333335</v>
      </c>
      <c r="E31" s="9">
        <v>1.1428571428571428</v>
      </c>
      <c r="F31" s="9">
        <v>1.0714285714285714</v>
      </c>
      <c r="G31" s="7">
        <v>1.04</v>
      </c>
      <c r="H31" s="9">
        <v>1.023255813953488</v>
      </c>
      <c r="I31" s="9">
        <v>1.0138888888888888</v>
      </c>
      <c r="J31" s="9">
        <v>1.0084033613445382</v>
      </c>
      <c r="K31" s="9">
        <v>1.0051282051282051</v>
      </c>
      <c r="L31" s="9">
        <v>1.0031446540880502</v>
      </c>
    </row>
    <row r="32" spans="1:12" ht="15">
      <c r="C32" s="7">
        <v>-3</v>
      </c>
      <c r="D32" s="9">
        <v>2.333333333333333</v>
      </c>
      <c r="E32" s="7">
        <v>2</v>
      </c>
      <c r="F32" s="9">
        <v>1.7857142857142856</v>
      </c>
      <c r="G32" s="7">
        <v>1.7199999999999998</v>
      </c>
      <c r="H32" s="9">
        <v>1.6744186046511622</v>
      </c>
      <c r="I32" s="9">
        <v>1.6527777777777781</v>
      </c>
      <c r="J32" s="9">
        <v>1.6386554621848743</v>
      </c>
      <c r="K32" s="9">
        <v>1.6307692307692307</v>
      </c>
      <c r="L32" s="9">
        <v>1.6257861635220126</v>
      </c>
    </row>
    <row r="33" spans="1:12" ht="15.6">
      <c r="A33" s="11" t="s">
        <v>52</v>
      </c>
      <c r="B33" s="4" t="s">
        <v>4</v>
      </c>
      <c r="C33" s="10">
        <f>1/IF(MAX(C30:C32)&gt;ABS(MIN(C30:C32)),MAX(C30:C32),MIN(C30:C32))</f>
        <v>-0.33333333333333331</v>
      </c>
      <c r="D33" s="10">
        <f>1/IF(MAX(D30:D32)&gt;ABS(MIN(D30:D32)),MAX(D30:D32),MIN(D30:D32))</f>
        <v>0.4285714285714286</v>
      </c>
      <c r="E33" s="6">
        <f t="shared" ref="E33:L33" si="12">1/IF(MAX(E30:E32)&gt;ABS(MIN(E30:E32)),MAX(E30:E32),MIN(E30:E32))</f>
        <v>0.5</v>
      </c>
      <c r="F33" s="6">
        <f t="shared" si="12"/>
        <v>0.56000000000000005</v>
      </c>
      <c r="G33" s="10">
        <f t="shared" si="12"/>
        <v>0.58139534883720934</v>
      </c>
      <c r="H33" s="10">
        <f t="shared" si="12"/>
        <v>0.59722222222222243</v>
      </c>
      <c r="I33" s="10">
        <f t="shared" si="12"/>
        <v>0.60504201680672254</v>
      </c>
      <c r="J33" s="10">
        <f t="shared" si="12"/>
        <v>0.61025641025641009</v>
      </c>
      <c r="K33" s="10">
        <f t="shared" si="12"/>
        <v>0.6132075471698113</v>
      </c>
      <c r="L33" s="46">
        <f t="shared" si="12"/>
        <v>0.61508704061895547</v>
      </c>
    </row>
    <row r="34" spans="1:12" ht="15">
      <c r="A34" s="16">
        <v>0.01</v>
      </c>
      <c r="B34" s="12" t="s">
        <v>53</v>
      </c>
      <c r="C34" s="12" t="s">
        <v>54</v>
      </c>
      <c r="D34" s="28">
        <f>ABS(D33-C33)</f>
        <v>0.76190476190476186</v>
      </c>
      <c r="E34" s="29">
        <f t="shared" ref="E34:L34" si="13">ABS(E33-D33)</f>
        <v>7.1428571428571397E-2</v>
      </c>
      <c r="F34" s="29">
        <f t="shared" si="13"/>
        <v>6.0000000000000053E-2</v>
      </c>
      <c r="G34" s="29">
        <f t="shared" si="13"/>
        <v>2.1395348837209283E-2</v>
      </c>
      <c r="H34" s="29">
        <f t="shared" si="13"/>
        <v>1.5826873385013096E-2</v>
      </c>
      <c r="I34" s="29">
        <f t="shared" si="13"/>
        <v>7.819794584500106E-3</v>
      </c>
      <c r="J34" s="29">
        <f t="shared" si="13"/>
        <v>5.2143934496875488E-3</v>
      </c>
      <c r="K34" s="29">
        <f t="shared" si="13"/>
        <v>2.9511369134012089E-3</v>
      </c>
      <c r="L34" s="13">
        <f t="shared" si="13"/>
        <v>1.8794934491441762E-3</v>
      </c>
    </row>
    <row r="35" spans="1:12" ht="15">
      <c r="A35" s="17">
        <v>0.05</v>
      </c>
      <c r="B35" s="14"/>
      <c r="C35" s="14" t="s">
        <v>55</v>
      </c>
      <c r="D35" s="30">
        <f t="shared" ref="D35:L35" si="14">ABS((D33-C33)/D33)*100</f>
        <v>177.77777777777774</v>
      </c>
      <c r="E35" s="30">
        <f t="shared" si="14"/>
        <v>14.285714285714279</v>
      </c>
      <c r="F35" s="30">
        <f t="shared" si="14"/>
        <v>10.714285714285724</v>
      </c>
      <c r="G35" s="30">
        <f t="shared" si="14"/>
        <v>3.6799999999999966</v>
      </c>
      <c r="H35" s="30">
        <f t="shared" si="14"/>
        <v>2.6500811249324245</v>
      </c>
      <c r="I35" s="30">
        <f t="shared" si="14"/>
        <v>1.292438271604879</v>
      </c>
      <c r="J35" s="30">
        <f t="shared" si="14"/>
        <v>0.85445943083115317</v>
      </c>
      <c r="K35" s="30">
        <f t="shared" si="14"/>
        <v>0.48126232741619718</v>
      </c>
      <c r="L35" s="30">
        <f t="shared" si="14"/>
        <v>0.30556544440488653</v>
      </c>
    </row>
  </sheetData>
  <phoneticPr fontId="6" type="noConversion"/>
  <conditionalFormatting sqref="D16:L16">
    <cfRule type="cellIs" dxfId="39" priority="4" operator="lessThan">
      <formula>$A$16</formula>
    </cfRule>
  </conditionalFormatting>
  <conditionalFormatting sqref="D17:L17">
    <cfRule type="cellIs" dxfId="38" priority="3" operator="lessThan">
      <formula>$A$17</formula>
    </cfRule>
  </conditionalFormatting>
  <conditionalFormatting sqref="D34:L34">
    <cfRule type="cellIs" dxfId="37" priority="2" operator="lessThan">
      <formula>$A$34</formula>
    </cfRule>
  </conditionalFormatting>
  <conditionalFormatting sqref="D35:L35">
    <cfRule type="cellIs" dxfId="36" priority="1" operator="lessThan">
      <formula>$A$35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4614-9F13-48DA-A25B-7F562A4E899A}">
  <dimension ref="A1:L41"/>
  <sheetViews>
    <sheetView zoomScaleNormal="80" zoomScaleSheetLayoutView="100" workbookViewId="0">
      <selection activeCell="L18" sqref="L18"/>
    </sheetView>
  </sheetViews>
  <sheetFormatPr defaultColWidth="8.85546875" defaultRowHeight="14.45"/>
  <cols>
    <col min="1" max="1" width="14.7109375" bestFit="1" customWidth="1"/>
    <col min="3" max="3" width="12.140625" customWidth="1"/>
    <col min="4" max="4" width="11" bestFit="1" customWidth="1"/>
    <col min="5" max="6" width="11.140625" bestFit="1" customWidth="1"/>
    <col min="7" max="12" width="11" bestFit="1" customWidth="1"/>
  </cols>
  <sheetData>
    <row r="1" spans="1:12" ht="15.6">
      <c r="A1" s="1" t="s">
        <v>31</v>
      </c>
      <c r="B1" s="50"/>
      <c r="C1" s="50"/>
      <c r="D1" s="4" t="s">
        <v>1</v>
      </c>
      <c r="E1" s="50"/>
      <c r="F1" s="50"/>
      <c r="G1" s="50"/>
      <c r="H1" s="50"/>
      <c r="I1" s="50"/>
      <c r="J1" s="50"/>
      <c r="K1" s="50"/>
      <c r="L1" s="50"/>
    </row>
    <row r="2" spans="1:12" ht="15.6">
      <c r="A2" s="50"/>
      <c r="B2" s="50"/>
      <c r="C2" s="25">
        <v>2</v>
      </c>
      <c r="D2" s="25">
        <v>0</v>
      </c>
      <c r="E2" s="25">
        <v>1</v>
      </c>
      <c r="F2" s="25">
        <v>1</v>
      </c>
      <c r="G2" s="50"/>
      <c r="H2" s="50"/>
      <c r="I2" s="50"/>
      <c r="J2" s="50"/>
      <c r="K2" s="50"/>
      <c r="L2" s="50"/>
    </row>
    <row r="3" spans="1:12" ht="15.6">
      <c r="A3" s="50"/>
      <c r="B3" s="50"/>
      <c r="C3" s="25">
        <v>3</v>
      </c>
      <c r="D3" s="25">
        <v>1</v>
      </c>
      <c r="E3" s="25">
        <v>4</v>
      </c>
      <c r="F3" s="25">
        <v>-1</v>
      </c>
      <c r="G3" s="50"/>
      <c r="H3" s="50"/>
      <c r="I3" s="50"/>
      <c r="J3" s="50"/>
      <c r="K3" s="50"/>
      <c r="L3" s="50"/>
    </row>
    <row r="4" spans="1:12" ht="15.6">
      <c r="A4" s="50"/>
      <c r="B4" s="50"/>
      <c r="C4" s="25">
        <v>0</v>
      </c>
      <c r="D4" s="25">
        <v>2</v>
      </c>
      <c r="E4" s="25">
        <v>5</v>
      </c>
      <c r="F4" s="25">
        <v>0</v>
      </c>
      <c r="G4" s="50"/>
      <c r="H4" s="50"/>
      <c r="I4" s="50"/>
      <c r="J4" s="50"/>
      <c r="K4" s="50"/>
      <c r="L4" s="50"/>
    </row>
    <row r="5" spans="1:12" ht="15.6">
      <c r="A5" s="50"/>
      <c r="B5" s="50"/>
      <c r="C5" s="25">
        <v>0</v>
      </c>
      <c r="D5" s="25">
        <v>-1</v>
      </c>
      <c r="E5" s="25">
        <v>-1</v>
      </c>
      <c r="F5" s="25">
        <v>1</v>
      </c>
      <c r="G5" s="50"/>
      <c r="H5" s="50"/>
      <c r="I5" s="50"/>
      <c r="J5" s="50"/>
      <c r="K5" s="50"/>
      <c r="L5" s="50"/>
    </row>
    <row r="6" spans="1:12" ht="15.6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</row>
    <row r="7" spans="1:12" ht="18.600000000000001">
      <c r="A7" s="50"/>
      <c r="B7" s="50"/>
      <c r="C7" s="4" t="s">
        <v>32</v>
      </c>
      <c r="D7" s="51" t="s">
        <v>33</v>
      </c>
      <c r="E7" s="51" t="s">
        <v>34</v>
      </c>
      <c r="F7" s="51" t="s">
        <v>35</v>
      </c>
      <c r="G7" s="51" t="s">
        <v>36</v>
      </c>
      <c r="H7" s="51" t="s">
        <v>37</v>
      </c>
      <c r="I7" s="51" t="s">
        <v>38</v>
      </c>
      <c r="J7" s="51" t="s">
        <v>39</v>
      </c>
      <c r="K7" s="51" t="s">
        <v>40</v>
      </c>
      <c r="L7" s="51" t="s">
        <v>41</v>
      </c>
    </row>
    <row r="8" spans="1:12" ht="15.6">
      <c r="A8" s="50"/>
      <c r="B8" s="50"/>
      <c r="C8" s="26">
        <v>0.1445647863630867</v>
      </c>
      <c r="D8" s="44">
        <f t="shared" ref="D8:L8" si="0">C14/C$18</f>
        <v>0.14458866572058074</v>
      </c>
      <c r="E8" s="44">
        <f t="shared" si="0"/>
        <v>0.14459406844718395</v>
      </c>
      <c r="F8" s="44">
        <f t="shared" si="0"/>
        <v>0.14459502694657575</v>
      </c>
      <c r="G8" s="44">
        <f t="shared" si="0"/>
        <v>0.14459512131489097</v>
      </c>
      <c r="H8" s="44">
        <f t="shared" si="0"/>
        <v>0.14459510291154634</v>
      </c>
      <c r="I8" s="44">
        <f t="shared" si="0"/>
        <v>0.14459508823998837</v>
      </c>
      <c r="J8" s="44">
        <f t="shared" si="0"/>
        <v>0.14459508262184934</v>
      </c>
      <c r="K8" s="44">
        <f t="shared" si="0"/>
        <v>0.14459508096546916</v>
      </c>
      <c r="L8" s="44">
        <f t="shared" si="0"/>
        <v>0.1445950805610309</v>
      </c>
    </row>
    <row r="9" spans="1:12" ht="15.6">
      <c r="A9" s="50"/>
      <c r="B9" s="50"/>
      <c r="C9" s="26">
        <v>0.83811322365192154</v>
      </c>
      <c r="D9" s="44">
        <f t="shared" ref="D9:L9" si="1">C15/C$18</f>
        <v>0.83814270315276718</v>
      </c>
      <c r="E9" s="44">
        <f t="shared" si="1"/>
        <v>0.83815092108830513</v>
      </c>
      <c r="F9" s="44">
        <f t="shared" si="1"/>
        <v>0.83815282035344485</v>
      </c>
      <c r="G9" s="44">
        <f t="shared" si="1"/>
        <v>0.83815316915906479</v>
      </c>
      <c r="H9" s="44">
        <f t="shared" si="1"/>
        <v>0.83815320779379732</v>
      </c>
      <c r="I9" s="44">
        <f t="shared" si="1"/>
        <v>0.83815320309559893</v>
      </c>
      <c r="J9" s="44">
        <f t="shared" si="1"/>
        <v>0.83815319840538938</v>
      </c>
      <c r="K9" s="44">
        <f t="shared" si="1"/>
        <v>0.83815319653252562</v>
      </c>
      <c r="L9" s="59">
        <f t="shared" si="1"/>
        <v>0.83815319596731719</v>
      </c>
    </row>
    <row r="10" spans="1:12" ht="15.6">
      <c r="A10" s="50"/>
      <c r="B10" s="50"/>
      <c r="C10" s="26">
        <v>1</v>
      </c>
      <c r="D10" s="44">
        <f t="shared" ref="D10:L10" si="2">C16/C$18</f>
        <v>1</v>
      </c>
      <c r="E10" s="44">
        <f t="shared" si="2"/>
        <v>1</v>
      </c>
      <c r="F10" s="44">
        <f t="shared" si="2"/>
        <v>1</v>
      </c>
      <c r="G10" s="44">
        <f t="shared" si="2"/>
        <v>1</v>
      </c>
      <c r="H10" s="44">
        <f t="shared" si="2"/>
        <v>1</v>
      </c>
      <c r="I10" s="44">
        <f t="shared" si="2"/>
        <v>1</v>
      </c>
      <c r="J10" s="44">
        <f t="shared" si="2"/>
        <v>1</v>
      </c>
      <c r="K10" s="44">
        <f t="shared" si="2"/>
        <v>1</v>
      </c>
      <c r="L10" s="44">
        <f t="shared" si="2"/>
        <v>1</v>
      </c>
    </row>
    <row r="11" spans="1:12" ht="15.6">
      <c r="A11" s="50"/>
      <c r="B11" s="50"/>
      <c r="C11" s="26">
        <v>-0.32382289866205749</v>
      </c>
      <c r="D11" s="44">
        <f t="shared" ref="D11:L11" si="3">C17/C$18</f>
        <v>-0.32382606242888373</v>
      </c>
      <c r="E11" s="44">
        <f t="shared" si="3"/>
        <v>-0.32382809212136765</v>
      </c>
      <c r="F11" s="44">
        <f t="shared" si="3"/>
        <v>-0.32382882983984801</v>
      </c>
      <c r="G11" s="44">
        <f t="shared" si="3"/>
        <v>-0.32382904057166284</v>
      </c>
      <c r="H11" s="44">
        <f t="shared" si="3"/>
        <v>-0.32382909054400372</v>
      </c>
      <c r="I11" s="44">
        <f t="shared" si="3"/>
        <v>-0.32382910006797838</v>
      </c>
      <c r="J11" s="44">
        <f t="shared" si="3"/>
        <v>-0.32382910124656461</v>
      </c>
      <c r="K11" s="44">
        <f t="shared" si="3"/>
        <v>-0.32382910117557168</v>
      </c>
      <c r="L11" s="44">
        <f t="shared" si="3"/>
        <v>-0.3238291010660978</v>
      </c>
    </row>
    <row r="12" spans="1:12" ht="15.6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2" ht="18.600000000000001">
      <c r="A13" s="50"/>
      <c r="B13" s="50"/>
      <c r="C13" s="52" t="s">
        <v>42</v>
      </c>
      <c r="D13" s="52" t="s">
        <v>43</v>
      </c>
      <c r="E13" s="52" t="s">
        <v>44</v>
      </c>
      <c r="F13" s="52" t="s">
        <v>45</v>
      </c>
      <c r="G13" s="52" t="s">
        <v>46</v>
      </c>
      <c r="H13" s="52" t="s">
        <v>47</v>
      </c>
      <c r="I13" s="52" t="s">
        <v>48</v>
      </c>
      <c r="J13" s="52" t="s">
        <v>49</v>
      </c>
      <c r="K13" s="52" t="s">
        <v>50</v>
      </c>
      <c r="L13" s="52" t="s">
        <v>51</v>
      </c>
    </row>
    <row r="14" spans="1:12" ht="15.6">
      <c r="A14" s="50"/>
      <c r="B14" s="50"/>
      <c r="C14" s="57" cm="1">
        <f t="array" ref="C14:C17">MMULT($C$2:$F$5,C8:C11)</f>
        <v>0.96530667406411585</v>
      </c>
      <c r="D14" s="9" cm="1">
        <f t="array" ref="D14:D17">MMULT($C$2:$F$5,D8:D11)</f>
        <v>0.96535126901227764</v>
      </c>
      <c r="E14" s="9" cm="1">
        <f t="array" ref="E14:E17">MMULT($C$2:$F$5,E8:E11)</f>
        <v>0.96536004477300019</v>
      </c>
      <c r="F14" s="9" cm="1">
        <f t="array" ref="F14:F17">MMULT($C$2:$F$5,F8:F11)</f>
        <v>0.9653612240533036</v>
      </c>
      <c r="G14" s="9" cm="1">
        <f t="array" ref="G14:G17">MMULT($C$2:$F$5,G8:G11)</f>
        <v>0.96536120205811904</v>
      </c>
      <c r="H14" s="9" cm="1">
        <f t="array" ref="H14:H17">MMULT($C$2:$F$5,H8:H11)</f>
        <v>0.96536111527908885</v>
      </c>
      <c r="I14" s="9" cm="1">
        <f t="array" ref="I14:I17">MMULT($C$2:$F$5,I8:I11)</f>
        <v>0.96536107641199831</v>
      </c>
      <c r="J14" s="9" cm="1">
        <f t="array" ref="J14:J17">MMULT($C$2:$F$5,J8:J11)</f>
        <v>0.96536106399713417</v>
      </c>
      <c r="K14" s="9" cm="1">
        <f t="array" ref="K14:K17">MMULT($C$2:$F$5,K8:K11)</f>
        <v>0.96536106075536665</v>
      </c>
      <c r="L14" s="9" cm="1">
        <f t="array" ref="L14:L17">MMULT($C$2:$F$5,L8:L11)</f>
        <v>0.96536106005596389</v>
      </c>
    </row>
    <row r="15" spans="1:12" ht="15.6">
      <c r="A15" s="50"/>
      <c r="B15" s="50"/>
      <c r="C15" s="57">
        <v>5.5956304814032389</v>
      </c>
      <c r="D15" s="57">
        <v>5.5957347627433931</v>
      </c>
      <c r="E15" s="9">
        <v>5.5957612185512247</v>
      </c>
      <c r="F15" s="9">
        <v>5.5957667310330201</v>
      </c>
      <c r="G15" s="9">
        <v>5.5957675736754009</v>
      </c>
      <c r="H15" s="9">
        <v>5.5957676070724398</v>
      </c>
      <c r="I15" s="9">
        <v>5.5957675678835432</v>
      </c>
      <c r="J15" s="9">
        <v>5.5957675475175019</v>
      </c>
      <c r="K15" s="9">
        <v>5.5957675406045047</v>
      </c>
      <c r="L15" s="9">
        <v>5.5957675387165073</v>
      </c>
    </row>
    <row r="16" spans="1:12" ht="15.6">
      <c r="A16" s="50"/>
      <c r="B16" s="50"/>
      <c r="C16" s="57">
        <v>6.6762264473038435</v>
      </c>
      <c r="D16" s="57">
        <v>6.6762854063055341</v>
      </c>
      <c r="E16" s="9">
        <v>6.6763018421766098</v>
      </c>
      <c r="F16" s="57">
        <v>6.6763056407068895</v>
      </c>
      <c r="G16" s="9">
        <v>6.6763063383181294</v>
      </c>
      <c r="H16" s="9">
        <v>6.6763064155875949</v>
      </c>
      <c r="I16" s="9">
        <v>6.6763064061911983</v>
      </c>
      <c r="J16" s="9">
        <v>6.6763063968107783</v>
      </c>
      <c r="K16" s="9">
        <v>6.676306393065051</v>
      </c>
      <c r="L16" s="9">
        <v>6.6763063919346344</v>
      </c>
    </row>
    <row r="17" spans="1:12" ht="15.6">
      <c r="A17" s="50"/>
      <c r="B17" s="50"/>
      <c r="C17" s="57">
        <v>-2.1619361223139792</v>
      </c>
      <c r="D17" s="57">
        <v>-2.1619687655816509</v>
      </c>
      <c r="E17" s="57">
        <v>-2.161979013209673</v>
      </c>
      <c r="F17" s="9">
        <v>-2.1619816501932929</v>
      </c>
      <c r="G17" s="9">
        <v>-2.1619822097307275</v>
      </c>
      <c r="H17" s="9">
        <v>-2.1619822983378012</v>
      </c>
      <c r="I17" s="9">
        <v>-2.1619823031635774</v>
      </c>
      <c r="J17" s="9">
        <v>-2.161982299651954</v>
      </c>
      <c r="K17" s="9">
        <v>-2.1619822977080974</v>
      </c>
      <c r="L17" s="9">
        <v>-2.1619822970334148</v>
      </c>
    </row>
    <row r="18" spans="1:12" ht="15.6">
      <c r="A18" s="11" t="s">
        <v>52</v>
      </c>
      <c r="B18" s="4" t="s">
        <v>3</v>
      </c>
      <c r="C18" s="58">
        <f>IF(MAX(C14:C17)&gt;ABS(MIN(C14:C17)),MAX(C14:C17),MIN(C14:C17))</f>
        <v>6.6762264473038435</v>
      </c>
      <c r="D18" s="58">
        <f t="shared" ref="D18:L18" si="4">IF(MAX(D14:D17)&gt;ABS(MIN(D14:D17)),MAX(D14:D17),MIN(D14:D17))</f>
        <v>6.6762854063055341</v>
      </c>
      <c r="E18" s="53">
        <f t="shared" si="4"/>
        <v>6.6763018421766098</v>
      </c>
      <c r="F18" s="58">
        <f t="shared" si="4"/>
        <v>6.6763056407068895</v>
      </c>
      <c r="G18" s="53">
        <f t="shared" si="4"/>
        <v>6.6763063383181294</v>
      </c>
      <c r="H18" s="53">
        <f t="shared" si="4"/>
        <v>6.6763064155875949</v>
      </c>
      <c r="I18" s="53">
        <f t="shared" si="4"/>
        <v>6.6763064061911983</v>
      </c>
      <c r="J18" s="53">
        <f t="shared" si="4"/>
        <v>6.6763063968107783</v>
      </c>
      <c r="K18" s="53">
        <f t="shared" si="4"/>
        <v>6.676306393065051</v>
      </c>
      <c r="L18" s="53">
        <f t="shared" si="4"/>
        <v>6.6763063919346344</v>
      </c>
    </row>
    <row r="19" spans="1:12" ht="15">
      <c r="A19" s="16">
        <v>0.01</v>
      </c>
      <c r="B19" s="12" t="s">
        <v>53</v>
      </c>
      <c r="C19" s="12" t="s">
        <v>54</v>
      </c>
      <c r="D19" s="21">
        <f t="shared" ref="D19:L19" si="5">ABS(D18-C18)</f>
        <v>5.8959001690617185E-5</v>
      </c>
      <c r="E19" s="21">
        <f t="shared" si="5"/>
        <v>1.6435871075692887E-5</v>
      </c>
      <c r="F19" s="21">
        <f t="shared" si="5"/>
        <v>3.7985302796528231E-6</v>
      </c>
      <c r="G19" s="20">
        <f t="shared" si="5"/>
        <v>6.9761123988598683E-7</v>
      </c>
      <c r="H19" s="13">
        <f t="shared" si="5"/>
        <v>7.726946549269087E-8</v>
      </c>
      <c r="I19" s="13">
        <f t="shared" si="5"/>
        <v>9.3963965497323443E-9</v>
      </c>
      <c r="J19" s="13">
        <f t="shared" si="5"/>
        <v>9.3804199963187784E-9</v>
      </c>
      <c r="K19" s="13">
        <f t="shared" si="5"/>
        <v>3.7457272838992139E-9</v>
      </c>
      <c r="L19" s="13">
        <f t="shared" si="5"/>
        <v>1.1304166491754586E-9</v>
      </c>
    </row>
    <row r="20" spans="1:12" ht="15">
      <c r="A20" s="17">
        <v>0.01</v>
      </c>
      <c r="B20" s="14"/>
      <c r="C20" s="14" t="s">
        <v>55</v>
      </c>
      <c r="D20" s="15">
        <f t="shared" ref="D20:L20" si="6">ABS((D18-C18)/D18)*100</f>
        <v>8.8311086333925045E-4</v>
      </c>
      <c r="E20" s="15">
        <f t="shared" si="6"/>
        <v>2.4618226473616805E-4</v>
      </c>
      <c r="F20" s="15">
        <f t="shared" si="6"/>
        <v>5.6895691780381605E-5</v>
      </c>
      <c r="G20" s="18">
        <f t="shared" si="6"/>
        <v>1.0449059772498792E-5</v>
      </c>
      <c r="H20" s="15">
        <f t="shared" si="6"/>
        <v>1.157368471169702E-6</v>
      </c>
      <c r="I20" s="18">
        <f t="shared" si="6"/>
        <v>1.4074244017648293E-7</v>
      </c>
      <c r="J20" s="18">
        <f t="shared" si="6"/>
        <v>1.40503138094437E-7</v>
      </c>
      <c r="K20" s="18">
        <f t="shared" si="6"/>
        <v>5.6104784043315514E-8</v>
      </c>
      <c r="L20" s="18">
        <f t="shared" si="6"/>
        <v>1.6931767100159867E-8</v>
      </c>
    </row>
    <row r="21" spans="1:12" ht="15.6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</row>
    <row r="22" spans="1:12" ht="18">
      <c r="A22" s="50"/>
      <c r="B22" s="50"/>
      <c r="C22" s="50"/>
      <c r="D22" s="45" t="s">
        <v>56</v>
      </c>
      <c r="E22" s="50"/>
      <c r="F22" s="50"/>
      <c r="G22" s="50"/>
      <c r="H22" s="50"/>
      <c r="I22" s="50"/>
      <c r="J22" s="50"/>
      <c r="K22" s="50"/>
      <c r="L22" s="50"/>
    </row>
    <row r="23" spans="1:12" ht="15.6">
      <c r="A23" s="50"/>
      <c r="B23" s="50"/>
      <c r="C23" s="102" cm="1">
        <f t="array" ref="C23:F26">MINVERSE(C2:F5)</f>
        <v>0.40000000000000008</v>
      </c>
      <c r="D23" s="103">
        <v>6.666666666666661E-2</v>
      </c>
      <c r="E23" s="102">
        <v>-0.20000000000000004</v>
      </c>
      <c r="F23" s="103">
        <v>-0.33333333333333331</v>
      </c>
      <c r="G23" s="50"/>
      <c r="H23" s="50"/>
      <c r="I23" s="50"/>
      <c r="J23" s="50"/>
      <c r="K23" s="50"/>
      <c r="L23" s="50"/>
    </row>
    <row r="24" spans="1:12" ht="15.6">
      <c r="A24" s="50"/>
      <c r="B24" s="50"/>
      <c r="C24" s="104">
        <v>1.0000000000000002</v>
      </c>
      <c r="D24" s="103">
        <v>-0.66666666666666663</v>
      </c>
      <c r="E24" s="104">
        <v>5.5511151231257827E-17</v>
      </c>
      <c r="F24" s="103">
        <v>-1.6666666666666665</v>
      </c>
      <c r="G24" s="50"/>
      <c r="H24" s="50"/>
      <c r="I24" s="50"/>
      <c r="J24" s="50"/>
      <c r="K24" s="50"/>
      <c r="L24" s="50"/>
    </row>
    <row r="25" spans="1:12" ht="15.6">
      <c r="A25" s="50"/>
      <c r="B25" s="50"/>
      <c r="C25" s="102">
        <v>-0.40000000000000008</v>
      </c>
      <c r="D25" s="103">
        <v>0.26666666666666666</v>
      </c>
      <c r="E25" s="102">
        <v>0.19999999999999998</v>
      </c>
      <c r="F25" s="103">
        <v>0.66666666666666663</v>
      </c>
      <c r="G25" s="50"/>
      <c r="H25" s="50"/>
      <c r="I25" s="50"/>
      <c r="J25" s="50"/>
      <c r="K25" s="50"/>
      <c r="L25" s="50"/>
    </row>
    <row r="26" spans="1:12" ht="15.6">
      <c r="A26" s="50"/>
      <c r="B26" s="50"/>
      <c r="C26" s="102">
        <v>0.60000000000000009</v>
      </c>
      <c r="D26" s="102">
        <v>-0.4</v>
      </c>
      <c r="E26" s="102">
        <v>0.2</v>
      </c>
      <c r="F26" s="104">
        <v>0</v>
      </c>
      <c r="G26" s="50"/>
      <c r="H26" s="50"/>
      <c r="I26" s="50"/>
      <c r="J26" s="50"/>
      <c r="K26" s="50"/>
      <c r="L26" s="50"/>
    </row>
    <row r="27" spans="1:12" ht="15.6">
      <c r="A27" s="50"/>
      <c r="B27" s="50"/>
      <c r="C27" s="54"/>
      <c r="D27" s="54"/>
      <c r="E27" s="54"/>
      <c r="F27" s="54"/>
      <c r="G27" s="50"/>
      <c r="H27" s="50"/>
      <c r="I27" s="50"/>
      <c r="J27" s="50"/>
      <c r="K27" s="50"/>
      <c r="L27" s="50"/>
    </row>
    <row r="28" spans="1:12" ht="18.600000000000001">
      <c r="A28" s="50"/>
      <c r="B28" s="50"/>
      <c r="C28" s="4" t="s">
        <v>32</v>
      </c>
      <c r="D28" s="55" t="s">
        <v>33</v>
      </c>
      <c r="E28" s="55" t="s">
        <v>34</v>
      </c>
      <c r="F28" s="55" t="s">
        <v>35</v>
      </c>
      <c r="G28" s="55" t="s">
        <v>36</v>
      </c>
      <c r="H28" s="55" t="s">
        <v>37</v>
      </c>
      <c r="I28" s="55" t="s">
        <v>38</v>
      </c>
      <c r="J28" s="55" t="s">
        <v>39</v>
      </c>
      <c r="K28" s="55" t="s">
        <v>40</v>
      </c>
      <c r="L28" s="55" t="s">
        <v>41</v>
      </c>
    </row>
    <row r="29" spans="1:12" ht="15.6">
      <c r="A29" s="50"/>
      <c r="B29" s="50"/>
      <c r="C29" s="24">
        <v>-8.401867254836751E-3</v>
      </c>
      <c r="D29" s="44">
        <f t="shared" ref="D29:L29" si="7">C35*C$39</f>
        <v>-7.8426676169900435E-3</v>
      </c>
      <c r="E29" s="44">
        <f t="shared" si="7"/>
        <v>-7.7313898209432031E-3</v>
      </c>
      <c r="F29" s="44">
        <f t="shared" si="7"/>
        <v>-7.9405122338060043E-3</v>
      </c>
      <c r="G29" s="44">
        <f t="shared" si="7"/>
        <v>-7.7897085371530185E-3</v>
      </c>
      <c r="H29" s="44">
        <f t="shared" si="7"/>
        <v>-7.8715798266727754E-3</v>
      </c>
      <c r="I29" s="44">
        <f t="shared" si="7"/>
        <v>-7.8348867579265038E-3</v>
      </c>
      <c r="J29" s="44">
        <f t="shared" si="7"/>
        <v>-7.8483525629509197E-3</v>
      </c>
      <c r="K29" s="44">
        <f t="shared" si="7"/>
        <v>-7.8447954418300603E-3</v>
      </c>
      <c r="L29" s="44">
        <f t="shared" si="7"/>
        <v>-7.8449488718606609E-3</v>
      </c>
    </row>
    <row r="30" spans="1:12" ht="15.6">
      <c r="A30" s="50"/>
      <c r="B30" s="50"/>
      <c r="C30" s="24">
        <v>0.99999999999999989</v>
      </c>
      <c r="D30" s="44">
        <f t="shared" ref="D30:L30" si="8">C36*C$39</f>
        <v>1</v>
      </c>
      <c r="E30" s="44">
        <f t="shared" si="8"/>
        <v>1</v>
      </c>
      <c r="F30" s="44">
        <f t="shared" si="8"/>
        <v>1</v>
      </c>
      <c r="G30" s="44">
        <f t="shared" si="8"/>
        <v>1</v>
      </c>
      <c r="H30" s="44">
        <f t="shared" si="8"/>
        <v>1</v>
      </c>
      <c r="I30" s="44">
        <f t="shared" si="8"/>
        <v>1</v>
      </c>
      <c r="J30" s="44">
        <f t="shared" si="8"/>
        <v>1</v>
      </c>
      <c r="K30" s="44">
        <f t="shared" si="8"/>
        <v>1</v>
      </c>
      <c r="L30" s="44">
        <f t="shared" si="8"/>
        <v>1</v>
      </c>
    </row>
    <row r="31" spans="1:12" ht="15.6">
      <c r="A31" s="50"/>
      <c r="B31" s="50"/>
      <c r="C31" s="24">
        <v>-0.34612054448061158</v>
      </c>
      <c r="D31" s="44">
        <f t="shared" ref="D31:L31" si="9">C37*C$39</f>
        <v>-0.34622291031243946</v>
      </c>
      <c r="E31" s="44">
        <f t="shared" si="9"/>
        <v>-0.34626238190560277</v>
      </c>
      <c r="F31" s="44">
        <f t="shared" si="9"/>
        <v>-0.34620821072763414</v>
      </c>
      <c r="G31" s="44">
        <f t="shared" si="9"/>
        <v>-0.34624505748645912</v>
      </c>
      <c r="H31" s="44">
        <f t="shared" si="9"/>
        <v>-0.34622569429500377</v>
      </c>
      <c r="I31" s="44">
        <f t="shared" si="9"/>
        <v>-0.34623412653752539</v>
      </c>
      <c r="J31" s="44">
        <f t="shared" si="9"/>
        <v>-0.34623114638517899</v>
      </c>
      <c r="K31" s="44">
        <f t="shared" si="9"/>
        <v>-0.34623186869393041</v>
      </c>
      <c r="L31" s="44">
        <f t="shared" si="9"/>
        <v>-0.34623188875275118</v>
      </c>
    </row>
    <row r="32" spans="1:12" ht="15.6">
      <c r="A32" s="50"/>
      <c r="B32" s="50"/>
      <c r="C32" s="24">
        <v>0.36730386110638508</v>
      </c>
      <c r="D32" s="44">
        <f t="shared" ref="D32:L32" si="10">C38*C$39</f>
        <v>0.3684352774737551</v>
      </c>
      <c r="E32" s="44">
        <f t="shared" si="10"/>
        <v>0.36781150454632183</v>
      </c>
      <c r="F32" s="44">
        <f t="shared" si="10"/>
        <v>0.36809458422770436</v>
      </c>
      <c r="G32" s="44">
        <f t="shared" si="10"/>
        <v>0.36798899876080082</v>
      </c>
      <c r="H32" s="44">
        <f t="shared" si="10"/>
        <v>0.36801783803018095</v>
      </c>
      <c r="I32" s="44">
        <f t="shared" si="10"/>
        <v>0.36801584338809307</v>
      </c>
      <c r="J32" s="44">
        <f t="shared" si="10"/>
        <v>0.36801149328534133</v>
      </c>
      <c r="K32" s="44">
        <f t="shared" si="10"/>
        <v>0.36801552788350222</v>
      </c>
      <c r="L32" s="44">
        <f t="shared" si="10"/>
        <v>0.36801307779815667</v>
      </c>
    </row>
    <row r="33" spans="1:12" ht="15.6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</row>
    <row r="34" spans="1:12" ht="18.600000000000001">
      <c r="A34" s="50"/>
      <c r="B34" s="50"/>
      <c r="C34" s="52" t="s">
        <v>57</v>
      </c>
      <c r="D34" s="52" t="s">
        <v>58</v>
      </c>
      <c r="E34" s="52" t="s">
        <v>59</v>
      </c>
      <c r="F34" s="52" t="s">
        <v>60</v>
      </c>
      <c r="G34" s="52" t="s">
        <v>61</v>
      </c>
      <c r="H34" s="52" t="s">
        <v>62</v>
      </c>
      <c r="I34" s="52" t="s">
        <v>63</v>
      </c>
      <c r="J34" s="52" t="s">
        <v>64</v>
      </c>
      <c r="K34" s="52" t="s">
        <v>65</v>
      </c>
      <c r="L34" s="52" t="s">
        <v>66</v>
      </c>
    </row>
    <row r="35" spans="1:12" ht="15.6">
      <c r="A35" s="50"/>
      <c r="B35" s="50"/>
      <c r="C35" s="7" cm="1">
        <f t="array" ref="C35:C38">MMULT($C$23:$F$26,C29:C32)</f>
        <v>1.009540829205921E-2</v>
      </c>
      <c r="D35" s="7" cm="1">
        <f t="array" ref="D35:D38">MMULT($C$23:$F$26,D29:D32)</f>
        <v>9.9624225244401288E-3</v>
      </c>
      <c r="E35" s="7" cm="1">
        <f t="array" ref="E35:E38">MMULT($C$23:$F$26,E29:E32)</f>
        <v>1.022275227063596E-2</v>
      </c>
      <c r="F35" s="7" cm="1">
        <f t="array" ref="F35:F38">MMULT($C$23:$F$26,F29:F32)</f>
        <v>1.0033909176102959E-2</v>
      </c>
      <c r="G35" s="7" cm="1">
        <f t="array" ref="G35:G38">MMULT($C$23:$F$26,G29:G32)</f>
        <v>1.013679516216362E-2</v>
      </c>
      <c r="H35" s="7" cm="1">
        <f t="array" ref="H35:H38">MMULT($C$23:$F$26,H29:H32)</f>
        <v>1.0090560918271305E-2</v>
      </c>
      <c r="I35" s="7" cm="1">
        <f t="array" ref="I35:I38">MMULT($C$23:$F$26,I29:I32)</f>
        <v>1.0107589474970091E-2</v>
      </c>
      <c r="J35" s="7" cm="1">
        <f t="array" ref="J35:J38">MMULT($C$23:$F$26,J29:J32)</f>
        <v>1.0103057156741618E-2</v>
      </c>
      <c r="K35" s="7" cm="1">
        <f t="array" ref="K35:K38">MMULT($C$23:$F$26,K29:K32)</f>
        <v>1.0103279600886611E-2</v>
      </c>
      <c r="L35" s="7" cm="1">
        <f t="array" ref="L35:L38">MMULT($C$23:$F$26,L29:L32)</f>
        <v>1.0104038935753679E-2</v>
      </c>
    </row>
    <row r="36" spans="1:12" ht="15.6">
      <c r="A36" s="50"/>
      <c r="B36" s="50"/>
      <c r="C36" s="7">
        <v>-1.2872416357654783</v>
      </c>
      <c r="D36" s="7">
        <v>-1.2885681300732483</v>
      </c>
      <c r="E36" s="7">
        <v>-1.2874172307314795</v>
      </c>
      <c r="F36" s="7">
        <v>-1.2880981526133133</v>
      </c>
      <c r="G36" s="7">
        <v>-1.2877713731384877</v>
      </c>
      <c r="H36" s="7">
        <v>-1.2879013098769743</v>
      </c>
      <c r="I36" s="7">
        <v>-1.2878612924047483</v>
      </c>
      <c r="J36" s="7">
        <v>-1.2878675080385196</v>
      </c>
      <c r="K36" s="7">
        <v>-1.287870675247667</v>
      </c>
      <c r="L36" s="7">
        <v>-1.2878667452021217</v>
      </c>
    </row>
    <row r="37" spans="1:12" ht="15.6">
      <c r="A37" s="50"/>
      <c r="B37" s="50"/>
      <c r="C37" s="7">
        <v>0.44567254541006907</v>
      </c>
      <c r="D37" s="7">
        <v>0.4461826699668115</v>
      </c>
      <c r="E37" s="7">
        <v>0.44571441591147126</v>
      </c>
      <c r="F37" s="7">
        <v>0.4459976188997985</v>
      </c>
      <c r="G37" s="7">
        <v>0.44585953775810327</v>
      </c>
      <c r="H37" s="7">
        <v>0.44591538509178896</v>
      </c>
      <c r="I37" s="7">
        <v>0.44589769165439425</v>
      </c>
      <c r="J37" s="7">
        <v>0.44590077393837213</v>
      </c>
      <c r="K37" s="7">
        <v>0.44590189636028077</v>
      </c>
      <c r="L37" s="7">
        <v>0.44590032033029847</v>
      </c>
    </row>
    <row r="38" spans="1:12" ht="15.6">
      <c r="A38" s="50"/>
      <c r="B38" s="50"/>
      <c r="C38" s="7">
        <v>-0.47426522924902437</v>
      </c>
      <c r="D38" s="7">
        <v>-0.47395018263268196</v>
      </c>
      <c r="E38" s="7">
        <v>-0.47389131027368647</v>
      </c>
      <c r="F38" s="7">
        <v>-0.47400594948581043</v>
      </c>
      <c r="G38" s="7">
        <v>-0.47392283661958368</v>
      </c>
      <c r="H38" s="7">
        <v>-0.47396808675500446</v>
      </c>
      <c r="I38" s="7">
        <v>-0.47394775736226102</v>
      </c>
      <c r="J38" s="7">
        <v>-0.47395524081480633</v>
      </c>
      <c r="K38" s="7">
        <v>-0.47395325100388419</v>
      </c>
      <c r="L38" s="7">
        <v>-0.47395334707366665</v>
      </c>
    </row>
    <row r="39" spans="1:12" ht="15.6" customHeight="1">
      <c r="A39" s="11" t="s">
        <v>52</v>
      </c>
      <c r="B39" s="4" t="s">
        <v>4</v>
      </c>
      <c r="C39" s="53">
        <f t="shared" ref="C39:L39" si="11">1/IF(MAX(C35:C38)&gt;ABS(MIN(C35:C38)),MAX(C35:C38),MIN(C35:C38))</f>
        <v>-0.7768549215744831</v>
      </c>
      <c r="D39" s="53">
        <f t="shared" si="11"/>
        <v>-0.77605520163156239</v>
      </c>
      <c r="E39" s="56">
        <f t="shared" si="11"/>
        <v>-0.77674896383965908</v>
      </c>
      <c r="F39" s="56">
        <f t="shared" si="11"/>
        <v>-0.7763383543180965</v>
      </c>
      <c r="G39" s="53">
        <f t="shared" si="11"/>
        <v>-0.7765353546902144</v>
      </c>
      <c r="H39" s="53">
        <f t="shared" si="11"/>
        <v>-0.77645700981197407</v>
      </c>
      <c r="I39" s="53">
        <f t="shared" si="11"/>
        <v>-0.77648113651491013</v>
      </c>
      <c r="J39" s="53">
        <f t="shared" si="11"/>
        <v>-0.77647738898471408</v>
      </c>
      <c r="K39" s="53">
        <f t="shared" si="11"/>
        <v>-0.77647547942474326</v>
      </c>
      <c r="L39" s="53">
        <f t="shared" si="11"/>
        <v>-0.77647784891212246</v>
      </c>
    </row>
    <row r="40" spans="1:12" ht="15">
      <c r="A40" s="16">
        <v>0.01</v>
      </c>
      <c r="B40" s="12" t="s">
        <v>53</v>
      </c>
      <c r="C40" s="12" t="s">
        <v>54</v>
      </c>
      <c r="D40" s="28">
        <f t="shared" ref="D40:L40" si="12">ABS(D39-C39)</f>
        <v>7.9971994292071802E-4</v>
      </c>
      <c r="E40" s="29">
        <f t="shared" si="12"/>
        <v>6.937622080966932E-4</v>
      </c>
      <c r="F40" s="29">
        <f t="shared" si="12"/>
        <v>4.1060952156257713E-4</v>
      </c>
      <c r="G40" s="29">
        <f>ABS(G39-F39)</f>
        <v>1.9700037211789478E-4</v>
      </c>
      <c r="H40" s="29">
        <f t="shared" si="12"/>
        <v>7.8344878240321769E-5</v>
      </c>
      <c r="I40" s="29">
        <f t="shared" si="12"/>
        <v>2.4126702936055899E-5</v>
      </c>
      <c r="J40" s="29">
        <f t="shared" si="12"/>
        <v>3.7475301960521179E-6</v>
      </c>
      <c r="K40" s="29">
        <f t="shared" si="12"/>
        <v>1.9095599708141009E-6</v>
      </c>
      <c r="L40" s="13">
        <f t="shared" si="12"/>
        <v>2.3694873791946236E-6</v>
      </c>
    </row>
    <row r="41" spans="1:12" ht="15">
      <c r="A41" s="17">
        <v>0.01</v>
      </c>
      <c r="B41" s="14"/>
      <c r="C41" s="14" t="s">
        <v>55</v>
      </c>
      <c r="D41" s="30">
        <f t="shared" ref="D41:L41" si="13">ABS((D39-C39)/D39)*100</f>
        <v>0.10304936314316343</v>
      </c>
      <c r="E41" s="31">
        <f t="shared" si="13"/>
        <v>8.931614207340012E-2</v>
      </c>
      <c r="F41" s="31">
        <f t="shared" si="13"/>
        <v>5.2890536617019202E-2</v>
      </c>
      <c r="G41" s="31">
        <f t="shared" si="13"/>
        <v>2.5369143971105443E-2</v>
      </c>
      <c r="H41" s="31">
        <f t="shared" si="13"/>
        <v>1.0090047130786246E-2</v>
      </c>
      <c r="I41" s="31">
        <f t="shared" si="13"/>
        <v>3.1071846824694388E-3</v>
      </c>
      <c r="J41" s="31">
        <f t="shared" si="13"/>
        <v>4.8263223748887458E-4</v>
      </c>
      <c r="K41" s="31">
        <f t="shared" si="13"/>
        <v>2.4592662890382712E-4</v>
      </c>
      <c r="L41" s="18">
        <f t="shared" si="13"/>
        <v>3.0515839988408855E-4</v>
      </c>
    </row>
  </sheetData>
  <conditionalFormatting sqref="D19:L19">
    <cfRule type="cellIs" dxfId="35" priority="4" operator="lessThan">
      <formula>$A$19</formula>
    </cfRule>
  </conditionalFormatting>
  <conditionalFormatting sqref="D20:L20">
    <cfRule type="cellIs" dxfId="34" priority="3" operator="lessThan">
      <formula>$A$20</formula>
    </cfRule>
  </conditionalFormatting>
  <conditionalFormatting sqref="D40:L40">
    <cfRule type="cellIs" dxfId="33" priority="2" operator="lessThan">
      <formula>$A$40</formula>
    </cfRule>
  </conditionalFormatting>
  <conditionalFormatting sqref="D41:L41">
    <cfRule type="cellIs" dxfId="32" priority="1" operator="lessThan">
      <formula>$A$41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7ADE2-0166-42C0-A7A4-5C1755C93FB9}">
  <dimension ref="A1:L35"/>
  <sheetViews>
    <sheetView workbookViewId="0">
      <selection activeCell="D19" sqref="D19"/>
    </sheetView>
  </sheetViews>
  <sheetFormatPr defaultColWidth="11.42578125" defaultRowHeight="14.45"/>
  <cols>
    <col min="1" max="1" width="13.7109375" bestFit="1" customWidth="1"/>
    <col min="2" max="2" width="11.42578125" bestFit="1" customWidth="1"/>
    <col min="3" max="3" width="13.7109375" bestFit="1" customWidth="1"/>
    <col min="4" max="12" width="14.28515625" bestFit="1" customWidth="1"/>
  </cols>
  <sheetData>
    <row r="1" spans="1:12" ht="15.6">
      <c r="A1" s="1" t="s">
        <v>31</v>
      </c>
      <c r="D1" s="2" t="s">
        <v>1</v>
      </c>
    </row>
    <row r="2" spans="1:12" ht="15.6">
      <c r="C2" s="25">
        <v>0</v>
      </c>
      <c r="D2" s="25">
        <v>1</v>
      </c>
      <c r="E2" s="25">
        <v>1</v>
      </c>
    </row>
    <row r="3" spans="1:12" ht="15.6">
      <c r="C3" s="25">
        <v>1</v>
      </c>
      <c r="D3" s="25">
        <v>2</v>
      </c>
      <c r="E3" s="25">
        <v>1</v>
      </c>
    </row>
    <row r="4" spans="1:12" ht="15.6">
      <c r="C4" s="25">
        <v>1</v>
      </c>
      <c r="D4" s="25">
        <v>1</v>
      </c>
      <c r="E4" s="25">
        <v>0</v>
      </c>
    </row>
    <row r="6" spans="1:12" ht="18.600000000000001">
      <c r="C6" s="4" t="s">
        <v>32</v>
      </c>
      <c r="D6" s="51" t="s">
        <v>33</v>
      </c>
      <c r="E6" s="51" t="s">
        <v>34</v>
      </c>
      <c r="F6" s="51" t="s">
        <v>35</v>
      </c>
      <c r="G6" s="51" t="s">
        <v>36</v>
      </c>
      <c r="H6" s="51" t="s">
        <v>37</v>
      </c>
      <c r="I6" s="51" t="s">
        <v>38</v>
      </c>
      <c r="J6" s="51" t="s">
        <v>39</v>
      </c>
      <c r="K6" s="51" t="s">
        <v>40</v>
      </c>
      <c r="L6" s="51" t="s">
        <v>41</v>
      </c>
    </row>
    <row r="7" spans="1:12" ht="15.6">
      <c r="C7" s="62">
        <v>0.5</v>
      </c>
      <c r="D7" s="105">
        <f>C12/C15</f>
        <v>0.5</v>
      </c>
      <c r="E7" s="105">
        <f>D12/D15</f>
        <v>0.5</v>
      </c>
      <c r="F7" s="105">
        <f>E12/E15</f>
        <v>0.5</v>
      </c>
      <c r="G7" s="105">
        <f t="shared" ref="D7:L7" si="0">F12/F15</f>
        <v>0.5</v>
      </c>
      <c r="H7" s="105">
        <f t="shared" si="0"/>
        <v>0.5</v>
      </c>
      <c r="I7" s="105">
        <f t="shared" si="0"/>
        <v>0.5</v>
      </c>
      <c r="J7" s="105">
        <f t="shared" si="0"/>
        <v>0.5</v>
      </c>
      <c r="K7" s="105">
        <f t="shared" si="0"/>
        <v>0.5</v>
      </c>
      <c r="L7" s="105">
        <f t="shared" si="0"/>
        <v>0.5</v>
      </c>
    </row>
    <row r="8" spans="1:12" ht="15.6">
      <c r="C8" s="64">
        <v>1</v>
      </c>
      <c r="D8" s="69">
        <f>C13/C15</f>
        <v>1</v>
      </c>
      <c r="E8" s="69">
        <f>D13/D15</f>
        <v>1</v>
      </c>
      <c r="F8" s="69">
        <f>E13/E15</f>
        <v>1</v>
      </c>
      <c r="G8" s="69">
        <f t="shared" ref="D8:L8" si="1">F13/F15</f>
        <v>1</v>
      </c>
      <c r="H8" s="69">
        <f t="shared" si="1"/>
        <v>1</v>
      </c>
      <c r="I8" s="69">
        <f t="shared" si="1"/>
        <v>1</v>
      </c>
      <c r="J8" s="69">
        <f t="shared" si="1"/>
        <v>1</v>
      </c>
      <c r="K8" s="69">
        <f t="shared" si="1"/>
        <v>1</v>
      </c>
      <c r="L8" s="69">
        <f t="shared" si="1"/>
        <v>1</v>
      </c>
    </row>
    <row r="9" spans="1:12" ht="15.6">
      <c r="C9" s="62">
        <v>0.5</v>
      </c>
      <c r="D9" s="105">
        <f>C14/C15</f>
        <v>0.5</v>
      </c>
      <c r="E9" s="105">
        <f>D14/D15</f>
        <v>0.5</v>
      </c>
      <c r="F9" s="105">
        <f>E14/E15</f>
        <v>0.5</v>
      </c>
      <c r="G9" s="105">
        <f t="shared" ref="D9:L9" si="2">F14/F15</f>
        <v>0.5</v>
      </c>
      <c r="H9" s="105">
        <f t="shared" si="2"/>
        <v>0.5</v>
      </c>
      <c r="I9" s="105">
        <f t="shared" si="2"/>
        <v>0.5</v>
      </c>
      <c r="J9" s="105">
        <f t="shared" si="2"/>
        <v>0.5</v>
      </c>
      <c r="K9" s="105">
        <f t="shared" si="2"/>
        <v>0.5</v>
      </c>
      <c r="L9" s="105">
        <f t="shared" si="2"/>
        <v>0.5</v>
      </c>
    </row>
    <row r="11" spans="1:12" ht="18.600000000000001">
      <c r="C11" s="52" t="s">
        <v>42</v>
      </c>
      <c r="D11" s="52" t="s">
        <v>43</v>
      </c>
      <c r="E11" s="52" t="s">
        <v>44</v>
      </c>
      <c r="F11" s="52" t="s">
        <v>45</v>
      </c>
      <c r="G11" s="52" t="s">
        <v>46</v>
      </c>
      <c r="H11" s="52" t="s">
        <v>47</v>
      </c>
      <c r="I11" s="52" t="s">
        <v>48</v>
      </c>
      <c r="J11" s="52" t="s">
        <v>49</v>
      </c>
      <c r="K11" s="52" t="s">
        <v>50</v>
      </c>
      <c r="L11" s="52" t="s">
        <v>51</v>
      </c>
    </row>
    <row r="12" spans="1:12" ht="15">
      <c r="C12" s="106" cm="1">
        <f t="array" ref="C12:C14">MMULT($C$2:$E$4,C7:C9)</f>
        <v>1.5</v>
      </c>
      <c r="D12" s="106" cm="1">
        <f t="array" ref="D12:D14">MMULT($C$2:$E$4,D7:D9)</f>
        <v>1.5</v>
      </c>
      <c r="E12" s="106" cm="1">
        <f t="array" ref="E12:E14">MMULT($C$2:$E$4,E7:E9)</f>
        <v>1.5</v>
      </c>
      <c r="F12" s="106" cm="1">
        <f t="array" ref="F12:F14">MMULT($C$2:$E$4,F7:F9)</f>
        <v>1.5</v>
      </c>
      <c r="G12" s="106" cm="1">
        <f t="array" ref="G12:G14">MMULT($C$2:$E$4,G7:G9)</f>
        <v>1.5</v>
      </c>
      <c r="H12" s="106" cm="1">
        <f t="array" ref="H12:H14">MMULT($C$2:$E$4,H7:H9)</f>
        <v>1.5</v>
      </c>
      <c r="I12" s="106" cm="1">
        <f t="array" ref="I12:I14">MMULT($C$2:$E$4,I7:I9)</f>
        <v>1.5</v>
      </c>
      <c r="J12" s="106" cm="1">
        <f t="array" ref="J12:J14">MMULT($C$2:$E$4,J7:J9)</f>
        <v>1.5</v>
      </c>
      <c r="K12" s="106" cm="1">
        <f t="array" ref="K12:K14">MMULT($C$2:$E$4,K7:K9)</f>
        <v>1.5</v>
      </c>
      <c r="L12" s="106" cm="1">
        <f t="array" ref="L12:L14">MMULT($C$2:$E$4,L7:L9)</f>
        <v>1.5</v>
      </c>
    </row>
    <row r="13" spans="1:12" ht="15">
      <c r="C13" s="57">
        <v>3</v>
      </c>
      <c r="D13" s="57">
        <v>3</v>
      </c>
      <c r="E13" s="57">
        <v>3</v>
      </c>
      <c r="F13" s="57">
        <v>3</v>
      </c>
      <c r="G13" s="57">
        <v>3</v>
      </c>
      <c r="H13" s="57">
        <v>3</v>
      </c>
      <c r="I13" s="57">
        <v>3</v>
      </c>
      <c r="J13" s="57">
        <v>3</v>
      </c>
      <c r="K13" s="57">
        <v>3</v>
      </c>
      <c r="L13" s="57">
        <v>3</v>
      </c>
    </row>
    <row r="14" spans="1:12" ht="15">
      <c r="C14" s="106">
        <v>1.5</v>
      </c>
      <c r="D14" s="106">
        <v>1.5</v>
      </c>
      <c r="E14" s="106">
        <v>1.5</v>
      </c>
      <c r="F14" s="106">
        <v>1.5</v>
      </c>
      <c r="G14" s="106">
        <v>1.5</v>
      </c>
      <c r="H14" s="106">
        <v>1.5</v>
      </c>
      <c r="I14" s="106">
        <v>1.5</v>
      </c>
      <c r="J14" s="106">
        <v>1.5</v>
      </c>
      <c r="K14" s="106">
        <v>1.5</v>
      </c>
      <c r="L14" s="106">
        <v>1.5</v>
      </c>
    </row>
    <row r="15" spans="1:12" ht="15.6">
      <c r="A15" s="11" t="s">
        <v>52</v>
      </c>
      <c r="B15" s="4" t="s">
        <v>3</v>
      </c>
      <c r="C15" s="65">
        <f t="shared" ref="C15:L15" si="3">IF(MAX(C12:C14)&gt;ABS(MIN(C12:C14)),MAX(C12:C14),MIN(C12:C14))</f>
        <v>3</v>
      </c>
      <c r="D15" s="65">
        <f t="shared" si="3"/>
        <v>3</v>
      </c>
      <c r="E15" s="65">
        <f t="shared" si="3"/>
        <v>3</v>
      </c>
      <c r="F15" s="65">
        <f t="shared" si="3"/>
        <v>3</v>
      </c>
      <c r="G15" s="65">
        <f t="shared" si="3"/>
        <v>3</v>
      </c>
      <c r="H15" s="65">
        <f t="shared" si="3"/>
        <v>3</v>
      </c>
      <c r="I15" s="65">
        <f t="shared" si="3"/>
        <v>3</v>
      </c>
      <c r="J15" s="65">
        <f t="shared" si="3"/>
        <v>3</v>
      </c>
      <c r="K15" s="65">
        <f t="shared" si="3"/>
        <v>3</v>
      </c>
      <c r="L15" s="65">
        <f t="shared" si="3"/>
        <v>3</v>
      </c>
    </row>
    <row r="16" spans="1:12" ht="15">
      <c r="A16" s="16">
        <v>0.01</v>
      </c>
      <c r="B16" s="12" t="s">
        <v>53</v>
      </c>
      <c r="C16" s="12" t="s">
        <v>54</v>
      </c>
      <c r="D16" s="21">
        <f t="shared" ref="D16:L16" si="4">ABS(D15-C15)</f>
        <v>0</v>
      </c>
      <c r="E16" s="21">
        <f t="shared" si="4"/>
        <v>0</v>
      </c>
      <c r="F16" s="21">
        <f t="shared" si="4"/>
        <v>0</v>
      </c>
      <c r="G16" s="21">
        <f t="shared" si="4"/>
        <v>0</v>
      </c>
      <c r="H16" s="21">
        <f t="shared" si="4"/>
        <v>0</v>
      </c>
      <c r="I16" s="21">
        <f t="shared" si="4"/>
        <v>0</v>
      </c>
      <c r="J16" s="21">
        <f t="shared" si="4"/>
        <v>0</v>
      </c>
      <c r="K16" s="21">
        <f t="shared" si="4"/>
        <v>0</v>
      </c>
      <c r="L16" s="21">
        <f t="shared" si="4"/>
        <v>0</v>
      </c>
    </row>
    <row r="17" spans="1:12" ht="15">
      <c r="A17" s="17"/>
      <c r="B17" s="14"/>
      <c r="C17" s="14" t="s">
        <v>55</v>
      </c>
      <c r="D17" s="61">
        <f t="shared" ref="D17:L17" si="5">ABS((D15-C15)/D15)*100</f>
        <v>0</v>
      </c>
      <c r="E17" s="61">
        <f t="shared" si="5"/>
        <v>0</v>
      </c>
      <c r="F17" s="61">
        <f t="shared" si="5"/>
        <v>0</v>
      </c>
      <c r="G17" s="61">
        <f t="shared" si="5"/>
        <v>0</v>
      </c>
      <c r="H17" s="61">
        <f t="shared" si="5"/>
        <v>0</v>
      </c>
      <c r="I17" s="61">
        <f t="shared" si="5"/>
        <v>0</v>
      </c>
      <c r="J17" s="61">
        <f t="shared" si="5"/>
        <v>0</v>
      </c>
      <c r="K17" s="61">
        <f t="shared" si="5"/>
        <v>0</v>
      </c>
      <c r="L17" s="61">
        <f t="shared" si="5"/>
        <v>0</v>
      </c>
    </row>
    <row r="19" spans="1:12" ht="18">
      <c r="D19" s="45" t="s">
        <v>56</v>
      </c>
    </row>
    <row r="20" spans="1:12" ht="15.6">
      <c r="C20" s="107" t="e" cm="1">
        <f t="array" ref="C20">MINVERSE(C2:E4)</f>
        <v>#NUM!</v>
      </c>
      <c r="D20" s="108"/>
      <c r="E20" s="107"/>
    </row>
    <row r="21" spans="1:12" ht="15.6">
      <c r="C21" s="107"/>
      <c r="D21" s="109"/>
      <c r="E21" s="110"/>
    </row>
    <row r="22" spans="1:12" ht="15.6">
      <c r="C22" s="108"/>
      <c r="D22" s="109"/>
      <c r="E22" s="108"/>
    </row>
    <row r="24" spans="1:12" ht="18.600000000000001">
      <c r="C24" s="4" t="s">
        <v>32</v>
      </c>
      <c r="D24" s="55" t="s">
        <v>33</v>
      </c>
      <c r="E24" s="55" t="s">
        <v>34</v>
      </c>
      <c r="F24" s="55" t="s">
        <v>35</v>
      </c>
      <c r="G24" s="55" t="s">
        <v>36</v>
      </c>
      <c r="H24" s="55" t="s">
        <v>37</v>
      </c>
      <c r="I24" s="55" t="s">
        <v>38</v>
      </c>
      <c r="J24" s="55" t="s">
        <v>39</v>
      </c>
      <c r="K24" s="55" t="s">
        <v>40</v>
      </c>
      <c r="L24" s="55" t="s">
        <v>41</v>
      </c>
    </row>
    <row r="25" spans="1:12" ht="15">
      <c r="C25" s="111">
        <v>-0.27128643403562491</v>
      </c>
      <c r="D25" s="44" t="e">
        <f t="shared" ref="D25:L25" si="6">C30*C33</f>
        <v>#NUM!</v>
      </c>
      <c r="E25" s="44" t="e">
        <f t="shared" si="6"/>
        <v>#NUM!</v>
      </c>
      <c r="F25" s="44" t="e">
        <f t="shared" si="6"/>
        <v>#NUM!</v>
      </c>
      <c r="G25" s="44" t="e">
        <f t="shared" si="6"/>
        <v>#NUM!</v>
      </c>
      <c r="H25" s="44" t="e">
        <f t="shared" si="6"/>
        <v>#NUM!</v>
      </c>
      <c r="I25" s="44" t="e">
        <f t="shared" si="6"/>
        <v>#NUM!</v>
      </c>
      <c r="J25" s="44" t="e">
        <f t="shared" si="6"/>
        <v>#NUM!</v>
      </c>
      <c r="K25" s="44" t="e">
        <f t="shared" si="6"/>
        <v>#NUM!</v>
      </c>
      <c r="L25" s="44" t="e">
        <f t="shared" si="6"/>
        <v>#NUM!</v>
      </c>
    </row>
    <row r="26" spans="1:12" ht="15">
      <c r="C26" s="112">
        <v>0.99999999999999989</v>
      </c>
      <c r="D26" s="69" t="e">
        <f t="shared" ref="D26:L26" si="7">C31*C33</f>
        <v>#NUM!</v>
      </c>
      <c r="E26" s="69" t="e">
        <f t="shared" si="7"/>
        <v>#NUM!</v>
      </c>
      <c r="F26" s="69" t="e">
        <f t="shared" si="7"/>
        <v>#NUM!</v>
      </c>
      <c r="G26" s="69" t="e">
        <f t="shared" si="7"/>
        <v>#NUM!</v>
      </c>
      <c r="H26" s="69" t="e">
        <f t="shared" si="7"/>
        <v>#NUM!</v>
      </c>
      <c r="I26" s="69" t="e">
        <f t="shared" si="7"/>
        <v>#NUM!</v>
      </c>
      <c r="J26" s="69" t="e">
        <f t="shared" si="7"/>
        <v>#NUM!</v>
      </c>
      <c r="K26" s="69" t="e">
        <f t="shared" si="7"/>
        <v>#NUM!</v>
      </c>
      <c r="L26" s="69" t="e">
        <f t="shared" si="7"/>
        <v>#NUM!</v>
      </c>
    </row>
    <row r="27" spans="1:12" ht="15">
      <c r="C27" s="111">
        <v>-0.54257287957799005</v>
      </c>
      <c r="D27" s="44" t="e">
        <f t="shared" ref="D27:L27" si="8">C32*C33</f>
        <v>#NUM!</v>
      </c>
      <c r="E27" s="44" t="e">
        <f t="shared" si="8"/>
        <v>#NUM!</v>
      </c>
      <c r="F27" s="44" t="e">
        <f t="shared" si="8"/>
        <v>#NUM!</v>
      </c>
      <c r="G27" s="44" t="e">
        <f t="shared" si="8"/>
        <v>#NUM!</v>
      </c>
      <c r="H27" s="44" t="e">
        <f t="shared" si="8"/>
        <v>#NUM!</v>
      </c>
      <c r="I27" s="44" t="e">
        <f t="shared" si="8"/>
        <v>#NUM!</v>
      </c>
      <c r="J27" s="44" t="e">
        <f t="shared" si="8"/>
        <v>#NUM!</v>
      </c>
      <c r="K27" s="44" t="e">
        <f t="shared" si="8"/>
        <v>#NUM!</v>
      </c>
      <c r="L27" s="44" t="e">
        <f t="shared" si="8"/>
        <v>#NUM!</v>
      </c>
    </row>
    <row r="29" spans="1:12" ht="18.600000000000001">
      <c r="C29" s="52" t="s">
        <v>57</v>
      </c>
      <c r="D29" s="52" t="s">
        <v>58</v>
      </c>
      <c r="E29" s="52" t="s">
        <v>59</v>
      </c>
      <c r="F29" s="52" t="s">
        <v>60</v>
      </c>
      <c r="G29" s="52" t="s">
        <v>61</v>
      </c>
      <c r="H29" s="52" t="s">
        <v>62</v>
      </c>
      <c r="I29" s="52" t="s">
        <v>63</v>
      </c>
      <c r="J29" s="52" t="s">
        <v>64</v>
      </c>
      <c r="K29" s="52" t="s">
        <v>65</v>
      </c>
      <c r="L29" s="52" t="s">
        <v>66</v>
      </c>
    </row>
    <row r="30" spans="1:12" ht="15">
      <c r="C30" s="9" t="e" cm="1">
        <f t="array" ref="C30">MMULT($C$20:$E$22,C25:C27)</f>
        <v>#NUM!</v>
      </c>
      <c r="D30" s="9" t="e" cm="1">
        <f t="array" ref="D30">MMULT($C$20:$E$22,D25:D27)</f>
        <v>#NUM!</v>
      </c>
      <c r="E30" s="9" t="e" cm="1">
        <f t="array" ref="E30">MMULT($C$20:$E$22,E25:E27)</f>
        <v>#NUM!</v>
      </c>
      <c r="F30" s="9" t="e" cm="1">
        <f t="array" ref="F30">MMULT($C$20:$E$22,F25:F27)</f>
        <v>#NUM!</v>
      </c>
      <c r="G30" s="9" t="e" cm="1">
        <f t="array" ref="G30">MMULT($C$20:$E$22,G25:G27)</f>
        <v>#NUM!</v>
      </c>
      <c r="H30" s="9" t="e" cm="1">
        <f t="array" ref="H30">MMULT($C$20:$E$22,H25:H27)</f>
        <v>#NUM!</v>
      </c>
      <c r="I30" s="9" t="e" cm="1">
        <f t="array" ref="I30">MMULT($C$20:$E$22,I25:I27)</f>
        <v>#NUM!</v>
      </c>
      <c r="J30" s="9" t="e" cm="1">
        <f t="array" ref="J30">MMULT($C$20:$E$22,J25:J27)</f>
        <v>#NUM!</v>
      </c>
      <c r="K30" s="9" t="e" cm="1">
        <f t="array" ref="K30">MMULT($C$20:$E$22,K25:K27)</f>
        <v>#NUM!</v>
      </c>
      <c r="L30" s="9" t="e" cm="1">
        <f t="array" ref="L30">MMULT($C$20:$E$22,L25:L27)</f>
        <v>#NUM!</v>
      </c>
    </row>
    <row r="31" spans="1:12" ht="15"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15"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15.6">
      <c r="A33" s="11" t="s">
        <v>52</v>
      </c>
      <c r="B33" s="4" t="s">
        <v>4</v>
      </c>
      <c r="C33" s="10" t="e">
        <f t="shared" ref="C33:L33" si="9">1/IF(MAX(C30:C32)&gt;ABS(MIN(C30:C32)),MAX(C30:C32),MIN(C30:C32))</f>
        <v>#NUM!</v>
      </c>
      <c r="D33" s="10" t="e">
        <f t="shared" si="9"/>
        <v>#NUM!</v>
      </c>
      <c r="E33" s="10" t="e">
        <f t="shared" si="9"/>
        <v>#NUM!</v>
      </c>
      <c r="F33" s="10" t="e">
        <f t="shared" si="9"/>
        <v>#NUM!</v>
      </c>
      <c r="G33" s="10" t="e">
        <f t="shared" si="9"/>
        <v>#NUM!</v>
      </c>
      <c r="H33" s="10" t="e">
        <f t="shared" si="9"/>
        <v>#NUM!</v>
      </c>
      <c r="I33" s="10" t="e">
        <f t="shared" si="9"/>
        <v>#NUM!</v>
      </c>
      <c r="J33" s="10" t="e">
        <f t="shared" si="9"/>
        <v>#NUM!</v>
      </c>
      <c r="K33" s="10" t="e">
        <f t="shared" si="9"/>
        <v>#NUM!</v>
      </c>
      <c r="L33" s="10" t="e">
        <f t="shared" si="9"/>
        <v>#NUM!</v>
      </c>
    </row>
    <row r="34" spans="1:12" ht="15">
      <c r="A34" s="16"/>
      <c r="B34" s="12" t="s">
        <v>53</v>
      </c>
      <c r="C34" s="12" t="s">
        <v>54</v>
      </c>
      <c r="D34" s="66" t="e">
        <f t="shared" ref="D34:L34" si="10">ABS(D33-C33)</f>
        <v>#NUM!</v>
      </c>
      <c r="E34" s="67" t="e">
        <f t="shared" si="10"/>
        <v>#NUM!</v>
      </c>
      <c r="F34" s="67" t="e">
        <f t="shared" si="10"/>
        <v>#NUM!</v>
      </c>
      <c r="G34" s="67" t="e">
        <f t="shared" si="10"/>
        <v>#NUM!</v>
      </c>
      <c r="H34" s="67" t="e">
        <f t="shared" si="10"/>
        <v>#NUM!</v>
      </c>
      <c r="I34" s="67" t="e">
        <f t="shared" si="10"/>
        <v>#NUM!</v>
      </c>
      <c r="J34" s="67" t="e">
        <f t="shared" si="10"/>
        <v>#NUM!</v>
      </c>
      <c r="K34" s="67" t="e">
        <f t="shared" si="10"/>
        <v>#NUM!</v>
      </c>
      <c r="L34" s="21" t="e">
        <f t="shared" si="10"/>
        <v>#NUM!</v>
      </c>
    </row>
    <row r="35" spans="1:12" ht="15">
      <c r="A35" s="17">
        <v>0.05</v>
      </c>
      <c r="B35" s="14"/>
      <c r="C35" s="14" t="s">
        <v>55</v>
      </c>
      <c r="D35" s="68" t="e">
        <f t="shared" ref="D35:L35" si="11">ABS((D33-C33)/D33)*100</f>
        <v>#NUM!</v>
      </c>
      <c r="E35" s="38" t="e">
        <f t="shared" si="11"/>
        <v>#NUM!</v>
      </c>
      <c r="F35" s="38" t="e">
        <f t="shared" si="11"/>
        <v>#NUM!</v>
      </c>
      <c r="G35" s="38" t="e">
        <f t="shared" si="11"/>
        <v>#NUM!</v>
      </c>
      <c r="H35" s="38" t="e">
        <f t="shared" si="11"/>
        <v>#NUM!</v>
      </c>
      <c r="I35" s="38" t="e">
        <f t="shared" si="11"/>
        <v>#NUM!</v>
      </c>
      <c r="J35" s="38" t="e">
        <f t="shared" si="11"/>
        <v>#NUM!</v>
      </c>
      <c r="K35" s="38" t="e">
        <f t="shared" si="11"/>
        <v>#NUM!</v>
      </c>
      <c r="L35" s="61" t="e">
        <f t="shared" si="11"/>
        <v>#NUM!</v>
      </c>
    </row>
  </sheetData>
  <conditionalFormatting sqref="D16:L16">
    <cfRule type="cellIs" dxfId="31" priority="4" operator="lessThan">
      <formula>$A$16</formula>
    </cfRule>
  </conditionalFormatting>
  <conditionalFormatting sqref="D17:L17">
    <cfRule type="cellIs" dxfId="30" priority="3" operator="lessThan">
      <formula>$A$17</formula>
    </cfRule>
  </conditionalFormatting>
  <conditionalFormatting sqref="D34:L34">
    <cfRule type="cellIs" dxfId="29" priority="2" operator="lessThan">
      <formula>$A$34</formula>
    </cfRule>
  </conditionalFormatting>
  <conditionalFormatting sqref="D35:L35">
    <cfRule type="cellIs" dxfId="28" priority="1" operator="lessThan">
      <formula>$A$35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35C6F-C949-47ED-8410-A8C83A10A782}">
  <dimension ref="A1:L41"/>
  <sheetViews>
    <sheetView topLeftCell="A16" zoomScaleNormal="80" zoomScaleSheetLayoutView="100" workbookViewId="0">
      <selection activeCell="C42" sqref="C42"/>
    </sheetView>
  </sheetViews>
  <sheetFormatPr defaultColWidth="8.85546875" defaultRowHeight="14.45"/>
  <cols>
    <col min="1" max="1" width="13.7109375" bestFit="1" customWidth="1"/>
    <col min="2" max="2" width="8.85546875" bestFit="1" customWidth="1"/>
    <col min="3" max="3" width="12.140625" customWidth="1"/>
    <col min="4" max="12" width="11.7109375" bestFit="1" customWidth="1"/>
  </cols>
  <sheetData>
    <row r="1" spans="1:12" ht="15.6">
      <c r="A1" s="1" t="s">
        <v>31</v>
      </c>
      <c r="B1" s="50"/>
      <c r="C1" s="50"/>
      <c r="D1" s="4" t="s">
        <v>1</v>
      </c>
      <c r="E1" s="50"/>
      <c r="F1" s="50"/>
      <c r="G1" s="50"/>
      <c r="H1" s="50"/>
      <c r="I1" s="50"/>
      <c r="J1" s="50"/>
      <c r="K1" s="50"/>
      <c r="L1" s="50"/>
    </row>
    <row r="2" spans="1:12" ht="15.6">
      <c r="A2" s="50"/>
      <c r="B2" s="50"/>
      <c r="C2" s="25">
        <v>2</v>
      </c>
      <c r="D2" s="25">
        <v>0</v>
      </c>
      <c r="E2" s="25">
        <v>1</v>
      </c>
      <c r="F2" s="25">
        <v>1</v>
      </c>
      <c r="G2" s="50"/>
      <c r="H2" s="50"/>
      <c r="I2" s="50"/>
      <c r="J2" s="50"/>
      <c r="K2" s="50"/>
      <c r="L2" s="50"/>
    </row>
    <row r="3" spans="1:12" ht="15.6">
      <c r="A3" s="50"/>
      <c r="B3" s="50"/>
      <c r="C3" s="25">
        <v>3</v>
      </c>
      <c r="D3" s="25">
        <v>1</v>
      </c>
      <c r="E3" s="25">
        <v>4</v>
      </c>
      <c r="F3" s="25">
        <v>-1</v>
      </c>
      <c r="G3" s="50"/>
      <c r="H3" s="50"/>
      <c r="I3" s="50"/>
      <c r="J3" s="50"/>
      <c r="K3" s="50"/>
      <c r="L3" s="50"/>
    </row>
    <row r="4" spans="1:12" ht="15.6">
      <c r="A4" s="50"/>
      <c r="B4" s="50"/>
      <c r="C4" s="25">
        <v>0</v>
      </c>
      <c r="D4" s="25">
        <v>2</v>
      </c>
      <c r="E4" s="25">
        <v>5</v>
      </c>
      <c r="F4" s="25">
        <v>0</v>
      </c>
      <c r="G4" s="50"/>
      <c r="H4" s="50"/>
      <c r="I4" s="50"/>
      <c r="J4" s="50"/>
      <c r="K4" s="50"/>
      <c r="L4" s="50"/>
    </row>
    <row r="5" spans="1:12" ht="15.6">
      <c r="A5" s="50"/>
      <c r="B5" s="50"/>
      <c r="C5" s="25">
        <v>0</v>
      </c>
      <c r="D5" s="25">
        <v>-1</v>
      </c>
      <c r="E5" s="25">
        <v>-1</v>
      </c>
      <c r="F5" s="25">
        <v>1</v>
      </c>
      <c r="G5" s="50"/>
      <c r="H5" s="50"/>
      <c r="I5" s="50"/>
      <c r="J5" s="50"/>
      <c r="K5" s="50"/>
      <c r="L5" s="50"/>
    </row>
    <row r="6" spans="1:12" ht="15.6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</row>
    <row r="7" spans="1:12" ht="18.600000000000001">
      <c r="A7" s="50"/>
      <c r="B7" s="50"/>
      <c r="C7" s="4" t="s">
        <v>32</v>
      </c>
      <c r="D7" s="51" t="s">
        <v>33</v>
      </c>
      <c r="E7" s="51" t="s">
        <v>34</v>
      </c>
      <c r="F7" s="51" t="s">
        <v>35</v>
      </c>
      <c r="G7" s="51" t="s">
        <v>36</v>
      </c>
      <c r="H7" s="51" t="s">
        <v>37</v>
      </c>
      <c r="I7" s="51" t="s">
        <v>38</v>
      </c>
      <c r="J7" s="51" t="s">
        <v>39</v>
      </c>
      <c r="K7" s="51" t="s">
        <v>40</v>
      </c>
      <c r="L7" s="51" t="s">
        <v>41</v>
      </c>
    </row>
    <row r="8" spans="1:12" ht="15.6">
      <c r="A8" s="50"/>
      <c r="B8" s="50"/>
      <c r="C8" s="49">
        <v>0.14458661498944139</v>
      </c>
      <c r="D8" s="44">
        <f t="shared" ref="D8:L8" si="0">C14/C$18</f>
        <v>0.14459255388550374</v>
      </c>
      <c r="E8" s="44">
        <f t="shared" si="0"/>
        <v>0.14459445677974267</v>
      </c>
      <c r="F8" s="44">
        <f t="shared" si="0"/>
        <v>0.14459495487531418</v>
      </c>
      <c r="G8" s="44">
        <f t="shared" si="0"/>
        <v>0.14459506263780161</v>
      </c>
      <c r="H8" s="44">
        <f t="shared" si="0"/>
        <v>0.14459508034335491</v>
      </c>
      <c r="I8" s="44">
        <f t="shared" si="0"/>
        <v>0.14459508156943898</v>
      </c>
      <c r="J8" s="44">
        <f t="shared" si="0"/>
        <v>0.14459508098939849</v>
      </c>
      <c r="K8" s="44">
        <f t="shared" si="0"/>
        <v>0.14459508064046123</v>
      </c>
      <c r="L8" s="44">
        <f t="shared" si="0"/>
        <v>0.14459508051608486</v>
      </c>
    </row>
    <row r="9" spans="1:12" ht="15.6">
      <c r="A9" s="50"/>
      <c r="B9" s="50"/>
      <c r="C9" s="49">
        <v>0.83814630610333152</v>
      </c>
      <c r="D9" s="44">
        <f t="shared" ref="D9:L9" si="1">C15/C$18</f>
        <v>0.83815037877962939</v>
      </c>
      <c r="E9" s="44">
        <f t="shared" si="1"/>
        <v>0.83815233466435302</v>
      </c>
      <c r="F9" s="44">
        <f t="shared" si="1"/>
        <v>0.83815297882897233</v>
      </c>
      <c r="G9" s="44">
        <f t="shared" si="1"/>
        <v>0.83815315094275056</v>
      </c>
      <c r="H9" s="44">
        <f t="shared" si="1"/>
        <v>0.83815318905207192</v>
      </c>
      <c r="I9" s="44">
        <f t="shared" si="1"/>
        <v>0.83815319557478585</v>
      </c>
      <c r="J9" s="44">
        <f t="shared" si="1"/>
        <v>0.8381531961297769</v>
      </c>
      <c r="K9" s="44">
        <f t="shared" si="1"/>
        <v>0.83815319596405169</v>
      </c>
      <c r="L9" s="59">
        <f t="shared" si="1"/>
        <v>0.83815319585106918</v>
      </c>
    </row>
    <row r="10" spans="1:12" ht="15.6">
      <c r="A10" s="50"/>
      <c r="B10" s="50"/>
      <c r="C10" s="26">
        <v>1</v>
      </c>
      <c r="D10" s="69">
        <f t="shared" ref="D10:L10" si="2">C16/C$18</f>
        <v>1</v>
      </c>
      <c r="E10" s="69">
        <f t="shared" si="2"/>
        <v>1</v>
      </c>
      <c r="F10" s="69">
        <f t="shared" si="2"/>
        <v>1</v>
      </c>
      <c r="G10" s="69">
        <f t="shared" si="2"/>
        <v>1</v>
      </c>
      <c r="H10" s="69">
        <f t="shared" si="2"/>
        <v>1</v>
      </c>
      <c r="I10" s="69">
        <f t="shared" si="2"/>
        <v>1</v>
      </c>
      <c r="J10" s="69">
        <f t="shared" si="2"/>
        <v>1</v>
      </c>
      <c r="K10" s="69">
        <f t="shared" si="2"/>
        <v>1</v>
      </c>
      <c r="L10" s="69">
        <f t="shared" si="2"/>
        <v>1</v>
      </c>
    </row>
    <row r="11" spans="1:12" ht="15.6">
      <c r="A11" s="50"/>
      <c r="B11" s="50"/>
      <c r="C11" s="49">
        <v>-0.32383103069300029</v>
      </c>
      <c r="D11" s="44">
        <f t="shared" ref="D11:L11" si="3">C17/C$18</f>
        <v>-0.32382902643354189</v>
      </c>
      <c r="E11" s="44">
        <f t="shared" si="3"/>
        <v>-0.3238289411640517</v>
      </c>
      <c r="F11" s="44">
        <f t="shared" si="3"/>
        <v>-0.3238290316139496</v>
      </c>
      <c r="G11" s="44">
        <f t="shared" si="3"/>
        <v>-0.3238290791576226</v>
      </c>
      <c r="H11" s="44">
        <f t="shared" si="3"/>
        <v>-0.32382909536217547</v>
      </c>
      <c r="I11" s="44">
        <f t="shared" si="3"/>
        <v>-0.32382909980056679</v>
      </c>
      <c r="J11" s="44">
        <f t="shared" si="3"/>
        <v>-0.3238291008096002</v>
      </c>
      <c r="K11" s="44">
        <f t="shared" si="3"/>
        <v>-0.32382910099002626</v>
      </c>
      <c r="L11" s="44">
        <f t="shared" si="3"/>
        <v>-0.32382910100830503</v>
      </c>
    </row>
    <row r="12" spans="1:12" ht="15.6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2" ht="18.600000000000001">
      <c r="A13" s="50"/>
      <c r="B13" s="50"/>
      <c r="C13" s="52" t="s">
        <v>42</v>
      </c>
      <c r="D13" s="52" t="s">
        <v>43</v>
      </c>
      <c r="E13" s="52" t="s">
        <v>44</v>
      </c>
      <c r="F13" s="52" t="s">
        <v>45</v>
      </c>
      <c r="G13" s="52" t="s">
        <v>46</v>
      </c>
      <c r="H13" s="52" t="s">
        <v>47</v>
      </c>
      <c r="I13" s="52" t="s">
        <v>48</v>
      </c>
      <c r="J13" s="52" t="s">
        <v>49</v>
      </c>
      <c r="K13" s="52" t="s">
        <v>50</v>
      </c>
      <c r="L13" s="52" t="s">
        <v>51</v>
      </c>
    </row>
    <row r="14" spans="1:12" ht="15.6">
      <c r="A14" s="50"/>
      <c r="B14" s="50"/>
      <c r="C14" s="9" cm="1">
        <f t="array" ref="C14:C17">MMULT($C$2:$F$5,C8:C11)</f>
        <v>0.96534219928588239</v>
      </c>
      <c r="D14" s="9" cm="1">
        <f t="array" ref="D14:D17">MMULT($C$2:$F$5,D8:D11)</f>
        <v>0.96535608133746553</v>
      </c>
      <c r="E14" s="9" cm="1">
        <f t="array" ref="E14:E17">MMULT($C$2:$F$5,E8:E11)</f>
        <v>0.9653599723954337</v>
      </c>
      <c r="F14" s="9" cm="1">
        <f t="array" ref="F14:F17">MMULT($C$2:$F$5,F8:F11)</f>
        <v>0.9653608781366787</v>
      </c>
      <c r="G14" s="9" cm="1">
        <f t="array" ref="G14:G17">MMULT($C$2:$F$5,G8:G11)</f>
        <v>0.96536104611798068</v>
      </c>
      <c r="H14" s="9" cm="1">
        <f t="array" ref="H14:H17">MMULT($C$2:$F$5,H8:H11)</f>
        <v>0.96536106532453436</v>
      </c>
      <c r="I14" s="9" cm="1">
        <f t="array" ref="I14:I17">MMULT($C$2:$F$5,I8:I11)</f>
        <v>0.96536106333831118</v>
      </c>
      <c r="J14" s="9" cm="1">
        <f t="array" ref="J14:J17">MMULT($C$2:$F$5,J8:J11)</f>
        <v>0.96536106116919695</v>
      </c>
      <c r="K14" s="9" cm="1">
        <f t="array" ref="K14:K17">MMULT($C$2:$F$5,K8:K11)</f>
        <v>0.96536106029089619</v>
      </c>
      <c r="L14" s="9" cm="1">
        <f t="array" ref="L14:L17">MMULT($C$2:$F$5,L8:L11)</f>
        <v>0.96536106002386468</v>
      </c>
    </row>
    <row r="15" spans="1:12" ht="15.6">
      <c r="A15" s="50"/>
      <c r="B15" s="50"/>
      <c r="C15" s="9">
        <v>5.5957371817646564</v>
      </c>
      <c r="D15" s="9">
        <v>5.5957570668696821</v>
      </c>
      <c r="E15" s="9">
        <v>5.5957646461676323</v>
      </c>
      <c r="F15" s="9">
        <v>5.5957668750688647</v>
      </c>
      <c r="G15" s="9">
        <v>5.5957674180137777</v>
      </c>
      <c r="H15" s="9">
        <v>5.5957675254443124</v>
      </c>
      <c r="I15" s="9">
        <v>5.5957675400836697</v>
      </c>
      <c r="J15" s="9">
        <v>5.5957675399075733</v>
      </c>
      <c r="K15" s="9">
        <v>5.5957675388754611</v>
      </c>
      <c r="L15" s="9">
        <v>5.5957675384076291</v>
      </c>
    </row>
    <row r="16" spans="1:12" ht="15.6">
      <c r="A16" s="50"/>
      <c r="B16" s="50"/>
      <c r="C16" s="9">
        <v>6.6762926122066633</v>
      </c>
      <c r="D16" s="9">
        <v>6.6763007575592592</v>
      </c>
      <c r="E16" s="9">
        <v>6.6763046693287063</v>
      </c>
      <c r="F16" s="9">
        <v>6.6763059576579451</v>
      </c>
      <c r="G16" s="9">
        <v>6.6763063018855009</v>
      </c>
      <c r="H16" s="9">
        <v>6.6763063781041438</v>
      </c>
      <c r="I16" s="9">
        <v>6.6763063911495717</v>
      </c>
      <c r="J16" s="9">
        <v>6.676306392259554</v>
      </c>
      <c r="K16" s="9">
        <v>6.6763063919281036</v>
      </c>
      <c r="L16" s="9">
        <v>6.6763063917021386</v>
      </c>
    </row>
    <row r="17" spans="1:12" ht="15.6">
      <c r="A17" s="50"/>
      <c r="B17" s="50"/>
      <c r="C17" s="9">
        <v>-2.161977336796332</v>
      </c>
      <c r="D17" s="9">
        <v>-2.1619794052131711</v>
      </c>
      <c r="E17" s="9">
        <v>-2.1619812758284049</v>
      </c>
      <c r="F17" s="9">
        <v>-2.1619820104429222</v>
      </c>
      <c r="G17" s="9">
        <v>-2.161982230100373</v>
      </c>
      <c r="H17" s="9">
        <v>-2.1619822844142473</v>
      </c>
      <c r="I17" s="9">
        <v>-2.1619822953753527</v>
      </c>
      <c r="J17" s="9">
        <v>-2.1619822969393772</v>
      </c>
      <c r="K17" s="9">
        <v>-2.1619822969540783</v>
      </c>
      <c r="L17" s="9">
        <v>-2.1619822968593745</v>
      </c>
    </row>
    <row r="18" spans="1:12" ht="15.6">
      <c r="A18" s="11" t="s">
        <v>52</v>
      </c>
      <c r="B18" s="4" t="s">
        <v>3</v>
      </c>
      <c r="C18" s="53">
        <f t="shared" ref="C18:L18" si="4">IF(MAX(C14:C17)&gt;ABS(MIN(C14:C17)),MAX(C14:C17),MIN(C14:C17))</f>
        <v>6.6762926122066633</v>
      </c>
      <c r="D18" s="53">
        <f t="shared" si="4"/>
        <v>6.6763007575592592</v>
      </c>
      <c r="E18" s="53">
        <f t="shared" si="4"/>
        <v>6.6763046693287063</v>
      </c>
      <c r="F18" s="53">
        <f t="shared" si="4"/>
        <v>6.6763059576579451</v>
      </c>
      <c r="G18" s="53">
        <f t="shared" si="4"/>
        <v>6.6763063018855009</v>
      </c>
      <c r="H18" s="53">
        <f t="shared" si="4"/>
        <v>6.6763063781041438</v>
      </c>
      <c r="I18" s="53">
        <f t="shared" si="4"/>
        <v>6.6763063911495717</v>
      </c>
      <c r="J18" s="53">
        <f t="shared" si="4"/>
        <v>6.676306392259554</v>
      </c>
      <c r="K18" s="53">
        <f t="shared" si="4"/>
        <v>6.6763063919281036</v>
      </c>
      <c r="L18" s="53">
        <f t="shared" si="4"/>
        <v>6.6763063917021386</v>
      </c>
    </row>
    <row r="19" spans="1:12" ht="15">
      <c r="A19" s="16"/>
      <c r="B19" s="12" t="s">
        <v>53</v>
      </c>
      <c r="C19" s="12" t="s">
        <v>54</v>
      </c>
      <c r="D19" s="21">
        <f t="shared" ref="D19:L19" si="5">ABS(D18-C18)</f>
        <v>8.1453525959673811E-6</v>
      </c>
      <c r="E19" s="21">
        <f t="shared" si="5"/>
        <v>3.9117694470292008E-6</v>
      </c>
      <c r="F19" s="21">
        <f t="shared" si="5"/>
        <v>1.2883292388465861E-6</v>
      </c>
      <c r="G19" s="21">
        <f t="shared" si="5"/>
        <v>3.4422755579299746E-7</v>
      </c>
      <c r="H19" s="21">
        <f t="shared" si="5"/>
        <v>7.6218642952596838E-8</v>
      </c>
      <c r="I19" s="21">
        <f t="shared" si="5"/>
        <v>1.3045427849078806E-8</v>
      </c>
      <c r="J19" s="21">
        <f t="shared" si="5"/>
        <v>1.1099823282734178E-9</v>
      </c>
      <c r="K19" s="21">
        <f t="shared" si="5"/>
        <v>3.3145042266369273E-10</v>
      </c>
      <c r="L19" s="21">
        <f t="shared" si="5"/>
        <v>2.2596502446958766E-10</v>
      </c>
    </row>
    <row r="20" spans="1:12" ht="15">
      <c r="A20" s="17">
        <v>0.01</v>
      </c>
      <c r="B20" s="14"/>
      <c r="C20" s="14" t="s">
        <v>55</v>
      </c>
      <c r="D20" s="61">
        <f t="shared" ref="D20:L20" si="6">ABS((D18-C18)/D18)*100</f>
        <v>1.2200397932559861E-4</v>
      </c>
      <c r="E20" s="61">
        <f t="shared" si="6"/>
        <v>5.859183546550946E-5</v>
      </c>
      <c r="F20" s="61">
        <f t="shared" si="6"/>
        <v>1.9297037119289442E-5</v>
      </c>
      <c r="G20" s="61">
        <f t="shared" si="6"/>
        <v>5.1559581035966225E-6</v>
      </c>
      <c r="H20" s="61">
        <f t="shared" si="6"/>
        <v>1.1416288983166838E-6</v>
      </c>
      <c r="I20" s="61">
        <f t="shared" si="6"/>
        <v>1.9539887903246087E-7</v>
      </c>
      <c r="J20" s="61">
        <f t="shared" si="6"/>
        <v>1.662569485367419E-8</v>
      </c>
      <c r="K20" s="61">
        <f t="shared" si="6"/>
        <v>4.9645777651011982E-9</v>
      </c>
      <c r="L20" s="61">
        <f t="shared" si="6"/>
        <v>3.3845814019325941E-9</v>
      </c>
    </row>
    <row r="21" spans="1:12" ht="15.6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</row>
    <row r="22" spans="1:12" ht="18">
      <c r="A22" s="50"/>
      <c r="B22" s="50"/>
      <c r="C22" s="50"/>
      <c r="D22" s="45" t="s">
        <v>56</v>
      </c>
      <c r="E22" s="50"/>
      <c r="F22" s="50"/>
      <c r="G22" s="50"/>
      <c r="H22" s="50"/>
      <c r="I22" s="50"/>
      <c r="J22" s="50"/>
      <c r="K22" s="50"/>
      <c r="L22" s="50"/>
    </row>
    <row r="23" spans="1:12" ht="15.6">
      <c r="A23" s="50"/>
      <c r="B23" s="50"/>
      <c r="C23" s="102" cm="1">
        <f t="array" ref="C23:F26">MINVERSE(C2:F5)</f>
        <v>0.40000000000000008</v>
      </c>
      <c r="D23" s="103">
        <v>6.666666666666661E-2</v>
      </c>
      <c r="E23" s="102">
        <v>-0.20000000000000004</v>
      </c>
      <c r="F23" s="103">
        <v>-0.33333333333333331</v>
      </c>
      <c r="G23" s="50"/>
      <c r="H23" s="50"/>
      <c r="I23" s="50"/>
      <c r="J23" s="50"/>
      <c r="K23" s="50"/>
      <c r="L23" s="50"/>
    </row>
    <row r="24" spans="1:12" ht="15.6">
      <c r="A24" s="50"/>
      <c r="B24" s="50"/>
      <c r="C24" s="104">
        <v>1.0000000000000002</v>
      </c>
      <c r="D24" s="103">
        <v>-0.66666666666666663</v>
      </c>
      <c r="E24" s="104">
        <v>5.5511151231257827E-17</v>
      </c>
      <c r="F24" s="103">
        <v>-1.6666666666666665</v>
      </c>
      <c r="G24" s="50"/>
      <c r="H24" s="50"/>
      <c r="I24" s="50"/>
      <c r="J24" s="50"/>
      <c r="K24" s="50"/>
      <c r="L24" s="50"/>
    </row>
    <row r="25" spans="1:12" ht="15.6">
      <c r="A25" s="50"/>
      <c r="B25" s="50"/>
      <c r="C25" s="102">
        <v>-0.40000000000000008</v>
      </c>
      <c r="D25" s="103">
        <v>0.26666666666666666</v>
      </c>
      <c r="E25" s="102">
        <v>0.19999999999999998</v>
      </c>
      <c r="F25" s="103">
        <v>0.66666666666666663</v>
      </c>
      <c r="G25" s="50"/>
      <c r="H25" s="50"/>
      <c r="I25" s="50"/>
      <c r="J25" s="50"/>
      <c r="K25" s="50"/>
      <c r="L25" s="50"/>
    </row>
    <row r="26" spans="1:12" ht="15.6">
      <c r="A26" s="50"/>
      <c r="B26" s="50"/>
      <c r="C26" s="102">
        <v>0.60000000000000009</v>
      </c>
      <c r="D26" s="102">
        <v>-0.4</v>
      </c>
      <c r="E26" s="102">
        <v>0.2</v>
      </c>
      <c r="F26" s="104">
        <v>0</v>
      </c>
      <c r="G26" s="50"/>
      <c r="H26" s="50"/>
      <c r="I26" s="50"/>
      <c r="J26" s="50"/>
      <c r="K26" s="50"/>
      <c r="L26" s="50"/>
    </row>
    <row r="27" spans="1:12" ht="15.6">
      <c r="A27" s="50"/>
      <c r="B27" s="50"/>
      <c r="C27" s="54"/>
      <c r="D27" s="54"/>
      <c r="E27" s="54"/>
      <c r="F27" s="54"/>
      <c r="G27" s="50"/>
      <c r="H27" s="50"/>
      <c r="I27" s="50"/>
      <c r="J27" s="50"/>
      <c r="K27" s="50"/>
      <c r="L27" s="50"/>
    </row>
    <row r="28" spans="1:12" ht="18.600000000000001">
      <c r="A28" s="50"/>
      <c r="B28" s="50"/>
      <c r="C28" s="4" t="s">
        <v>32</v>
      </c>
      <c r="D28" s="55" t="s">
        <v>33</v>
      </c>
      <c r="E28" s="55" t="s">
        <v>34</v>
      </c>
      <c r="F28" s="55" t="s">
        <v>35</v>
      </c>
      <c r="G28" s="55" t="s">
        <v>36</v>
      </c>
      <c r="H28" s="55" t="s">
        <v>37</v>
      </c>
      <c r="I28" s="55" t="s">
        <v>38</v>
      </c>
      <c r="J28" s="55" t="s">
        <v>39</v>
      </c>
      <c r="K28" s="55" t="s">
        <v>40</v>
      </c>
      <c r="L28" s="55" t="s">
        <v>41</v>
      </c>
    </row>
    <row r="29" spans="1:12" ht="15.6">
      <c r="A29" s="50"/>
      <c r="B29" s="50"/>
      <c r="C29" s="111">
        <v>-7.8453434146714112E-3</v>
      </c>
      <c r="D29" s="44">
        <f t="shared" ref="D29:L29" si="7">C35*C$39</f>
        <v>-7.8451873905126847E-3</v>
      </c>
      <c r="E29" s="44">
        <f t="shared" si="7"/>
        <v>-7.8452498068366586E-3</v>
      </c>
      <c r="F29" s="44">
        <f t="shared" si="7"/>
        <v>-7.8452303911299565E-3</v>
      </c>
      <c r="G29" s="44">
        <f t="shared" si="7"/>
        <v>-7.8452335381187493E-3</v>
      </c>
      <c r="H29" s="44">
        <f t="shared" si="7"/>
        <v>-7.8452349656467635E-3</v>
      </c>
      <c r="I29" s="44">
        <f t="shared" si="7"/>
        <v>-7.8452331223102575E-3</v>
      </c>
      <c r="J29" s="44">
        <f t="shared" si="7"/>
        <v>-7.8452343583891998E-3</v>
      </c>
      <c r="K29" s="44">
        <f t="shared" si="7"/>
        <v>-7.8452337141480376E-3</v>
      </c>
      <c r="L29" s="44">
        <f t="shared" si="7"/>
        <v>-7.8452339925535568E-3</v>
      </c>
    </row>
    <row r="30" spans="1:12" ht="15.6">
      <c r="A30" s="50"/>
      <c r="B30" s="50"/>
      <c r="C30" s="24">
        <v>1</v>
      </c>
      <c r="D30" s="44">
        <f t="shared" ref="D30:L30" si="8">C36*C$39</f>
        <v>1</v>
      </c>
      <c r="E30" s="44">
        <f t="shared" si="8"/>
        <v>0.99999999999999989</v>
      </c>
      <c r="F30" s="44">
        <f t="shared" si="8"/>
        <v>1</v>
      </c>
      <c r="G30" s="44">
        <f t="shared" si="8"/>
        <v>1</v>
      </c>
      <c r="H30" s="44">
        <f t="shared" si="8"/>
        <v>1</v>
      </c>
      <c r="I30" s="44">
        <f t="shared" si="8"/>
        <v>0.99999999999999989</v>
      </c>
      <c r="J30" s="44">
        <f t="shared" si="8"/>
        <v>1</v>
      </c>
      <c r="K30" s="44">
        <f t="shared" si="8"/>
        <v>1</v>
      </c>
      <c r="L30" s="44">
        <f t="shared" si="8"/>
        <v>1</v>
      </c>
    </row>
    <row r="31" spans="1:12" ht="15.6">
      <c r="A31" s="50"/>
      <c r="B31" s="50"/>
      <c r="C31" s="111">
        <v>-0.34623177907183755</v>
      </c>
      <c r="D31" s="44">
        <f t="shared" ref="D31:L31" si="9">C37*C$39</f>
        <v>-0.3462318153527893</v>
      </c>
      <c r="E31" s="44">
        <f t="shared" si="9"/>
        <v>-0.34623180129747722</v>
      </c>
      <c r="F31" s="44">
        <f t="shared" si="9"/>
        <v>-0.34623180543075466</v>
      </c>
      <c r="G31" s="44">
        <f t="shared" si="9"/>
        <v>-0.34623180492082484</v>
      </c>
      <c r="H31" s="44">
        <f t="shared" si="9"/>
        <v>-0.34623180448380986</v>
      </c>
      <c r="I31" s="44">
        <f t="shared" si="9"/>
        <v>-0.34623180495362926</v>
      </c>
      <c r="J31" s="44">
        <f t="shared" si="9"/>
        <v>-0.34623180465383147</v>
      </c>
      <c r="K31" s="44">
        <f t="shared" si="9"/>
        <v>-0.34623180480534749</v>
      </c>
      <c r="L31" s="44">
        <f t="shared" si="9"/>
        <v>-0.34623180474176479</v>
      </c>
    </row>
    <row r="32" spans="1:12" ht="15.6">
      <c r="A32" s="50"/>
      <c r="B32" s="50"/>
      <c r="C32" s="111">
        <v>0.3680139442230218</v>
      </c>
      <c r="D32" s="44">
        <f t="shared" ref="D32:L32" si="10">C38*C$39</f>
        <v>0.36801391681574525</v>
      </c>
      <c r="E32" s="44">
        <f t="shared" si="10"/>
        <v>0.36801390739800399</v>
      </c>
      <c r="F32" s="44">
        <f t="shared" si="10"/>
        <v>0.36801392094371194</v>
      </c>
      <c r="G32" s="44">
        <f t="shared" si="10"/>
        <v>0.36801391163696429</v>
      </c>
      <c r="H32" s="44">
        <f t="shared" si="10"/>
        <v>0.36801391655705229</v>
      </c>
      <c r="I32" s="44">
        <f t="shared" si="10"/>
        <v>0.36801391440310199</v>
      </c>
      <c r="J32" s="44">
        <f t="shared" si="10"/>
        <v>0.36801391516985343</v>
      </c>
      <c r="K32" s="44">
        <f t="shared" si="10"/>
        <v>0.36801391498078262</v>
      </c>
      <c r="L32" s="44">
        <f t="shared" si="10"/>
        <v>0.36801391497831037</v>
      </c>
    </row>
    <row r="33" spans="1:12" ht="15.6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</row>
    <row r="34" spans="1:12" ht="18.600000000000001">
      <c r="A34" s="50"/>
      <c r="B34" s="50"/>
      <c r="C34" s="52" t="s">
        <v>57</v>
      </c>
      <c r="D34" s="52" t="s">
        <v>58</v>
      </c>
      <c r="E34" s="52" t="s">
        <v>59</v>
      </c>
      <c r="F34" s="52" t="s">
        <v>60</v>
      </c>
      <c r="G34" s="52" t="s">
        <v>61</v>
      </c>
      <c r="H34" s="52" t="s">
        <v>62</v>
      </c>
      <c r="I34" s="52" t="s">
        <v>63</v>
      </c>
      <c r="J34" s="52" t="s">
        <v>64</v>
      </c>
      <c r="K34" s="52" t="s">
        <v>65</v>
      </c>
      <c r="L34" s="52" t="s">
        <v>66</v>
      </c>
    </row>
    <row r="35" spans="1:12" ht="15.6">
      <c r="A35" s="50"/>
      <c r="B35" s="50"/>
      <c r="C35" s="9" cm="1">
        <f t="array" ref="C35:C38">MMULT($C$23:$F$26,C29:C32)</f>
        <v>1.0103570374158294E-2</v>
      </c>
      <c r="D35" s="9" cm="1">
        <f t="array" ref="D35:D38">MMULT($C$23:$F$26,D29:D32)</f>
        <v>1.0103649175771001E-2</v>
      </c>
      <c r="E35" s="9" cm="1">
        <f t="array" ref="E35:E38">MMULT($C$23:$F$26,E29:E32)</f>
        <v>1.0103624537426081E-2</v>
      </c>
      <c r="F35" s="9" cm="1">
        <f t="array" ref="F35:F38">MMULT($C$23:$F$26,F29:F32)</f>
        <v>1.0103628615128243E-2</v>
      </c>
      <c r="G35" s="9" cm="1">
        <f t="array" ref="G35:G38">MMULT($C$23:$F$26,G29:G32)</f>
        <v>1.0103630356596005E-2</v>
      </c>
      <c r="H35" s="9" cm="1">
        <f t="array" ref="H35:H38">MMULT($C$23:$F$26,H29:H32)</f>
        <v>1.0103628058152486E-2</v>
      </c>
      <c r="I35" s="9" cm="1">
        <f t="array" ref="I35:I38">MMULT($C$23:$F$26,I29:I32)</f>
        <v>1.0103629607434383E-2</v>
      </c>
      <c r="J35" s="9" cm="1">
        <f t="array" ref="J35:J38">MMULT($C$23:$F$26,J29:J32)</f>
        <v>1.0103628797459435E-2</v>
      </c>
      <c r="K35" s="9" cm="1">
        <f t="array" ref="K35:K38">MMULT($C$23:$F$26,K29:K32)</f>
        <v>1.0103629148482715E-2</v>
      </c>
      <c r="L35" s="9" cm="1">
        <f t="array" ref="L35:L38">MMULT($C$23:$F$26,L29:L32)</f>
        <v>1.0103629025228045E-2</v>
      </c>
    </row>
    <row r="36" spans="1:12" ht="15.6">
      <c r="A36" s="50"/>
      <c r="B36" s="50"/>
      <c r="C36" s="9">
        <v>-1.2878685837863744</v>
      </c>
      <c r="D36" s="9">
        <v>-1.2878683820834214</v>
      </c>
      <c r="E36" s="9">
        <v>-1.2878684288035098</v>
      </c>
      <c r="F36" s="9">
        <v>-1.287868431963983</v>
      </c>
      <c r="G36" s="9">
        <v>-1.2878684195997256</v>
      </c>
      <c r="H36" s="9">
        <v>-1.2878684292274005</v>
      </c>
      <c r="I36" s="9">
        <v>-1.2878684237941467</v>
      </c>
      <c r="J36" s="9">
        <v>-1.2878684263081448</v>
      </c>
      <c r="K36" s="9">
        <v>-1.2878684253487855</v>
      </c>
      <c r="L36" s="9">
        <v>-1.2878684256230708</v>
      </c>
    </row>
    <row r="37" spans="1:12" ht="15.6">
      <c r="A37" s="50"/>
      <c r="B37" s="50"/>
      <c r="C37" s="9">
        <v>0.44590107770018222</v>
      </c>
      <c r="D37" s="9">
        <v>0.44590098976281067</v>
      </c>
      <c r="E37" s="9">
        <v>0.44590101126190851</v>
      </c>
      <c r="F37" s="9">
        <v>0.44590101169944235</v>
      </c>
      <c r="G37" s="9">
        <v>0.44590100685572537</v>
      </c>
      <c r="H37" s="9">
        <v>0.44590101079419825</v>
      </c>
      <c r="I37" s="9">
        <v>0.44590100852693287</v>
      </c>
      <c r="J37" s="9">
        <v>0.44590100959249163</v>
      </c>
      <c r="K37" s="9">
        <v>0.44590100917844477</v>
      </c>
      <c r="L37" s="9">
        <v>0.44590100930087539</v>
      </c>
    </row>
    <row r="38" spans="1:12" ht="15.6">
      <c r="A38" s="50"/>
      <c r="B38" s="50"/>
      <c r="C38" s="9">
        <v>-0.47395356186317039</v>
      </c>
      <c r="D38" s="9">
        <v>-0.4739534755048655</v>
      </c>
      <c r="E38" s="9">
        <v>-0.47395351014359738</v>
      </c>
      <c r="F38" s="9">
        <v>-0.47395349932082897</v>
      </c>
      <c r="G38" s="9">
        <v>-0.47395350110703627</v>
      </c>
      <c r="H38" s="9">
        <v>-0.47395350187615004</v>
      </c>
      <c r="I38" s="9">
        <v>-0.47395350086411198</v>
      </c>
      <c r="J38" s="9">
        <v>-0.47395350154579985</v>
      </c>
      <c r="K38" s="9">
        <v>-0.47395350118955837</v>
      </c>
      <c r="L38" s="9">
        <v>-0.47395350134388514</v>
      </c>
    </row>
    <row r="39" spans="1:12" ht="15.6" customHeight="1">
      <c r="A39" s="11" t="s">
        <v>52</v>
      </c>
      <c r="B39" s="4" t="s">
        <v>4</v>
      </c>
      <c r="C39" s="53">
        <f t="shared" ref="C39:L39" si="11">1/IF(MAX(C35:C38)&gt;ABS(MIN(C35:C38)),MAX(C35:C38),MIN(C35:C38))</f>
        <v>-0.77647674039844061</v>
      </c>
      <c r="D39" s="53">
        <f t="shared" si="11"/>
        <v>-0.77647686200842314</v>
      </c>
      <c r="E39" s="56">
        <f t="shared" si="11"/>
        <v>-0.77647683384012056</v>
      </c>
      <c r="F39" s="56">
        <f t="shared" si="11"/>
        <v>-0.7764768319346198</v>
      </c>
      <c r="G39" s="53">
        <f t="shared" si="11"/>
        <v>-0.77647683938923184</v>
      </c>
      <c r="H39" s="53">
        <f t="shared" si="11"/>
        <v>-0.77647683358454989</v>
      </c>
      <c r="I39" s="53">
        <f t="shared" si="11"/>
        <v>-0.77647683686034707</v>
      </c>
      <c r="J39" s="53">
        <f t="shared" si="11"/>
        <v>-0.77647683534461676</v>
      </c>
      <c r="K39" s="53">
        <f t="shared" si="11"/>
        <v>-0.77647683592303007</v>
      </c>
      <c r="L39" s="53">
        <f t="shared" si="11"/>
        <v>-0.77647683575765902</v>
      </c>
    </row>
    <row r="40" spans="1:12" ht="15">
      <c r="A40" s="16"/>
      <c r="B40" s="12" t="s">
        <v>53</v>
      </c>
      <c r="C40" s="12" t="s">
        <v>54</v>
      </c>
      <c r="D40" s="66">
        <f t="shared" ref="D40:L40" si="12">ABS(D39-C39)</f>
        <v>1.2160998252852551E-7</v>
      </c>
      <c r="E40" s="67">
        <f t="shared" si="12"/>
        <v>2.816830257934555E-8</v>
      </c>
      <c r="F40" s="67">
        <f t="shared" si="12"/>
        <v>1.9055007571822102E-9</v>
      </c>
      <c r="G40" s="67">
        <f t="shared" si="12"/>
        <v>7.454612038770847E-9</v>
      </c>
      <c r="H40" s="67">
        <f t="shared" si="12"/>
        <v>5.8046819573220887E-9</v>
      </c>
      <c r="I40" s="67">
        <f t="shared" si="12"/>
        <v>3.275797189061791E-9</v>
      </c>
      <c r="J40" s="67">
        <f t="shared" si="12"/>
        <v>1.515730319034958E-9</v>
      </c>
      <c r="K40" s="67">
        <f t="shared" si="12"/>
        <v>5.7841331724262091E-10</v>
      </c>
      <c r="L40" s="21">
        <f t="shared" si="12"/>
        <v>1.6537105018699094E-10</v>
      </c>
    </row>
    <row r="41" spans="1:12" ht="15">
      <c r="A41" s="17">
        <v>0.01</v>
      </c>
      <c r="B41" s="14"/>
      <c r="C41" s="14" t="s">
        <v>55</v>
      </c>
      <c r="D41" s="68">
        <f t="shared" ref="D41:L41" si="13">ABS((D39-C39)/D39)*100</f>
        <v>1.5661765144420528E-5</v>
      </c>
      <c r="E41" s="38">
        <f t="shared" si="13"/>
        <v>3.6277067584923605E-6</v>
      </c>
      <c r="F41" s="38">
        <f t="shared" si="13"/>
        <v>2.4540342722584355E-7</v>
      </c>
      <c r="G41" s="38">
        <f t="shared" si="13"/>
        <v>9.6005594251009E-7</v>
      </c>
      <c r="H41" s="38">
        <f t="shared" si="13"/>
        <v>7.4756666345410319E-7</v>
      </c>
      <c r="I41" s="38">
        <f t="shared" si="13"/>
        <v>4.2187957625463045E-7</v>
      </c>
      <c r="J41" s="38">
        <f t="shared" si="13"/>
        <v>1.9520612206830937E-7</v>
      </c>
      <c r="K41" s="38">
        <f t="shared" si="13"/>
        <v>7.4492024807802164E-8</v>
      </c>
      <c r="L41" s="61">
        <f t="shared" si="13"/>
        <v>2.1297615404795384E-8</v>
      </c>
    </row>
  </sheetData>
  <conditionalFormatting sqref="D19:L19">
    <cfRule type="cellIs" dxfId="27" priority="4" operator="lessThan">
      <formula>$A$19</formula>
    </cfRule>
  </conditionalFormatting>
  <conditionalFormatting sqref="D20:L20">
    <cfRule type="cellIs" dxfId="26" priority="3" operator="lessThan">
      <formula>$A$20</formula>
    </cfRule>
  </conditionalFormatting>
  <conditionalFormatting sqref="D40:L40">
    <cfRule type="cellIs" dxfId="25" priority="2" operator="lessThan">
      <formula>$A$40</formula>
    </cfRule>
  </conditionalFormatting>
  <conditionalFormatting sqref="D41:L41">
    <cfRule type="cellIs" dxfId="24" priority="1" operator="lessThan">
      <formula>$A$41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4B3A-4A07-7942-B442-CA1AB7D538F2}">
  <dimension ref="A1:L29"/>
  <sheetViews>
    <sheetView topLeftCell="A3" workbookViewId="0">
      <selection activeCell="C6" sqref="C6"/>
    </sheetView>
  </sheetViews>
  <sheetFormatPr defaultColWidth="11.42578125" defaultRowHeight="14.45"/>
  <cols>
    <col min="1" max="1" width="13.7109375" bestFit="1" customWidth="1"/>
    <col min="3" max="5" width="13.7109375" bestFit="1" customWidth="1"/>
    <col min="6" max="6" width="13.42578125" bestFit="1" customWidth="1"/>
    <col min="7" max="7" width="13.7109375" bestFit="1" customWidth="1"/>
    <col min="8" max="10" width="13.42578125" bestFit="1" customWidth="1"/>
    <col min="11" max="11" width="13" bestFit="1" customWidth="1"/>
    <col min="12" max="12" width="15.85546875" bestFit="1" customWidth="1"/>
  </cols>
  <sheetData>
    <row r="1" spans="1:12" ht="15.6">
      <c r="A1" s="1" t="s">
        <v>31</v>
      </c>
      <c r="D1" s="2" t="s">
        <v>1</v>
      </c>
    </row>
    <row r="2" spans="1:12" ht="15.6">
      <c r="C2" s="25">
        <v>1</v>
      </c>
      <c r="D2" s="25">
        <v>2</v>
      </c>
    </row>
    <row r="3" spans="1:12" ht="15.6">
      <c r="C3" s="25">
        <v>3</v>
      </c>
      <c r="D3" s="25">
        <v>2</v>
      </c>
    </row>
    <row r="5" spans="1:12" ht="18.600000000000001">
      <c r="C5" s="4" t="s">
        <v>32</v>
      </c>
      <c r="D5" s="51" t="s">
        <v>33</v>
      </c>
      <c r="E5" s="51" t="s">
        <v>34</v>
      </c>
      <c r="F5" s="51" t="s">
        <v>35</v>
      </c>
      <c r="G5" s="51" t="s">
        <v>36</v>
      </c>
      <c r="H5" s="51" t="s">
        <v>37</v>
      </c>
      <c r="I5" s="51" t="s">
        <v>38</v>
      </c>
      <c r="J5" s="51" t="s">
        <v>39</v>
      </c>
      <c r="K5" s="51" t="s">
        <v>40</v>
      </c>
      <c r="L5" s="51" t="s">
        <v>41</v>
      </c>
    </row>
    <row r="6" spans="1:12" ht="15.6">
      <c r="C6" s="49">
        <v>0.66666560702921107</v>
      </c>
      <c r="D6" s="44">
        <f t="shared" ref="D6:L6" si="0">C10/C12</f>
        <v>0.66666693157624102</v>
      </c>
      <c r="E6" s="44">
        <f t="shared" si="0"/>
        <v>0.66666660043928638</v>
      </c>
      <c r="F6" s="44">
        <f t="shared" si="0"/>
        <v>0.66666668322351263</v>
      </c>
      <c r="G6" s="44">
        <f t="shared" si="0"/>
        <v>0.66666666252745521</v>
      </c>
      <c r="H6" s="44">
        <f t="shared" si="0"/>
        <v>0.66666666770146954</v>
      </c>
      <c r="I6" s="44">
        <f t="shared" si="0"/>
        <v>0.66666666640796579</v>
      </c>
      <c r="J6" s="44">
        <f t="shared" si="0"/>
        <v>0.66666666673134189</v>
      </c>
      <c r="K6" s="44">
        <f t="shared" si="0"/>
        <v>0.66666666665049779</v>
      </c>
      <c r="L6" s="44">
        <f t="shared" si="0"/>
        <v>0.66666666667070884</v>
      </c>
    </row>
    <row r="7" spans="1:12" ht="15.6">
      <c r="C7" s="5">
        <v>1</v>
      </c>
      <c r="D7" s="69">
        <f t="shared" ref="D7:L7" si="1">C11/C12</f>
        <v>1</v>
      </c>
      <c r="E7" s="69">
        <f t="shared" si="1"/>
        <v>1</v>
      </c>
      <c r="F7" s="69">
        <f t="shared" si="1"/>
        <v>1</v>
      </c>
      <c r="G7" s="69">
        <f t="shared" si="1"/>
        <v>1</v>
      </c>
      <c r="H7" s="69">
        <f t="shared" si="1"/>
        <v>1</v>
      </c>
      <c r="I7" s="69">
        <f t="shared" si="1"/>
        <v>1</v>
      </c>
      <c r="J7" s="69">
        <f t="shared" si="1"/>
        <v>1</v>
      </c>
      <c r="K7" s="69">
        <f t="shared" si="1"/>
        <v>1</v>
      </c>
      <c r="L7" s="69">
        <f t="shared" si="1"/>
        <v>1</v>
      </c>
    </row>
    <row r="9" spans="1:12" ht="18.600000000000001">
      <c r="C9" s="52" t="s">
        <v>42</v>
      </c>
      <c r="D9" s="52" t="s">
        <v>43</v>
      </c>
      <c r="E9" s="52" t="s">
        <v>44</v>
      </c>
      <c r="F9" s="52" t="s">
        <v>45</v>
      </c>
      <c r="G9" s="52" t="s">
        <v>46</v>
      </c>
      <c r="H9" s="52" t="s">
        <v>47</v>
      </c>
      <c r="I9" s="52" t="s">
        <v>48</v>
      </c>
      <c r="J9" s="52" t="s">
        <v>49</v>
      </c>
      <c r="K9" s="52" t="s">
        <v>50</v>
      </c>
      <c r="L9" s="52" t="s">
        <v>51</v>
      </c>
    </row>
    <row r="10" spans="1:12" ht="15">
      <c r="C10" s="9" cm="1">
        <f t="array" ref="C10:C11">MMULT($C$2:$D$3,C6:C7)</f>
        <v>2.666665607029211</v>
      </c>
      <c r="D10" s="9" cm="1">
        <f t="array" ref="D10:D11">MMULT($C$2:$D$3,D6:D7)</f>
        <v>2.6666669315762412</v>
      </c>
      <c r="E10" s="9" cm="1">
        <f t="array" ref="E10:E11">MMULT($C$2:$D$3,E6:E7)</f>
        <v>2.6666666004392865</v>
      </c>
      <c r="F10" s="9" cm="1">
        <f t="array" ref="F10:F11">MMULT($C$2:$D$3,F6:F7)</f>
        <v>2.6666666832235126</v>
      </c>
      <c r="G10" s="9" cm="1">
        <f t="array" ref="G10:G11">MMULT($C$2:$D$3,G6:G7)</f>
        <v>2.6666666625274553</v>
      </c>
      <c r="H10" s="9" cm="1">
        <f t="array" ref="H10:H11">MMULT($C$2:$D$3,H6:H7)</f>
        <v>2.6666666677014694</v>
      </c>
      <c r="I10" s="9" cm="1">
        <f t="array" ref="I10:I11">MMULT($C$2:$D$3,I6:I7)</f>
        <v>2.6666666664079659</v>
      </c>
      <c r="J10" s="9" cm="1">
        <f t="array" ref="J10:J11">MMULT($C$2:$D$3,J6:J7)</f>
        <v>2.6666666667313419</v>
      </c>
      <c r="K10" s="9" cm="1">
        <f t="array" ref="K10:K11">MMULT($C$2:$D$3,K6:K7)</f>
        <v>2.6666666666504977</v>
      </c>
      <c r="L10" s="9" cm="1">
        <f t="array" ref="L10:L11">MMULT($C$2:$D$3,L6:L7)</f>
        <v>2.6666666666707091</v>
      </c>
    </row>
    <row r="11" spans="1:12" ht="15">
      <c r="C11" s="57">
        <v>3.9999968210876333</v>
      </c>
      <c r="D11" s="57">
        <v>4.0000007947287228</v>
      </c>
      <c r="E11" s="57">
        <v>3.999999801317859</v>
      </c>
      <c r="F11" s="57">
        <v>4.0000000496705379</v>
      </c>
      <c r="G11" s="57">
        <v>3.9999999875823655</v>
      </c>
      <c r="H11" s="57">
        <v>4.0000000031044092</v>
      </c>
      <c r="I11" s="57">
        <v>3.9999999992238973</v>
      </c>
      <c r="J11" s="57">
        <v>4.0000000001940261</v>
      </c>
      <c r="K11" s="57">
        <v>3.9999999999514935</v>
      </c>
      <c r="L11" s="57">
        <v>4.0000000000121263</v>
      </c>
    </row>
    <row r="12" spans="1:12" ht="15.6">
      <c r="A12" s="11" t="s">
        <v>52</v>
      </c>
      <c r="B12" s="4" t="s">
        <v>3</v>
      </c>
      <c r="C12" s="65">
        <f t="shared" ref="C12:L12" si="2">IF(MAX(C10:C11)&gt;ABS(MIN(C10:C11)),MAX(C10:C11),MIN(C10:C11))</f>
        <v>3.9999968210876333</v>
      </c>
      <c r="D12" s="65">
        <f t="shared" si="2"/>
        <v>4.0000007947287228</v>
      </c>
      <c r="E12" s="65">
        <f t="shared" si="2"/>
        <v>3.999999801317859</v>
      </c>
      <c r="F12" s="65">
        <f t="shared" si="2"/>
        <v>4.0000000496705379</v>
      </c>
      <c r="G12" s="65">
        <f t="shared" si="2"/>
        <v>3.9999999875823655</v>
      </c>
      <c r="H12" s="65">
        <f t="shared" si="2"/>
        <v>4.0000000031044092</v>
      </c>
      <c r="I12" s="65">
        <f t="shared" si="2"/>
        <v>3.9999999992238973</v>
      </c>
      <c r="J12" s="65">
        <f t="shared" si="2"/>
        <v>4.0000000001940261</v>
      </c>
      <c r="K12" s="65">
        <f t="shared" si="2"/>
        <v>3.9999999999514935</v>
      </c>
      <c r="L12" s="65">
        <f t="shared" si="2"/>
        <v>4.0000000000121263</v>
      </c>
    </row>
    <row r="13" spans="1:12" ht="15">
      <c r="A13" s="16">
        <v>1E-3</v>
      </c>
      <c r="B13" s="12" t="s">
        <v>53</v>
      </c>
      <c r="C13" s="12" t="s">
        <v>54</v>
      </c>
      <c r="D13" s="21">
        <f>ABS(D12-C12)</f>
        <v>3.9736410895052643E-6</v>
      </c>
      <c r="E13" s="21">
        <f t="shared" ref="E13:L13" si="3">ABS(E12-D12)</f>
        <v>9.9341086379212129E-7</v>
      </c>
      <c r="F13" s="21">
        <f t="shared" si="3"/>
        <v>2.483526788665813E-7</v>
      </c>
      <c r="G13" s="21">
        <f t="shared" si="3"/>
        <v>6.2088172381180584E-8</v>
      </c>
      <c r="H13" s="21">
        <f t="shared" si="3"/>
        <v>1.5522043650406658E-8</v>
      </c>
      <c r="I13" s="21">
        <f t="shared" si="3"/>
        <v>3.8805119118023867E-9</v>
      </c>
      <c r="J13" s="21">
        <f t="shared" si="3"/>
        <v>9.7012886612901639E-10</v>
      </c>
      <c r="K13" s="21">
        <f t="shared" si="3"/>
        <v>2.4253266062146395E-10</v>
      </c>
      <c r="L13" s="21">
        <f t="shared" si="3"/>
        <v>6.0632832088458599E-11</v>
      </c>
    </row>
    <row r="14" spans="1:12" ht="15">
      <c r="A14" s="17"/>
      <c r="B14" s="14"/>
      <c r="C14" s="14" t="s">
        <v>55</v>
      </c>
      <c r="D14" s="61">
        <f>ABS((D12-C12)/D12)*100</f>
        <v>9.9341007500343604E-5</v>
      </c>
      <c r="E14" s="61">
        <f t="shared" ref="E14:L14" si="4">ABS((E12-D12)/E12)*100</f>
        <v>2.4835272828384324E-5</v>
      </c>
      <c r="F14" s="61">
        <f t="shared" si="4"/>
        <v>6.2088168945657141E-6</v>
      </c>
      <c r="G14" s="61">
        <f t="shared" si="4"/>
        <v>1.552204314348191E-6</v>
      </c>
      <c r="H14" s="61">
        <f t="shared" si="4"/>
        <v>3.8805109095899908E-7</v>
      </c>
      <c r="I14" s="61">
        <f t="shared" si="4"/>
        <v>9.7012797813882633E-8</v>
      </c>
      <c r="J14" s="61">
        <f t="shared" si="4"/>
        <v>2.4253221652048967E-8</v>
      </c>
      <c r="K14" s="61">
        <f t="shared" si="4"/>
        <v>6.0633165156101259E-9</v>
      </c>
      <c r="L14" s="61">
        <f t="shared" si="4"/>
        <v>1.5158208022068696E-9</v>
      </c>
    </row>
    <row r="16" spans="1:12" ht="18">
      <c r="D16" s="45" t="s">
        <v>56</v>
      </c>
    </row>
    <row r="17" spans="1:12" ht="15.6">
      <c r="C17" s="113" cm="1">
        <f t="array" ref="C17:D18">MINVERSE(C2:D3)</f>
        <v>-0.49999999999999994</v>
      </c>
      <c r="D17" s="113">
        <v>0.5</v>
      </c>
    </row>
    <row r="18" spans="1:12" ht="15.6">
      <c r="C18" s="113">
        <v>0.74999999999999989</v>
      </c>
      <c r="D18" s="113">
        <v>-0.24999999999999994</v>
      </c>
    </row>
    <row r="20" spans="1:12" ht="18.600000000000001">
      <c r="C20" s="4" t="s">
        <v>32</v>
      </c>
      <c r="D20" s="55" t="s">
        <v>33</v>
      </c>
      <c r="E20" s="55" t="s">
        <v>34</v>
      </c>
      <c r="F20" s="55" t="s">
        <v>35</v>
      </c>
      <c r="G20" s="55" t="s">
        <v>36</v>
      </c>
      <c r="H20" s="55" t="s">
        <v>37</v>
      </c>
      <c r="I20" s="55" t="s">
        <v>38</v>
      </c>
      <c r="J20" s="55" t="s">
        <v>39</v>
      </c>
      <c r="K20" s="55" t="s">
        <v>40</v>
      </c>
      <c r="L20" s="55" t="s">
        <v>41</v>
      </c>
    </row>
    <row r="21" spans="1:12" ht="15.6">
      <c r="C21" s="63">
        <v>1</v>
      </c>
      <c r="D21" s="69">
        <f t="shared" ref="D21:L21" si="5">C25*C27</f>
        <v>-0.66666666666666663</v>
      </c>
      <c r="E21" s="69">
        <f t="shared" si="5"/>
        <v>1</v>
      </c>
      <c r="F21" s="69">
        <f t="shared" si="5"/>
        <v>-0.97435897435897445</v>
      </c>
      <c r="G21" s="69">
        <f t="shared" si="5"/>
        <v>0.99999999999999989</v>
      </c>
      <c r="H21" s="69">
        <f t="shared" si="5"/>
        <v>-0.99837398373983743</v>
      </c>
      <c r="I21" s="69">
        <f t="shared" si="5"/>
        <v>1</v>
      </c>
      <c r="J21" s="69">
        <f t="shared" si="5"/>
        <v>-0.9998982809480218</v>
      </c>
      <c r="K21" s="69">
        <f t="shared" si="5"/>
        <v>1</v>
      </c>
      <c r="L21" s="69">
        <f t="shared" si="5"/>
        <v>-0.99999364219547704</v>
      </c>
    </row>
    <row r="22" spans="1:12" ht="15.6">
      <c r="C22" s="63">
        <v>0</v>
      </c>
      <c r="D22" s="69">
        <f t="shared" ref="D22:L22" si="6">C26*C27</f>
        <v>1</v>
      </c>
      <c r="E22" s="69">
        <f t="shared" si="6"/>
        <v>-0.89999999999999991</v>
      </c>
      <c r="F22" s="69">
        <f t="shared" si="6"/>
        <v>1</v>
      </c>
      <c r="G22" s="69">
        <f t="shared" si="6"/>
        <v>-0.99350649350649323</v>
      </c>
      <c r="H22" s="69">
        <f t="shared" si="6"/>
        <v>1</v>
      </c>
      <c r="I22" s="69">
        <f t="shared" si="6"/>
        <v>-0.9995931651749389</v>
      </c>
      <c r="J22" s="69">
        <f t="shared" si="6"/>
        <v>1</v>
      </c>
      <c r="K22" s="69">
        <f t="shared" si="6"/>
        <v>-0.99997456894359382</v>
      </c>
      <c r="L22" s="69">
        <f t="shared" si="6"/>
        <v>0.99999999999999989</v>
      </c>
    </row>
    <row r="24" spans="1:12" ht="18.600000000000001">
      <c r="C24" s="52" t="s">
        <v>57</v>
      </c>
      <c r="D24" s="52" t="s">
        <v>58</v>
      </c>
      <c r="E24" s="52" t="s">
        <v>59</v>
      </c>
      <c r="F24" s="52" t="s">
        <v>60</v>
      </c>
      <c r="G24" s="52" t="s">
        <v>61</v>
      </c>
      <c r="H24" s="52" t="s">
        <v>62</v>
      </c>
      <c r="I24" s="52" t="s">
        <v>63</v>
      </c>
      <c r="J24" s="52" t="s">
        <v>64</v>
      </c>
      <c r="K24" s="52" t="s">
        <v>65</v>
      </c>
      <c r="L24" s="52" t="s">
        <v>66</v>
      </c>
    </row>
    <row r="25" spans="1:12" ht="15">
      <c r="C25" s="57" cm="1">
        <f t="array" ref="C25:C26">MMULT($C$17:$D$18,C21:C22)</f>
        <v>-0.49999999999999994</v>
      </c>
      <c r="D25" s="57" cm="1">
        <f t="array" ref="D25:D26">MMULT($C$17:$D$18,D21:D22)</f>
        <v>0.83333333333333326</v>
      </c>
      <c r="E25" s="57" cm="1">
        <f t="array" ref="E25:E26">MMULT($C$17:$D$18,E21:E22)</f>
        <v>-0.95</v>
      </c>
      <c r="F25" s="57" cm="1">
        <f t="array" ref="F25:F26">MMULT($C$17:$D$18,F21:F22)</f>
        <v>0.98717948717948723</v>
      </c>
      <c r="G25" s="57" cm="1">
        <f t="array" ref="G25:G26">MMULT($C$17:$D$18,G21:G22)</f>
        <v>-0.9967532467532465</v>
      </c>
      <c r="H25" s="57" cm="1">
        <f t="array" ref="H25:H26">MMULT($C$17:$D$18,H21:H22)</f>
        <v>0.99918699186991866</v>
      </c>
      <c r="I25" s="57" cm="1">
        <f t="array" ref="I25:I26">MMULT($C$17:$D$18,I21:I22)</f>
        <v>-0.9997965825874694</v>
      </c>
      <c r="J25" s="57" cm="1">
        <f t="array" ref="J25:J26">MMULT($C$17:$D$18,J21:J22)</f>
        <v>0.99994914047401084</v>
      </c>
      <c r="K25" s="57" cm="1">
        <f t="array" ref="K25:K26">MMULT($C$17:$D$18,K21:K22)</f>
        <v>-0.99998728447179686</v>
      </c>
      <c r="L25" s="57" cm="1">
        <f t="array" ref="L25:L26">MMULT($C$17:$D$18,L21:L22)</f>
        <v>0.99999682109773835</v>
      </c>
    </row>
    <row r="26" spans="1:12" ht="15">
      <c r="C26" s="57">
        <v>0.74999999999999989</v>
      </c>
      <c r="D26" s="57">
        <v>-0.74999999999999978</v>
      </c>
      <c r="E26" s="57">
        <v>0.97499999999999987</v>
      </c>
      <c r="F26" s="57">
        <v>-0.98076923076923062</v>
      </c>
      <c r="G26" s="57">
        <v>0.99837662337662303</v>
      </c>
      <c r="H26" s="57">
        <v>-0.99878048780487783</v>
      </c>
      <c r="I26" s="57">
        <v>0.99989829129373453</v>
      </c>
      <c r="J26" s="57">
        <v>-0.99992371071101616</v>
      </c>
      <c r="K26" s="57">
        <v>0.99999364223589826</v>
      </c>
      <c r="L26" s="57">
        <v>-0.99999523164660753</v>
      </c>
    </row>
    <row r="27" spans="1:12" ht="15.6">
      <c r="A27" s="11" t="s">
        <v>52</v>
      </c>
      <c r="B27" s="4" t="s">
        <v>4</v>
      </c>
      <c r="C27" s="65">
        <f t="shared" ref="C27:L27" si="7">1/IF(MAX(C25:C26)&gt;ABS(MIN(C25:C26)),MAX(C25:C26),MIN(C25:C26))</f>
        <v>1.3333333333333335</v>
      </c>
      <c r="D27" s="65">
        <f t="shared" si="7"/>
        <v>1.2000000000000002</v>
      </c>
      <c r="E27" s="65">
        <f t="shared" si="7"/>
        <v>1.0256410256410258</v>
      </c>
      <c r="F27" s="65">
        <f t="shared" si="7"/>
        <v>1.0129870129870129</v>
      </c>
      <c r="G27" s="65">
        <f t="shared" si="7"/>
        <v>1.0016260162601629</v>
      </c>
      <c r="H27" s="65">
        <f t="shared" si="7"/>
        <v>1.0008136696501222</v>
      </c>
      <c r="I27" s="65">
        <f t="shared" si="7"/>
        <v>1.0001017190519788</v>
      </c>
      <c r="J27" s="65">
        <f t="shared" si="7"/>
        <v>1.0000508621128121</v>
      </c>
      <c r="K27" s="65">
        <f t="shared" si="7"/>
        <v>1.0000063578045231</v>
      </c>
      <c r="L27" s="65">
        <f t="shared" si="7"/>
        <v>1.0000031789123671</v>
      </c>
    </row>
    <row r="28" spans="1:12" ht="15">
      <c r="A28" s="16">
        <v>0.01</v>
      </c>
      <c r="B28" s="12" t="s">
        <v>53</v>
      </c>
      <c r="C28" s="12" t="s">
        <v>54</v>
      </c>
      <c r="D28" s="66">
        <f>ABS(D27-C27)</f>
        <v>0.1333333333333333</v>
      </c>
      <c r="E28" s="67">
        <f t="shared" ref="E28:L28" si="8">ABS(E27-D27)</f>
        <v>0.17435897435897441</v>
      </c>
      <c r="F28" s="67">
        <f t="shared" si="8"/>
        <v>1.2654012654012892E-2</v>
      </c>
      <c r="G28" s="67">
        <f t="shared" si="8"/>
        <v>1.1360996726849981E-2</v>
      </c>
      <c r="H28" s="67">
        <f t="shared" si="8"/>
        <v>8.1234661004070396E-4</v>
      </c>
      <c r="I28" s="67">
        <f t="shared" si="8"/>
        <v>7.1195059814344042E-4</v>
      </c>
      <c r="J28" s="67">
        <f t="shared" si="8"/>
        <v>5.0856939166621373E-5</v>
      </c>
      <c r="K28" s="67">
        <f t="shared" si="8"/>
        <v>4.4504308289061711E-5</v>
      </c>
      <c r="L28" s="21">
        <f t="shared" si="8"/>
        <v>3.178892155952795E-6</v>
      </c>
    </row>
    <row r="29" spans="1:12" ht="15">
      <c r="A29" s="17"/>
      <c r="B29" s="14"/>
      <c r="C29" s="14" t="s">
        <v>55</v>
      </c>
      <c r="D29" s="68">
        <f>ABS((D27-C27)/D27)*100</f>
        <v>11.111111111111107</v>
      </c>
      <c r="E29" s="38">
        <f t="shared" ref="E29:L29" si="9">ABS((E27-D27)/E27)*100</f>
        <v>17</v>
      </c>
      <c r="F29" s="38">
        <f t="shared" si="9"/>
        <v>1.249178172255119</v>
      </c>
      <c r="G29" s="38">
        <f t="shared" si="9"/>
        <v>1.1342553550345351</v>
      </c>
      <c r="H29" s="38">
        <f t="shared" si="9"/>
        <v>8.1168616564229676E-2</v>
      </c>
      <c r="I29" s="38">
        <f t="shared" si="9"/>
        <v>7.1187818656917826E-2</v>
      </c>
      <c r="J29" s="38">
        <f t="shared" si="9"/>
        <v>5.0854352606802102E-3</v>
      </c>
      <c r="K29" s="38">
        <f t="shared" si="9"/>
        <v>4.4504025341168098E-3</v>
      </c>
      <c r="L29" s="61">
        <f t="shared" si="9"/>
        <v>3.1788820505653306E-4</v>
      </c>
    </row>
  </sheetData>
  <phoneticPr fontId="6" type="noConversion"/>
  <conditionalFormatting sqref="D13:L13">
    <cfRule type="cellIs" dxfId="23" priority="4" operator="lessThan">
      <formula>$A$13</formula>
    </cfRule>
  </conditionalFormatting>
  <conditionalFormatting sqref="D14:L14">
    <cfRule type="cellIs" dxfId="22" priority="3" operator="lessThan">
      <formula>$A$14</formula>
    </cfRule>
  </conditionalFormatting>
  <conditionalFormatting sqref="D28:L28">
    <cfRule type="cellIs" dxfId="21" priority="2" operator="lessThan">
      <formula>$A$28</formula>
    </cfRule>
  </conditionalFormatting>
  <conditionalFormatting sqref="D29:L29">
    <cfRule type="cellIs" dxfId="20" priority="1" operator="lessThan">
      <formula>$A$29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725F-53A6-4AD6-BD72-9026987A6BC2}">
  <dimension ref="A1:L35"/>
  <sheetViews>
    <sheetView workbookViewId="0">
      <selection activeCell="A19" sqref="A19:G35"/>
    </sheetView>
  </sheetViews>
  <sheetFormatPr defaultColWidth="11.42578125" defaultRowHeight="14.45"/>
  <cols>
    <col min="1" max="1" width="13.7109375" bestFit="1" customWidth="1"/>
    <col min="2" max="2" width="11.42578125" bestFit="1" customWidth="1"/>
    <col min="3" max="3" width="13.7109375" bestFit="1" customWidth="1"/>
    <col min="4" max="12" width="14.28515625" bestFit="1" customWidth="1"/>
  </cols>
  <sheetData>
    <row r="1" spans="1:12" ht="15.6">
      <c r="A1" s="1" t="s">
        <v>31</v>
      </c>
      <c r="D1" s="2" t="s">
        <v>1</v>
      </c>
    </row>
    <row r="2" spans="1:12" ht="15.6">
      <c r="C2" s="25">
        <v>2</v>
      </c>
      <c r="D2" s="25">
        <v>2</v>
      </c>
      <c r="E2" s="25">
        <v>3</v>
      </c>
    </row>
    <row r="3" spans="1:12" ht="15.6">
      <c r="C3" s="25">
        <v>-10</v>
      </c>
      <c r="D3" s="25">
        <v>-1</v>
      </c>
      <c r="E3" s="25">
        <v>2</v>
      </c>
    </row>
    <row r="4" spans="1:12" ht="15.6">
      <c r="C4" s="25">
        <v>-2</v>
      </c>
      <c r="D4" s="25">
        <v>4</v>
      </c>
      <c r="E4" s="25">
        <v>9</v>
      </c>
    </row>
    <row r="6" spans="1:12" ht="18.600000000000001">
      <c r="C6" s="4" t="s">
        <v>32</v>
      </c>
      <c r="D6" s="51" t="s">
        <v>33</v>
      </c>
      <c r="E6" s="51" t="s">
        <v>34</v>
      </c>
      <c r="F6" s="51" t="s">
        <v>35</v>
      </c>
      <c r="G6" s="51" t="s">
        <v>36</v>
      </c>
      <c r="H6" s="51" t="s">
        <v>37</v>
      </c>
      <c r="I6" s="51" t="s">
        <v>38</v>
      </c>
      <c r="J6" s="51" t="s">
        <v>39</v>
      </c>
      <c r="K6" s="51" t="s">
        <v>40</v>
      </c>
      <c r="L6" s="51" t="s">
        <v>41</v>
      </c>
    </row>
    <row r="7" spans="1:12" ht="15.6">
      <c r="C7" s="62">
        <v>0.49999978494957648</v>
      </c>
      <c r="D7" s="105">
        <f t="shared" ref="D7:L7" si="0">C12/C15</f>
        <v>0.49999989875669371</v>
      </c>
      <c r="E7" s="105">
        <f t="shared" si="0"/>
        <v>0.4999999523357796</v>
      </c>
      <c r="F7" s="105">
        <f t="shared" si="0"/>
        <v>0.49999997756021236</v>
      </c>
      <c r="G7" s="105">
        <f t="shared" si="0"/>
        <v>0.49999998943559537</v>
      </c>
      <c r="H7" s="105">
        <f t="shared" si="0"/>
        <v>0.49999999502639453</v>
      </c>
      <c r="I7" s="105">
        <f t="shared" si="0"/>
        <v>0.49999999765848124</v>
      </c>
      <c r="J7" s="105">
        <f t="shared" si="0"/>
        <v>0.49999999889763869</v>
      </c>
      <c r="K7" s="105">
        <f t="shared" si="0"/>
        <v>0.49999999948102042</v>
      </c>
      <c r="L7" s="105">
        <f t="shared" si="0"/>
        <v>0.49999999975567005</v>
      </c>
    </row>
    <row r="8" spans="1:12" ht="15.6">
      <c r="C8" s="70">
        <v>-0.40692868889216821</v>
      </c>
      <c r="D8" s="44">
        <f t="shared" ref="D8:L8" si="1">C13/C15</f>
        <v>-0.40692920767303314</v>
      </c>
      <c r="E8" s="44">
        <f t="shared" si="1"/>
        <v>-0.40692945190911639</v>
      </c>
      <c r="F8" s="44">
        <f t="shared" si="1"/>
        <v>-0.40692956689272525</v>
      </c>
      <c r="G8" s="44">
        <f t="shared" si="1"/>
        <v>-0.40692962102573221</v>
      </c>
      <c r="H8" s="44">
        <f t="shared" si="1"/>
        <v>-0.4069296465109542</v>
      </c>
      <c r="I8" s="44">
        <f t="shared" si="1"/>
        <v>-0.406929658509116</v>
      </c>
      <c r="J8" s="44">
        <f t="shared" si="1"/>
        <v>-0.40692966415771847</v>
      </c>
      <c r="K8" s="44">
        <f t="shared" si="1"/>
        <v>-0.40692966681701853</v>
      </c>
      <c r="L8" s="44">
        <f t="shared" si="1"/>
        <v>-0.40692966806898767</v>
      </c>
    </row>
    <row r="9" spans="1:12" ht="15.6">
      <c r="C9" s="64">
        <v>1</v>
      </c>
      <c r="D9" s="69">
        <f t="shared" ref="D9:L9" si="2">C14/C15</f>
        <v>1</v>
      </c>
      <c r="E9" s="69">
        <f t="shared" si="2"/>
        <v>1</v>
      </c>
      <c r="F9" s="69">
        <f t="shared" si="2"/>
        <v>1</v>
      </c>
      <c r="G9" s="69">
        <f t="shared" si="2"/>
        <v>1</v>
      </c>
      <c r="H9" s="69">
        <f t="shared" si="2"/>
        <v>1</v>
      </c>
      <c r="I9" s="69">
        <f t="shared" si="2"/>
        <v>1</v>
      </c>
      <c r="J9" s="69">
        <f t="shared" si="2"/>
        <v>1</v>
      </c>
      <c r="K9" s="69">
        <f t="shared" si="2"/>
        <v>1</v>
      </c>
      <c r="L9" s="69">
        <f t="shared" si="2"/>
        <v>1</v>
      </c>
    </row>
    <row r="11" spans="1:12" ht="18.600000000000001">
      <c r="C11" s="52" t="s">
        <v>42</v>
      </c>
      <c r="D11" s="52" t="s">
        <v>43</v>
      </c>
      <c r="E11" s="52" t="s">
        <v>44</v>
      </c>
      <c r="F11" s="52" t="s">
        <v>45</v>
      </c>
      <c r="G11" s="52" t="s">
        <v>46</v>
      </c>
      <c r="H11" s="52" t="s">
        <v>47</v>
      </c>
      <c r="I11" s="52" t="s">
        <v>48</v>
      </c>
      <c r="J11" s="52" t="s">
        <v>49</v>
      </c>
      <c r="K11" s="52" t="s">
        <v>50</v>
      </c>
      <c r="L11" s="52" t="s">
        <v>51</v>
      </c>
    </row>
    <row r="12" spans="1:12" ht="15">
      <c r="C12" s="9" cm="1">
        <f t="array" ref="C12:C14">MMULT($C$2:$E$4,C7:C9)</f>
        <v>3.1861421921148168</v>
      </c>
      <c r="D12" s="9" cm="1">
        <f t="array" ref="D12:D14">MMULT($C$2:$E$4,D7:D9)</f>
        <v>3.186141382167321</v>
      </c>
      <c r="E12" s="9" cm="1">
        <f t="array" ref="E12:E14">MMULT($C$2:$E$4,E7:E9)</f>
        <v>3.1861410008533264</v>
      </c>
      <c r="F12" s="9" cm="1">
        <f t="array" ref="F12:F14">MMULT($C$2:$E$4,F7:F9)</f>
        <v>3.1861408213349742</v>
      </c>
      <c r="G12" s="9" cm="1">
        <f t="array" ref="G12:G14">MMULT($C$2:$E$4,G7:G9)</f>
        <v>3.1861407368197261</v>
      </c>
      <c r="H12" s="9" cm="1">
        <f t="array" ref="H12:H14">MMULT($C$2:$E$4,H7:H9)</f>
        <v>3.1861406970308805</v>
      </c>
      <c r="I12" s="9" cm="1">
        <f t="array" ref="I12:I14">MMULT($C$2:$E$4,I7:I9)</f>
        <v>3.1861406782987305</v>
      </c>
      <c r="J12" s="9" cm="1">
        <f t="array" ref="J12:J14">MMULT($C$2:$E$4,J7:J9)</f>
        <v>3.1861406694798404</v>
      </c>
      <c r="K12" s="9" cm="1">
        <f t="array" ref="K12:K14">MMULT($C$2:$E$4,K7:K9)</f>
        <v>3.1861406653280038</v>
      </c>
      <c r="L12" s="9" cm="1">
        <f t="array" ref="L12:L14">MMULT($C$2:$E$4,L7:L9)</f>
        <v>3.1861406633733647</v>
      </c>
    </row>
    <row r="13" spans="1:12" ht="15">
      <c r="C13" s="9">
        <v>-2.5930691606035969</v>
      </c>
      <c r="D13" s="9">
        <v>-2.593069779893904</v>
      </c>
      <c r="E13" s="9">
        <v>-2.5930700714486798</v>
      </c>
      <c r="F13" s="9">
        <v>-2.5930702087093982</v>
      </c>
      <c r="G13" s="9">
        <v>-2.5930702733302216</v>
      </c>
      <c r="H13" s="9">
        <v>-2.5930703037529916</v>
      </c>
      <c r="I13" s="9">
        <v>-2.5930703180756964</v>
      </c>
      <c r="J13" s="9">
        <v>-2.5930703248186688</v>
      </c>
      <c r="K13" s="9">
        <v>-2.5930703279931855</v>
      </c>
      <c r="L13" s="9">
        <v>-2.5930703294877127</v>
      </c>
    </row>
    <row r="14" spans="1:12" ht="15">
      <c r="C14" s="9">
        <v>6.3722856745321739</v>
      </c>
      <c r="D14" s="9">
        <v>6.37228337179448</v>
      </c>
      <c r="E14" s="9">
        <v>6.3722822876919754</v>
      </c>
      <c r="F14" s="9">
        <v>6.3722817773086744</v>
      </c>
      <c r="G14" s="9">
        <v>6.3722815370258807</v>
      </c>
      <c r="H14" s="9">
        <v>6.3722814239033942</v>
      </c>
      <c r="I14" s="9">
        <v>6.372281370646574</v>
      </c>
      <c r="J14" s="9">
        <v>6.3722813455738487</v>
      </c>
      <c r="K14" s="9">
        <v>6.3722813337698856</v>
      </c>
      <c r="L14" s="9">
        <v>6.3722813282127095</v>
      </c>
    </row>
    <row r="15" spans="1:12" ht="15.6">
      <c r="A15" s="11" t="s">
        <v>52</v>
      </c>
      <c r="B15" s="4" t="s">
        <v>3</v>
      </c>
      <c r="C15" s="10">
        <f t="shared" ref="C15:L15" si="3">IF(MAX(C12:C14)&gt;ABS(MIN(C12:C14)),MAX(C12:C14),MIN(C12:C14))</f>
        <v>6.3722856745321739</v>
      </c>
      <c r="D15" s="10">
        <f t="shared" si="3"/>
        <v>6.37228337179448</v>
      </c>
      <c r="E15" s="10">
        <f t="shared" si="3"/>
        <v>6.3722822876919754</v>
      </c>
      <c r="F15" s="10">
        <f t="shared" si="3"/>
        <v>6.3722817773086744</v>
      </c>
      <c r="G15" s="10">
        <f t="shared" si="3"/>
        <v>6.3722815370258807</v>
      </c>
      <c r="H15" s="10">
        <f t="shared" si="3"/>
        <v>6.3722814239033942</v>
      </c>
      <c r="I15" s="10">
        <f t="shared" si="3"/>
        <v>6.372281370646574</v>
      </c>
      <c r="J15" s="10">
        <f t="shared" si="3"/>
        <v>6.3722813455738487</v>
      </c>
      <c r="K15" s="10">
        <f t="shared" si="3"/>
        <v>6.3722813337698856</v>
      </c>
      <c r="L15" s="10">
        <f t="shared" si="3"/>
        <v>6.3722813282127095</v>
      </c>
    </row>
    <row r="16" spans="1:12" ht="15">
      <c r="A16" s="16">
        <v>0.05</v>
      </c>
      <c r="B16" s="12" t="s">
        <v>53</v>
      </c>
      <c r="C16" s="12" t="s">
        <v>54</v>
      </c>
      <c r="D16" s="21">
        <f t="shared" ref="D16:L16" si="4">ABS(D15-C15)</f>
        <v>2.3027376938600241E-6</v>
      </c>
      <c r="E16" s="21">
        <f t="shared" si="4"/>
        <v>1.0841025046559594E-6</v>
      </c>
      <c r="F16" s="21">
        <f t="shared" si="4"/>
        <v>5.1038330095565243E-7</v>
      </c>
      <c r="G16" s="21">
        <f t="shared" si="4"/>
        <v>2.4028279366206107E-7</v>
      </c>
      <c r="H16" s="21">
        <f t="shared" si="4"/>
        <v>1.1312248648920331E-7</v>
      </c>
      <c r="I16" s="21">
        <f t="shared" si="4"/>
        <v>5.3256820287117534E-8</v>
      </c>
      <c r="J16" s="21">
        <f t="shared" si="4"/>
        <v>2.5072725229335902E-8</v>
      </c>
      <c r="K16" s="21">
        <f t="shared" si="4"/>
        <v>1.180396314026666E-8</v>
      </c>
      <c r="L16" s="21">
        <f t="shared" si="4"/>
        <v>5.5571760526618164E-9</v>
      </c>
    </row>
    <row r="17" spans="1:12" ht="15">
      <c r="A17" s="17"/>
      <c r="B17" s="14"/>
      <c r="C17" s="14" t="s">
        <v>55</v>
      </c>
      <c r="D17" s="61">
        <f t="shared" ref="D17:L17" si="5">ABS((D15-C15)/D15)*100</f>
        <v>3.6136774834160538E-5</v>
      </c>
      <c r="E17" s="61">
        <f t="shared" si="5"/>
        <v>1.7012782166758319E-5</v>
      </c>
      <c r="F17" s="61">
        <f t="shared" si="5"/>
        <v>8.009427686846771E-6</v>
      </c>
      <c r="G17" s="61">
        <f t="shared" si="5"/>
        <v>3.7707498054803091E-6</v>
      </c>
      <c r="H17" s="61">
        <f t="shared" si="5"/>
        <v>1.7752274101527235E-6</v>
      </c>
      <c r="I17" s="61">
        <f t="shared" si="5"/>
        <v>8.3575751272442243E-7</v>
      </c>
      <c r="J17" s="61">
        <f t="shared" si="5"/>
        <v>3.93465446197715E-7</v>
      </c>
      <c r="K17" s="61">
        <f t="shared" si="5"/>
        <v>1.8523920275948259E-7</v>
      </c>
      <c r="L17" s="61">
        <f t="shared" si="5"/>
        <v>8.7208579885792439E-8</v>
      </c>
    </row>
    <row r="19" spans="1:12" ht="18">
      <c r="D19" s="45" t="s">
        <v>56</v>
      </c>
    </row>
    <row r="20" spans="1:12" ht="15.6">
      <c r="C20" s="107" cm="1">
        <f t="array" ref="C20:E22">MINVERSE(C2:E4)</f>
        <v>-1.4166666666666674</v>
      </c>
      <c r="D20" s="108">
        <v>-0.50000000000000022</v>
      </c>
      <c r="E20" s="107">
        <v>0.58333333333333359</v>
      </c>
    </row>
    <row r="21" spans="1:12" ht="15.6">
      <c r="C21" s="107">
        <v>7.1666666666666705</v>
      </c>
      <c r="D21" s="109">
        <v>2.0000000000000009</v>
      </c>
      <c r="E21" s="110">
        <v>-2.8333333333333344</v>
      </c>
    </row>
    <row r="22" spans="1:12" ht="15.6">
      <c r="C22" s="108">
        <v>-3.5000000000000018</v>
      </c>
      <c r="D22" s="109">
        <v>-1.0000000000000004</v>
      </c>
      <c r="E22" s="108">
        <v>1.5000000000000007</v>
      </c>
    </row>
    <row r="24" spans="1:12" ht="18.600000000000001">
      <c r="C24" s="4" t="s">
        <v>32</v>
      </c>
      <c r="D24" s="55" t="s">
        <v>33</v>
      </c>
      <c r="E24" s="55" t="s">
        <v>34</v>
      </c>
      <c r="F24" s="55" t="s">
        <v>35</v>
      </c>
      <c r="G24" s="55" t="s">
        <v>36</v>
      </c>
      <c r="H24" s="55" t="s">
        <v>37</v>
      </c>
      <c r="I24" s="55" t="s">
        <v>38</v>
      </c>
      <c r="J24" s="55" t="s">
        <v>39</v>
      </c>
      <c r="K24" s="55" t="s">
        <v>40</v>
      </c>
      <c r="L24" s="55" t="s">
        <v>41</v>
      </c>
    </row>
    <row r="25" spans="1:12" ht="15">
      <c r="C25" s="111">
        <v>-0.27128643403562491</v>
      </c>
      <c r="D25" s="44">
        <f t="shared" ref="D25:L25" si="6">C30*C33</f>
        <v>-0.27128644359274201</v>
      </c>
      <c r="E25" s="44">
        <f t="shared" si="6"/>
        <v>-0.2712864455926281</v>
      </c>
      <c r="F25" s="44">
        <f t="shared" si="6"/>
        <v>-0.27128644601109914</v>
      </c>
      <c r="G25" s="44">
        <f t="shared" si="6"/>
        <v>-0.27128644609866132</v>
      </c>
      <c r="H25" s="44">
        <f t="shared" si="6"/>
        <v>-0.27128644611698294</v>
      </c>
      <c r="I25" s="44">
        <f t="shared" si="6"/>
        <v>-0.27128644612081659</v>
      </c>
      <c r="J25" s="44">
        <f t="shared" si="6"/>
        <v>-0.27128644612161879</v>
      </c>
      <c r="K25" s="44">
        <f t="shared" si="6"/>
        <v>-0.2712864461217866</v>
      </c>
      <c r="L25" s="44">
        <f t="shared" si="6"/>
        <v>-0.27128644612182168</v>
      </c>
    </row>
    <row r="26" spans="1:12" ht="15">
      <c r="C26" s="112">
        <v>0.99999999999999989</v>
      </c>
      <c r="D26" s="69">
        <f t="shared" ref="D26:L26" si="7">C31*C33</f>
        <v>1</v>
      </c>
      <c r="E26" s="69">
        <f t="shared" si="7"/>
        <v>0.99999999999999989</v>
      </c>
      <c r="F26" s="69">
        <f t="shared" si="7"/>
        <v>1</v>
      </c>
      <c r="G26" s="69">
        <f t="shared" si="7"/>
        <v>1</v>
      </c>
      <c r="H26" s="69">
        <f t="shared" si="7"/>
        <v>1</v>
      </c>
      <c r="I26" s="69">
        <f t="shared" si="7"/>
        <v>1</v>
      </c>
      <c r="J26" s="69">
        <f t="shared" si="7"/>
        <v>1</v>
      </c>
      <c r="K26" s="69">
        <f t="shared" si="7"/>
        <v>1</v>
      </c>
      <c r="L26" s="69">
        <f t="shared" si="7"/>
        <v>1</v>
      </c>
    </row>
    <row r="27" spans="1:12" ht="15">
      <c r="C27" s="111">
        <v>-0.54257287957799005</v>
      </c>
      <c r="D27" s="44">
        <f t="shared" ref="D27:L27" si="8">C32*C33</f>
        <v>-0.5425728895931492</v>
      </c>
      <c r="E27" s="44">
        <f t="shared" si="8"/>
        <v>-0.542572891689035</v>
      </c>
      <c r="F27" s="44">
        <f t="shared" si="8"/>
        <v>-0.54257289212760873</v>
      </c>
      <c r="G27" s="44">
        <f t="shared" si="8"/>
        <v>-0.54257289221937866</v>
      </c>
      <c r="H27" s="44">
        <f t="shared" si="8"/>
        <v>-0.54257289223858085</v>
      </c>
      <c r="I27" s="44">
        <f t="shared" si="8"/>
        <v>-0.54257289224259875</v>
      </c>
      <c r="J27" s="44">
        <f t="shared" si="8"/>
        <v>-0.54257289224343952</v>
      </c>
      <c r="K27" s="44">
        <f t="shared" si="8"/>
        <v>-0.54257289224361538</v>
      </c>
      <c r="L27" s="44">
        <f t="shared" si="8"/>
        <v>-0.54257289224365224</v>
      </c>
    </row>
    <row r="29" spans="1:12" ht="18.600000000000001">
      <c r="C29" s="52" t="s">
        <v>57</v>
      </c>
      <c r="D29" s="52" t="s">
        <v>58</v>
      </c>
      <c r="E29" s="52" t="s">
        <v>59</v>
      </c>
      <c r="F29" s="52" t="s">
        <v>60</v>
      </c>
      <c r="G29" s="52" t="s">
        <v>61</v>
      </c>
      <c r="H29" s="52" t="s">
        <v>62</v>
      </c>
      <c r="I29" s="52" t="s">
        <v>63</v>
      </c>
      <c r="J29" s="52" t="s">
        <v>64</v>
      </c>
      <c r="K29" s="52" t="s">
        <v>65</v>
      </c>
      <c r="L29" s="52" t="s">
        <v>66</v>
      </c>
    </row>
    <row r="30" spans="1:12" ht="15">
      <c r="C30" s="9" cm="1">
        <f t="array" ref="C30:C32">MMULT($C$20:$E$22,C25:C27)</f>
        <v>-0.43217839820335907</v>
      </c>
      <c r="D30" s="9" cm="1">
        <f t="array" ref="D30:D32">MMULT($C$20:$E$22,D25:D27)</f>
        <v>-0.43217839050628598</v>
      </c>
      <c r="E30" s="9" cm="1">
        <f t="array" ref="E30:E32">MMULT($C$20:$E$22,E25:E27)</f>
        <v>-0.43217838889571414</v>
      </c>
      <c r="F30" s="9" cm="1">
        <f t="array" ref="F30:F32">MMULT($C$20:$E$22,F25:F27)</f>
        <v>-0.43217838855871482</v>
      </c>
      <c r="G30" s="9" cm="1">
        <f t="array" ref="G30:G32">MMULT($C$20:$E$22,G25:G27)</f>
        <v>-0.43217838848820089</v>
      </c>
      <c r="H30" s="9" cm="1">
        <f t="array" ref="H30:H32">MMULT($C$20:$E$22,H25:H27)</f>
        <v>-0.43217838847344653</v>
      </c>
      <c r="I30" s="9" cm="1">
        <f t="array" ref="I30:I32">MMULT($C$20:$E$22,I25:I27)</f>
        <v>-0.43217838847035928</v>
      </c>
      <c r="J30" s="9" cm="1">
        <f t="array" ref="J30:J32">MMULT($C$20:$E$22,J25:J27)</f>
        <v>-0.43217838846971329</v>
      </c>
      <c r="K30" s="9" cm="1">
        <f t="array" ref="K30:K32">MMULT($C$20:$E$22,K25:K27)</f>
        <v>-0.43217838846957812</v>
      </c>
      <c r="L30" s="9" cm="1">
        <f t="array" ref="L30:L32">MMULT($C$20:$E$22,L25:L27)</f>
        <v>-0.43217838846954992</v>
      </c>
    </row>
    <row r="31" spans="1:12" ht="15">
      <c r="C31" s="9">
        <v>1.5930703815489937</v>
      </c>
      <c r="D31" s="9">
        <v>1.5930703414326053</v>
      </c>
      <c r="E31" s="9">
        <v>1.5930703330384315</v>
      </c>
      <c r="F31" s="9">
        <v>1.5930703312820147</v>
      </c>
      <c r="G31" s="9">
        <v>1.5930703309145007</v>
      </c>
      <c r="H31" s="9">
        <v>1.5930703308376017</v>
      </c>
      <c r="I31" s="9">
        <v>1.5930703308215113</v>
      </c>
      <c r="J31" s="9">
        <v>1.5930703308181444</v>
      </c>
      <c r="K31" s="9">
        <v>1.5930703308174401</v>
      </c>
      <c r="L31" s="9">
        <v>1.5930703308172931</v>
      </c>
    </row>
    <row r="32" spans="1:12" ht="15">
      <c r="C32" s="9">
        <v>-0.86435680024229822</v>
      </c>
      <c r="D32" s="9">
        <v>-0.8643567818151271</v>
      </c>
      <c r="E32" s="9">
        <v>-0.86435677795935451</v>
      </c>
      <c r="F32" s="9">
        <v>-0.86435677715256642</v>
      </c>
      <c r="G32" s="9">
        <v>-0.86435677698375368</v>
      </c>
      <c r="H32" s="9">
        <v>-0.86435677694843127</v>
      </c>
      <c r="I32" s="9">
        <v>-0.86435677694104029</v>
      </c>
      <c r="J32" s="9">
        <v>-0.86435677693949386</v>
      </c>
      <c r="K32" s="9">
        <v>-0.86435677693917035</v>
      </c>
      <c r="L32" s="9">
        <v>-0.86435677693910284</v>
      </c>
    </row>
    <row r="33" spans="1:12" ht="15.6">
      <c r="A33" s="11" t="s">
        <v>52</v>
      </c>
      <c r="B33" s="4" t="s">
        <v>4</v>
      </c>
      <c r="C33" s="10">
        <f t="shared" ref="C33:L33" si="9">1/IF(MAX(C30:C32)&gt;ABS(MIN(C30:C32)),MAX(C30:C32),MIN(C30:C32))</f>
        <v>0.62771865674112137</v>
      </c>
      <c r="D33" s="10">
        <f t="shared" si="9"/>
        <v>0.62771867254821079</v>
      </c>
      <c r="E33" s="10">
        <f t="shared" si="9"/>
        <v>0.62771867585577334</v>
      </c>
      <c r="F33" s="10">
        <f t="shared" si="9"/>
        <v>0.62771867654785551</v>
      </c>
      <c r="G33" s="10">
        <f t="shared" si="9"/>
        <v>0.62771867669266734</v>
      </c>
      <c r="H33" s="10">
        <f t="shared" si="9"/>
        <v>0.62771867672296788</v>
      </c>
      <c r="I33" s="10">
        <f t="shared" si="9"/>
        <v>0.62771867672930803</v>
      </c>
      <c r="J33" s="10">
        <f t="shared" si="9"/>
        <v>0.62771867673063464</v>
      </c>
      <c r="K33" s="10">
        <f t="shared" si="9"/>
        <v>0.6277186767309122</v>
      </c>
      <c r="L33" s="10">
        <f t="shared" si="9"/>
        <v>0.62771867673097015</v>
      </c>
    </row>
    <row r="34" spans="1:12" ht="15">
      <c r="A34" s="16">
        <v>0.05</v>
      </c>
      <c r="B34" s="12" t="s">
        <v>53</v>
      </c>
      <c r="C34" s="12" t="s">
        <v>54</v>
      </c>
      <c r="D34" s="66">
        <f t="shared" ref="D34:L34" si="10">ABS(D33-C33)</f>
        <v>1.5807089415176279E-8</v>
      </c>
      <c r="E34" s="67">
        <f t="shared" si="10"/>
        <v>3.3075625571754586E-9</v>
      </c>
      <c r="F34" s="67">
        <f t="shared" si="10"/>
        <v>6.9208216935123801E-10</v>
      </c>
      <c r="G34" s="67">
        <f t="shared" si="10"/>
        <v>1.4481182919467983E-10</v>
      </c>
      <c r="H34" s="67">
        <f t="shared" si="10"/>
        <v>3.030053985497716E-11</v>
      </c>
      <c r="I34" s="67">
        <f t="shared" si="10"/>
        <v>6.3401506267268815E-12</v>
      </c>
      <c r="J34" s="67">
        <f t="shared" si="10"/>
        <v>1.3266054921245996E-12</v>
      </c>
      <c r="K34" s="67">
        <f t="shared" si="10"/>
        <v>2.7755575615628914E-13</v>
      </c>
      <c r="L34" s="21">
        <f t="shared" si="10"/>
        <v>5.7953641885433171E-14</v>
      </c>
    </row>
    <row r="35" spans="1:12" ht="15">
      <c r="A35" s="17"/>
      <c r="B35" s="14"/>
      <c r="C35" s="14" t="s">
        <v>55</v>
      </c>
      <c r="D35" s="68">
        <f t="shared" ref="D35:L35" si="11">ABS((D33-C33)/D33)*100</f>
        <v>2.51818053316906E-6</v>
      </c>
      <c r="E35" s="38">
        <f t="shared" si="11"/>
        <v>5.269179784504953E-7</v>
      </c>
      <c r="F35" s="38">
        <f t="shared" si="11"/>
        <v>1.102535570802752E-7</v>
      </c>
      <c r="G35" s="38">
        <f t="shared" si="11"/>
        <v>2.3069542865550276E-8</v>
      </c>
      <c r="H35" s="38">
        <f t="shared" si="11"/>
        <v>4.8270891051326394E-9</v>
      </c>
      <c r="I35" s="38">
        <f t="shared" si="11"/>
        <v>1.0100305856378006E-9</v>
      </c>
      <c r="J35" s="38">
        <f t="shared" si="11"/>
        <v>2.1133758502041033E-10</v>
      </c>
      <c r="K35" s="38">
        <f t="shared" si="11"/>
        <v>4.4216584028018426E-11</v>
      </c>
      <c r="L35" s="61">
        <f t="shared" si="11"/>
        <v>9.2324227450493946E-12</v>
      </c>
    </row>
  </sheetData>
  <phoneticPr fontId="6" type="noConversion"/>
  <conditionalFormatting sqref="D16:L16">
    <cfRule type="cellIs" dxfId="19" priority="4" operator="lessThan">
      <formula>$A$16</formula>
    </cfRule>
  </conditionalFormatting>
  <conditionalFormatting sqref="D17:L17">
    <cfRule type="cellIs" dxfId="18" priority="3" operator="lessThan">
      <formula>$A$17</formula>
    </cfRule>
  </conditionalFormatting>
  <conditionalFormatting sqref="D34:L34">
    <cfRule type="cellIs" dxfId="17" priority="2" operator="lessThan">
      <formula>$A$34</formula>
    </cfRule>
  </conditionalFormatting>
  <conditionalFormatting sqref="D35:L35">
    <cfRule type="cellIs" dxfId="16" priority="1" operator="lessThan">
      <formula>$A$35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3AA75-A1BB-4E83-9012-49C1E626B238}">
  <dimension ref="A1:L41"/>
  <sheetViews>
    <sheetView topLeftCell="A22" zoomScaleNormal="80" zoomScaleSheetLayoutView="100" workbookViewId="0">
      <selection activeCell="A28" sqref="A28:G41"/>
    </sheetView>
  </sheetViews>
  <sheetFormatPr defaultColWidth="8.85546875" defaultRowHeight="14.45"/>
  <cols>
    <col min="1" max="1" width="13.7109375" bestFit="1" customWidth="1"/>
    <col min="2" max="2" width="8.85546875" bestFit="1" customWidth="1"/>
    <col min="3" max="3" width="12.140625" customWidth="1"/>
    <col min="4" max="12" width="11.7109375" bestFit="1" customWidth="1"/>
  </cols>
  <sheetData>
    <row r="1" spans="1:12" ht="15.6">
      <c r="A1" s="1" t="s">
        <v>31</v>
      </c>
      <c r="B1" s="50"/>
      <c r="C1" s="50"/>
      <c r="D1" s="4" t="s">
        <v>1</v>
      </c>
      <c r="E1" s="50"/>
      <c r="F1" s="50"/>
      <c r="G1" s="50"/>
      <c r="H1" s="50"/>
      <c r="I1" s="50"/>
      <c r="J1" s="50"/>
      <c r="K1" s="50"/>
      <c r="L1" s="50"/>
    </row>
    <row r="2" spans="1:12" ht="15.6">
      <c r="A2" s="50"/>
      <c r="B2" s="50"/>
      <c r="C2" s="25">
        <v>-2</v>
      </c>
      <c r="D2" s="25">
        <v>2</v>
      </c>
      <c r="E2" s="25">
        <v>0</v>
      </c>
      <c r="F2" s="25">
        <v>1</v>
      </c>
      <c r="G2" s="50"/>
      <c r="H2" s="50"/>
      <c r="I2" s="50"/>
      <c r="J2" s="50"/>
      <c r="K2" s="50"/>
      <c r="L2" s="50"/>
    </row>
    <row r="3" spans="1:12" ht="15.6">
      <c r="A3" s="50"/>
      <c r="B3" s="50"/>
      <c r="C3" s="25">
        <v>0</v>
      </c>
      <c r="D3" s="25">
        <v>-6</v>
      </c>
      <c r="E3" s="25">
        <v>1</v>
      </c>
      <c r="F3" s="25">
        <v>-1</v>
      </c>
      <c r="G3" s="50"/>
      <c r="H3" s="50"/>
      <c r="I3" s="50"/>
      <c r="J3" s="50"/>
      <c r="K3" s="50"/>
      <c r="L3" s="50"/>
    </row>
    <row r="4" spans="1:12" ht="15.6">
      <c r="A4" s="50"/>
      <c r="B4" s="50"/>
      <c r="C4" s="25">
        <v>-1</v>
      </c>
      <c r="D4" s="25">
        <v>3</v>
      </c>
      <c r="E4" s="25">
        <v>2</v>
      </c>
      <c r="F4" s="25">
        <v>0</v>
      </c>
      <c r="G4" s="50"/>
      <c r="H4" s="50"/>
      <c r="I4" s="50"/>
      <c r="J4" s="50"/>
      <c r="K4" s="50"/>
      <c r="L4" s="50"/>
    </row>
    <row r="5" spans="1:12" ht="15.6">
      <c r="A5" s="50"/>
      <c r="B5" s="50"/>
      <c r="C5" s="25">
        <v>0</v>
      </c>
      <c r="D5" s="25">
        <v>-1</v>
      </c>
      <c r="E5" s="25">
        <v>-1</v>
      </c>
      <c r="F5" s="25">
        <v>1</v>
      </c>
      <c r="G5" s="50"/>
      <c r="H5" s="50"/>
      <c r="I5" s="50"/>
      <c r="J5" s="50"/>
      <c r="K5" s="50"/>
      <c r="L5" s="50"/>
    </row>
    <row r="6" spans="1:12" ht="15.6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</row>
    <row r="7" spans="1:12" ht="18.600000000000001">
      <c r="A7" s="50"/>
      <c r="B7" s="50"/>
      <c r="C7" s="4" t="s">
        <v>32</v>
      </c>
      <c r="D7" s="51" t="s">
        <v>33</v>
      </c>
      <c r="E7" s="51" t="s">
        <v>34</v>
      </c>
      <c r="F7" s="51" t="s">
        <v>35</v>
      </c>
      <c r="G7" s="51" t="s">
        <v>36</v>
      </c>
      <c r="H7" s="51" t="s">
        <v>37</v>
      </c>
      <c r="I7" s="51" t="s">
        <v>38</v>
      </c>
      <c r="J7" s="51" t="s">
        <v>39</v>
      </c>
      <c r="K7" s="51" t="s">
        <v>40</v>
      </c>
      <c r="L7" s="51" t="s">
        <v>41</v>
      </c>
    </row>
    <row r="8" spans="1:12" ht="15.6">
      <c r="A8" s="50"/>
      <c r="B8" s="50"/>
      <c r="C8" s="49">
        <v>-0.46332293934582364</v>
      </c>
      <c r="D8" s="44">
        <f t="shared" ref="D8:L8" si="0">C14/C$18</f>
        <v>-0.46333488890449553</v>
      </c>
      <c r="E8" s="44">
        <f t="shared" si="0"/>
        <v>-0.46333715175354534</v>
      </c>
      <c r="F8" s="44">
        <f t="shared" si="0"/>
        <v>-0.46333825460302425</v>
      </c>
      <c r="G8" s="44">
        <f t="shared" si="0"/>
        <v>-0.46333837753527773</v>
      </c>
      <c r="H8" s="44">
        <f t="shared" si="0"/>
        <v>-0.46333849025892593</v>
      </c>
      <c r="I8" s="44">
        <f t="shared" si="0"/>
        <v>-0.46333849021071882</v>
      </c>
      <c r="J8" s="44">
        <f t="shared" si="0"/>
        <v>-0.46333850333896121</v>
      </c>
      <c r="K8" s="44">
        <f t="shared" si="0"/>
        <v>-0.46333850166108659</v>
      </c>
      <c r="L8" s="44">
        <f t="shared" si="0"/>
        <v>-0.46333850340306371</v>
      </c>
    </row>
    <row r="9" spans="1:12" ht="15.6">
      <c r="A9" s="50"/>
      <c r="B9" s="50"/>
      <c r="C9" s="63">
        <v>1</v>
      </c>
      <c r="D9" s="69">
        <f t="shared" ref="D9:L9" si="1">C15/C$18</f>
        <v>1</v>
      </c>
      <c r="E9" s="69">
        <f t="shared" si="1"/>
        <v>1</v>
      </c>
      <c r="F9" s="69">
        <f t="shared" si="1"/>
        <v>1</v>
      </c>
      <c r="G9" s="69">
        <f t="shared" si="1"/>
        <v>1</v>
      </c>
      <c r="H9" s="69">
        <f t="shared" si="1"/>
        <v>1</v>
      </c>
      <c r="I9" s="69">
        <f t="shared" si="1"/>
        <v>1</v>
      </c>
      <c r="J9" s="69">
        <f t="shared" si="1"/>
        <v>1</v>
      </c>
      <c r="K9" s="69">
        <f t="shared" si="1"/>
        <v>1</v>
      </c>
      <c r="L9" s="69">
        <f t="shared" si="1"/>
        <v>1</v>
      </c>
    </row>
    <row r="10" spans="1:12" ht="15.6">
      <c r="A10" s="50"/>
      <c r="B10" s="50"/>
      <c r="C10" s="49">
        <v>-0.40801142852480138</v>
      </c>
      <c r="D10" s="44">
        <f t="shared" ref="D10:L10" si="2">C16/C$18</f>
        <v>-0.40809089779058894</v>
      </c>
      <c r="E10" s="44">
        <f t="shared" si="2"/>
        <v>-0.40806000476460991</v>
      </c>
      <c r="F10" s="44">
        <f t="shared" si="2"/>
        <v>-0.40807319093593708</v>
      </c>
      <c r="G10" s="44">
        <f t="shared" si="2"/>
        <v>-0.40806791505569351</v>
      </c>
      <c r="H10" s="44">
        <f t="shared" si="2"/>
        <v>-0.40807012208791482</v>
      </c>
      <c r="I10" s="44">
        <f t="shared" si="2"/>
        <v>-0.40806922679631547</v>
      </c>
      <c r="J10" s="44">
        <f t="shared" si="2"/>
        <v>-0.40806959775702445</v>
      </c>
      <c r="K10" s="44">
        <f t="shared" si="2"/>
        <v>-0.4080694462840524</v>
      </c>
      <c r="L10" s="44">
        <f t="shared" si="2"/>
        <v>-0.40806950876184805</v>
      </c>
    </row>
    <row r="11" spans="1:12" ht="15.6">
      <c r="A11" s="50"/>
      <c r="B11" s="50"/>
      <c r="C11" s="49">
        <v>7.9023927149016265E-2</v>
      </c>
      <c r="D11" s="44">
        <f t="shared" ref="D11:L11" si="3">C17/C$18</f>
        <v>7.9075358187700215E-2</v>
      </c>
      <c r="E11" s="44">
        <f t="shared" si="3"/>
        <v>7.905358422856909E-2</v>
      </c>
      <c r="F11" s="44">
        <f t="shared" si="3"/>
        <v>7.9062344750220823E-2</v>
      </c>
      <c r="G11" s="44">
        <f t="shared" si="3"/>
        <v>7.9058694163632176E-2</v>
      </c>
      <c r="H11" s="44">
        <f t="shared" si="3"/>
        <v>7.9060178978439047E-2</v>
      </c>
      <c r="I11" s="44">
        <f t="shared" si="3"/>
        <v>7.9059564881769143E-2</v>
      </c>
      <c r="J11" s="44">
        <f t="shared" si="3"/>
        <v>7.9059815951217818E-2</v>
      </c>
      <c r="K11" s="44">
        <f t="shared" si="3"/>
        <v>7.9059712483612252E-2</v>
      </c>
      <c r="L11" s="44">
        <f t="shared" si="3"/>
        <v>7.905975489006041E-2</v>
      </c>
    </row>
    <row r="12" spans="1:12" ht="15.6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2" ht="18.600000000000001">
      <c r="A13" s="50"/>
      <c r="B13" s="50"/>
      <c r="C13" s="52" t="s">
        <v>42</v>
      </c>
      <c r="D13" s="52" t="s">
        <v>43</v>
      </c>
      <c r="E13" s="52" t="s">
        <v>44</v>
      </c>
      <c r="F13" s="52" t="s">
        <v>45</v>
      </c>
      <c r="G13" s="52" t="s">
        <v>46</v>
      </c>
      <c r="H13" s="52" t="s">
        <v>47</v>
      </c>
      <c r="I13" s="52" t="s">
        <v>48</v>
      </c>
      <c r="J13" s="52" t="s">
        <v>49</v>
      </c>
      <c r="K13" s="52" t="s">
        <v>50</v>
      </c>
      <c r="L13" s="52" t="s">
        <v>51</v>
      </c>
    </row>
    <row r="14" spans="1:12" ht="15.6">
      <c r="A14" s="50"/>
      <c r="B14" s="50"/>
      <c r="C14" s="9" cm="1">
        <f t="array" ref="C14:C17">MMULT($C$2:$F$5,C8:C11)</f>
        <v>3.0056698058406632</v>
      </c>
      <c r="D14" s="9" cm="1">
        <f t="array" ref="D14:D17">MMULT($C$2:$F$5,D8:D11)</f>
        <v>3.0057451359966914</v>
      </c>
      <c r="E14" s="9" cm="1">
        <f t="array" ref="E14:E17">MMULT($C$2:$F$5,E8:E11)</f>
        <v>3.0057278877356599</v>
      </c>
      <c r="F14" s="9" cm="1">
        <f t="array" ref="F14:F17">MMULT($C$2:$F$5,F8:F11)</f>
        <v>3.0057388539562693</v>
      </c>
      <c r="G14" s="9" cm="1">
        <f t="array" ref="G14:G17">MMULT($C$2:$F$5,G8:G11)</f>
        <v>3.0057354492341877</v>
      </c>
      <c r="H14" s="9" cm="1">
        <f t="array" ref="H14:H17">MMULT($C$2:$F$5,H8:H11)</f>
        <v>3.0057371594962907</v>
      </c>
      <c r="I14" s="9" cm="1">
        <f t="array" ref="I14:I17">MMULT($C$2:$F$5,I8:I11)</f>
        <v>3.0057365453032072</v>
      </c>
      <c r="J14" s="9" cm="1">
        <f t="array" ref="J14:J17">MMULT($C$2:$F$5,J8:J11)</f>
        <v>3.0057368226291401</v>
      </c>
      <c r="K14" s="9" cm="1">
        <f t="array" ref="K14:K17">MMULT($C$2:$F$5,K8:K11)</f>
        <v>3.0057367158057855</v>
      </c>
      <c r="L14" s="9" cm="1">
        <f t="array" ref="L14:L17">MMULT($C$2:$F$5,L8:L11)</f>
        <v>3.0057367616961876</v>
      </c>
    </row>
    <row r="15" spans="1:12" ht="15.6">
      <c r="A15" s="50"/>
      <c r="B15" s="50"/>
      <c r="C15" s="9">
        <v>-6.4870353556738181</v>
      </c>
      <c r="D15" s="9">
        <v>-6.4871662559782894</v>
      </c>
      <c r="E15" s="9">
        <v>-6.4871135889931786</v>
      </c>
      <c r="F15" s="9">
        <v>-6.487135535686158</v>
      </c>
      <c r="G15" s="9">
        <v>-6.4871266092193256</v>
      </c>
      <c r="H15" s="9">
        <v>-6.4871303010663546</v>
      </c>
      <c r="I15" s="9">
        <v>-6.4871287916780842</v>
      </c>
      <c r="J15" s="9">
        <v>-6.4871294137082423</v>
      </c>
      <c r="K15" s="9">
        <v>-6.4871291587676652</v>
      </c>
      <c r="L15" s="9">
        <v>-6.4871292636519087</v>
      </c>
    </row>
    <row r="16" spans="1:12" ht="15.6">
      <c r="A16" s="50"/>
      <c r="B16" s="50"/>
      <c r="C16" s="9">
        <v>2.6473000822962209</v>
      </c>
      <c r="D16" s="9">
        <v>2.6471530933233174</v>
      </c>
      <c r="E16" s="9">
        <v>2.6472171422243256</v>
      </c>
      <c r="F16" s="9">
        <v>2.6471918727311499</v>
      </c>
      <c r="G16" s="9">
        <v>2.6472025474238912</v>
      </c>
      <c r="H16" s="9">
        <v>2.6471982460830965</v>
      </c>
      <c r="I16" s="9">
        <v>2.6472000366180879</v>
      </c>
      <c r="J16" s="9">
        <v>2.6471993078249119</v>
      </c>
      <c r="K16" s="9">
        <v>2.6471996090929819</v>
      </c>
      <c r="L16" s="9">
        <v>2.6471994858793675</v>
      </c>
    </row>
    <row r="17" spans="1:12" ht="15.6">
      <c r="A17" s="50"/>
      <c r="B17" s="50"/>
      <c r="C17" s="9">
        <v>-0.51296464432618238</v>
      </c>
      <c r="D17" s="9">
        <v>-0.51283374402171089</v>
      </c>
      <c r="E17" s="9">
        <v>-0.51288641100682097</v>
      </c>
      <c r="F17" s="9">
        <v>-0.51286446431384214</v>
      </c>
      <c r="G17" s="9">
        <v>-0.51287339078067429</v>
      </c>
      <c r="H17" s="9">
        <v>-0.51286969893364609</v>
      </c>
      <c r="I17" s="9">
        <v>-0.51287120832191535</v>
      </c>
      <c r="J17" s="9">
        <v>-0.51287058629175775</v>
      </c>
      <c r="K17" s="9">
        <v>-0.51287084123233539</v>
      </c>
      <c r="L17" s="9">
        <v>-0.51287073634809155</v>
      </c>
    </row>
    <row r="18" spans="1:12" ht="15.6">
      <c r="A18" s="11" t="s">
        <v>52</v>
      </c>
      <c r="B18" s="4" t="s">
        <v>3</v>
      </c>
      <c r="C18" s="53">
        <f>IF(MAX(C14:C17)&gt;ABS(MIN(C14:C17)),MAX(C14:C17),MIN(C14:C17))</f>
        <v>-6.4870353556738181</v>
      </c>
      <c r="D18" s="53">
        <f t="shared" ref="D18:L18" si="4">IF(MAX(D14:D17)&gt;ABS(MIN(D14:D17)),MAX(D14:D17),MIN(D14:D17))</f>
        <v>-6.4871662559782894</v>
      </c>
      <c r="E18" s="53">
        <f t="shared" si="4"/>
        <v>-6.4871135889931786</v>
      </c>
      <c r="F18" s="53">
        <f t="shared" si="4"/>
        <v>-6.487135535686158</v>
      </c>
      <c r="G18" s="53">
        <f t="shared" si="4"/>
        <v>-6.4871266092193256</v>
      </c>
      <c r="H18" s="53">
        <f t="shared" si="4"/>
        <v>-6.4871303010663546</v>
      </c>
      <c r="I18" s="53">
        <f t="shared" si="4"/>
        <v>-6.4871287916780842</v>
      </c>
      <c r="J18" s="53">
        <f t="shared" si="4"/>
        <v>-6.4871294137082423</v>
      </c>
      <c r="K18" s="53">
        <f t="shared" si="4"/>
        <v>-6.4871291587676652</v>
      </c>
      <c r="L18" s="53">
        <f t="shared" si="4"/>
        <v>-6.4871292636519087</v>
      </c>
    </row>
    <row r="19" spans="1:12" ht="15">
      <c r="A19" s="16"/>
      <c r="B19" s="12" t="s">
        <v>53</v>
      </c>
      <c r="C19" s="12" t="s">
        <v>54</v>
      </c>
      <c r="D19" s="21">
        <f t="shared" ref="D19:L19" si="5">ABS(D18-C18)</f>
        <v>1.309003044713819E-4</v>
      </c>
      <c r="E19" s="21">
        <f t="shared" si="5"/>
        <v>5.2666985110860765E-5</v>
      </c>
      <c r="F19" s="21">
        <f t="shared" si="5"/>
        <v>2.1946692979391003E-5</v>
      </c>
      <c r="G19" s="21">
        <f t="shared" si="5"/>
        <v>8.9264668323707497E-6</v>
      </c>
      <c r="H19" s="21">
        <f t="shared" si="5"/>
        <v>3.6918470289748484E-6</v>
      </c>
      <c r="I19" s="21">
        <f t="shared" si="5"/>
        <v>1.5093882703709482E-6</v>
      </c>
      <c r="J19" s="21">
        <f t="shared" si="5"/>
        <v>6.2203015804840334E-7</v>
      </c>
      <c r="K19" s="21">
        <f t="shared" si="5"/>
        <v>2.5494057709352091E-7</v>
      </c>
      <c r="L19" s="21">
        <f t="shared" si="5"/>
        <v>1.0488424351251524E-7</v>
      </c>
    </row>
    <row r="20" spans="1:12" ht="15">
      <c r="A20" s="17">
        <v>0.02</v>
      </c>
      <c r="B20" s="14"/>
      <c r="C20" s="14" t="s">
        <v>55</v>
      </c>
      <c r="D20" s="61">
        <f t="shared" ref="D20:L20" si="6">ABS((D18-C18)/D18)*100</f>
        <v>2.0178348959493664E-3</v>
      </c>
      <c r="E20" s="61">
        <f t="shared" si="6"/>
        <v>8.1187086349500555E-4</v>
      </c>
      <c r="F20" s="61">
        <f t="shared" si="6"/>
        <v>3.38310998107883E-4</v>
      </c>
      <c r="G20" s="61">
        <f t="shared" si="6"/>
        <v>1.3760278425404402E-4</v>
      </c>
      <c r="H20" s="61">
        <f t="shared" si="6"/>
        <v>5.6910326409937886E-5</v>
      </c>
      <c r="I20" s="61">
        <f t="shared" si="6"/>
        <v>2.3267431846077177E-5</v>
      </c>
      <c r="J20" s="61">
        <f t="shared" si="6"/>
        <v>9.5886811928549431E-6</v>
      </c>
      <c r="K20" s="61">
        <f t="shared" si="6"/>
        <v>3.9299445232866454E-6</v>
      </c>
      <c r="L20" s="61">
        <f t="shared" si="6"/>
        <v>1.6168052038086101E-6</v>
      </c>
    </row>
    <row r="21" spans="1:12" ht="15.6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</row>
    <row r="22" spans="1:12" ht="18">
      <c r="A22" s="50"/>
      <c r="B22" s="50"/>
      <c r="C22" s="50"/>
      <c r="D22" s="45" t="s">
        <v>56</v>
      </c>
      <c r="E22" s="50"/>
      <c r="F22" s="50"/>
      <c r="G22" s="50"/>
      <c r="H22" s="50"/>
      <c r="I22" s="50"/>
      <c r="J22" s="50"/>
      <c r="K22" s="50"/>
      <c r="L22" s="50"/>
    </row>
    <row r="23" spans="1:12" ht="15.6">
      <c r="A23" s="50"/>
      <c r="B23" s="50"/>
      <c r="C23" s="102" cm="1">
        <f t="array" ref="C23:F26">MINVERSE(C2:F5)</f>
        <v>-0.66666666666666663</v>
      </c>
      <c r="D23" s="103">
        <v>-0.14285714285714288</v>
      </c>
      <c r="E23" s="102">
        <v>0.33333333333333326</v>
      </c>
      <c r="F23" s="103">
        <v>0.52380952380952372</v>
      </c>
      <c r="G23" s="50"/>
      <c r="H23" s="50"/>
      <c r="I23" s="50"/>
      <c r="J23" s="50"/>
      <c r="K23" s="50"/>
      <c r="L23" s="50"/>
    </row>
    <row r="24" spans="1:12" ht="15.6">
      <c r="A24" s="50"/>
      <c r="B24" s="50"/>
      <c r="C24" s="104">
        <v>0</v>
      </c>
      <c r="D24" s="103">
        <v>-0.14285714285714288</v>
      </c>
      <c r="E24" s="104">
        <v>0</v>
      </c>
      <c r="F24" s="103">
        <v>-0.14285714285714282</v>
      </c>
      <c r="G24" s="50"/>
      <c r="H24" s="50"/>
      <c r="I24" s="50"/>
      <c r="J24" s="50"/>
      <c r="K24" s="50"/>
      <c r="L24" s="50"/>
    </row>
    <row r="25" spans="1:12" ht="15.6">
      <c r="A25" s="50"/>
      <c r="B25" s="50"/>
      <c r="C25" s="102">
        <v>-0.33333333333333326</v>
      </c>
      <c r="D25" s="103">
        <v>0.14285714285714285</v>
      </c>
      <c r="E25" s="102">
        <v>0.66666666666666652</v>
      </c>
      <c r="F25" s="103">
        <v>0.476190476190476</v>
      </c>
      <c r="G25" s="50"/>
      <c r="H25" s="50"/>
      <c r="I25" s="50"/>
      <c r="J25" s="50"/>
      <c r="K25" s="50"/>
      <c r="L25" s="50"/>
    </row>
    <row r="26" spans="1:12" ht="15.6">
      <c r="A26" s="50"/>
      <c r="B26" s="50"/>
      <c r="C26" s="102">
        <v>-0.33333333333333326</v>
      </c>
      <c r="D26" s="102">
        <v>0</v>
      </c>
      <c r="E26" s="102">
        <v>0.66666666666666652</v>
      </c>
      <c r="F26" s="104">
        <v>1.333333333333333</v>
      </c>
      <c r="G26" s="50"/>
      <c r="H26" s="50"/>
      <c r="I26" s="50"/>
      <c r="J26" s="50"/>
      <c r="K26" s="50"/>
      <c r="L26" s="50"/>
    </row>
    <row r="27" spans="1:12" ht="15.6">
      <c r="A27" s="50"/>
      <c r="B27" s="50"/>
      <c r="C27" s="54"/>
      <c r="D27" s="54"/>
      <c r="E27" s="54"/>
      <c r="F27" s="54"/>
      <c r="G27" s="50"/>
      <c r="H27" s="50"/>
      <c r="I27" s="50"/>
      <c r="J27" s="50"/>
      <c r="K27" s="50"/>
      <c r="L27" s="50"/>
    </row>
    <row r="28" spans="1:12" ht="18.600000000000001">
      <c r="A28" s="50"/>
      <c r="B28" s="50"/>
      <c r="C28" s="4" t="s">
        <v>32</v>
      </c>
      <c r="D28" s="55" t="s">
        <v>33</v>
      </c>
      <c r="E28" s="55" t="s">
        <v>34</v>
      </c>
      <c r="F28" s="55" t="s">
        <v>35</v>
      </c>
      <c r="G28" s="55" t="s">
        <v>36</v>
      </c>
      <c r="H28" s="55" t="s">
        <v>37</v>
      </c>
      <c r="I28" s="55" t="s">
        <v>38</v>
      </c>
      <c r="J28" s="55" t="s">
        <v>39</v>
      </c>
      <c r="K28" s="55" t="s">
        <v>40</v>
      </c>
      <c r="L28" s="55" t="s">
        <v>41</v>
      </c>
    </row>
    <row r="29" spans="1:12" ht="15.6">
      <c r="A29" s="50"/>
      <c r="B29" s="50"/>
      <c r="C29" s="111">
        <v>0.31100961464038335</v>
      </c>
      <c r="D29" s="44">
        <f t="shared" ref="D29:K29" si="7">C35*C$39</f>
        <v>0.31098311549034396</v>
      </c>
      <c r="E29" s="44">
        <f t="shared" si="7"/>
        <v>0.3109926223922726</v>
      </c>
      <c r="F29" s="44">
        <f t="shared" si="7"/>
        <v>0.31098920069133434</v>
      </c>
      <c r="G29" s="44">
        <f t="shared" si="7"/>
        <v>0.31099042949252137</v>
      </c>
      <c r="H29" s="44">
        <f t="shared" si="7"/>
        <v>0.31098998752946216</v>
      </c>
      <c r="I29" s="44">
        <f t="shared" si="7"/>
        <v>0.310990146322563</v>
      </c>
      <c r="J29" s="44">
        <f t="shared" si="7"/>
        <v>0.31099008922813248</v>
      </c>
      <c r="K29" s="44">
        <f t="shared" si="7"/>
        <v>0.31099010974625063</v>
      </c>
      <c r="L29" s="44">
        <f>K35*K$39</f>
        <v>0.31099010237006325</v>
      </c>
    </row>
    <row r="30" spans="1:12" ht="15.6">
      <c r="A30" s="50"/>
      <c r="B30" s="50"/>
      <c r="C30" s="111">
        <v>-8.6257069157031505E-2</v>
      </c>
      <c r="D30" s="44">
        <f t="shared" ref="D30:K30" si="8">C36*C$39</f>
        <v>-8.6258234040209908E-2</v>
      </c>
      <c r="E30" s="44">
        <f t="shared" si="8"/>
        <v>-8.6257831299445253E-2</v>
      </c>
      <c r="F30" s="44">
        <f t="shared" si="8"/>
        <v>-8.6257980023267122E-2</v>
      </c>
      <c r="G30" s="44">
        <f t="shared" si="8"/>
        <v>-8.6257927547335536E-2</v>
      </c>
      <c r="H30" s="44">
        <f t="shared" si="8"/>
        <v>-8.6257946653125625E-2</v>
      </c>
      <c r="I30" s="44">
        <f t="shared" si="8"/>
        <v>-8.6257939846036039E-2</v>
      </c>
      <c r="J30" s="44">
        <f t="shared" si="8"/>
        <v>-8.6257942307790769E-2</v>
      </c>
      <c r="K30" s="44">
        <f t="shared" si="8"/>
        <v>-8.6257941426638604E-2</v>
      </c>
      <c r="L30" s="44">
        <f>K36*K$39</f>
        <v>-8.6257941744285749E-2</v>
      </c>
    </row>
    <row r="31" spans="1:12" ht="15.6">
      <c r="A31" s="50"/>
      <c r="B31" s="50"/>
      <c r="C31" s="111">
        <v>0.42545687378532432</v>
      </c>
      <c r="D31" s="44">
        <f t="shared" ref="D31:K31" si="9">C37*C$39</f>
        <v>0.42545132883720055</v>
      </c>
      <c r="E31" s="44">
        <f t="shared" si="9"/>
        <v>0.42545316898669316</v>
      </c>
      <c r="F31" s="44">
        <f t="shared" si="9"/>
        <v>0.4254524696225046</v>
      </c>
      <c r="G31" s="44">
        <f t="shared" si="9"/>
        <v>0.42545271159948633</v>
      </c>
      <c r="H31" s="44">
        <f t="shared" si="9"/>
        <v>0.42545262228938524</v>
      </c>
      <c r="I31" s="44">
        <f t="shared" si="9"/>
        <v>0.42545265381304681</v>
      </c>
      <c r="J31" s="44">
        <f t="shared" si="9"/>
        <v>0.42545264233856844</v>
      </c>
      <c r="K31" s="44">
        <f t="shared" si="9"/>
        <v>0.42545264642744512</v>
      </c>
      <c r="L31" s="44">
        <f>K37*K$39</f>
        <v>0.42545264494889606</v>
      </c>
    </row>
    <row r="32" spans="1:12" ht="15.6">
      <c r="A32" s="50"/>
      <c r="B32" s="50"/>
      <c r="C32" s="24">
        <v>1</v>
      </c>
      <c r="D32" s="69">
        <f t="shared" ref="D32:K32" si="10">C38*C$39</f>
        <v>1</v>
      </c>
      <c r="E32" s="69">
        <f t="shared" si="10"/>
        <v>1</v>
      </c>
      <c r="F32" s="69">
        <f t="shared" si="10"/>
        <v>1</v>
      </c>
      <c r="G32" s="69">
        <f t="shared" si="10"/>
        <v>1</v>
      </c>
      <c r="H32" s="69">
        <f t="shared" si="10"/>
        <v>1</v>
      </c>
      <c r="I32" s="69">
        <f t="shared" si="10"/>
        <v>1</v>
      </c>
      <c r="J32" s="69">
        <f t="shared" si="10"/>
        <v>1</v>
      </c>
      <c r="K32" s="69">
        <f t="shared" si="10"/>
        <v>1</v>
      </c>
      <c r="L32" s="69">
        <f>K38*K$39</f>
        <v>1</v>
      </c>
    </row>
    <row r="33" spans="1:12" ht="15.6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</row>
    <row r="34" spans="1:12" ht="18.600000000000001">
      <c r="A34" s="50"/>
      <c r="B34" s="50"/>
      <c r="C34" s="52" t="s">
        <v>57</v>
      </c>
      <c r="D34" s="52" t="s">
        <v>58</v>
      </c>
      <c r="E34" s="52" t="s">
        <v>59</v>
      </c>
      <c r="F34" s="52" t="s">
        <v>60</v>
      </c>
      <c r="G34" s="52" t="s">
        <v>61</v>
      </c>
      <c r="H34" s="52" t="s">
        <v>62</v>
      </c>
      <c r="I34" s="52" t="s">
        <v>63</v>
      </c>
      <c r="J34" s="52" t="s">
        <v>64</v>
      </c>
      <c r="K34" s="52" t="s">
        <v>65</v>
      </c>
      <c r="L34" s="52" t="s">
        <v>66</v>
      </c>
    </row>
    <row r="35" spans="1:12" ht="15.6">
      <c r="A35" s="50"/>
      <c r="B35" s="50"/>
      <c r="C35" s="9" cm="1">
        <f t="array" ref="C35:C38">MMULT($C$23:$F$26,C29:C32)</f>
        <v>0.47061117709538075</v>
      </c>
      <c r="D35" s="9" cm="1">
        <f t="array" ref="D35:D38">MMULT($C$23:$F$26,D29:D32)</f>
        <v>0.47062716129124837</v>
      </c>
      <c r="E35" s="9" cm="1">
        <f t="array" ref="E35:E38">MMULT($C$23:$F$26,E29:E32)</f>
        <v>0.47062137920539859</v>
      </c>
      <c r="F35" s="9" cm="1">
        <f t="array" ref="F35:F38">MMULT($C$23:$F$26,F29:F32)</f>
        <v>0.47062344846422144</v>
      </c>
      <c r="G35" s="9" cm="1">
        <f t="array" ref="G35:G38">MMULT($C$23:$F$26,G29:G32)</f>
        <v>0.47062270242586235</v>
      </c>
      <c r="H35" s="9" cm="1">
        <f t="array" ref="H35:H38">MMULT($C$23:$F$26,H29:H32)</f>
        <v>0.47062297002726672</v>
      </c>
      <c r="I35" s="9" cm="1">
        <f t="array" ref="I35:I38">MMULT($C$23:$F$26,I29:I32)</f>
        <v>0.47062287370064537</v>
      </c>
      <c r="J35" s="9" cm="1">
        <f t="array" ref="J35:J38">MMULT($C$23:$F$26,J29:J32)</f>
        <v>0.47062290829045217</v>
      </c>
      <c r="K35" s="9" cm="1">
        <f t="array" ref="K35:K38">MMULT($C$23:$F$26,K29:K32)</f>
        <v>0.47062289584878669</v>
      </c>
      <c r="L35" s="9" cm="1">
        <f t="array" ref="L35:L38">MMULT($C$23:$F$26,L29:L32)</f>
        <v>0.47062290031877341</v>
      </c>
    </row>
    <row r="36" spans="1:12" ht="15.6">
      <c r="A36" s="50"/>
      <c r="B36" s="50"/>
      <c r="C36" s="9">
        <v>-0.13053470440613832</v>
      </c>
      <c r="D36" s="9">
        <v>-0.13053453799425568</v>
      </c>
      <c r="E36" s="9">
        <v>-0.13053459552865065</v>
      </c>
      <c r="F36" s="9">
        <v>-0.13053457428239038</v>
      </c>
      <c r="G36" s="9">
        <v>-0.13053458177895202</v>
      </c>
      <c r="H36" s="9">
        <v>-0.13053457904955346</v>
      </c>
      <c r="I36" s="9">
        <v>-0.13053458002199481</v>
      </c>
      <c r="J36" s="9">
        <v>-0.13053457967031556</v>
      </c>
      <c r="K36" s="9">
        <v>-0.13053457979619446</v>
      </c>
      <c r="L36" s="9">
        <v>-0.13053457975081628</v>
      </c>
    </row>
    <row r="37" spans="1:12" ht="15.6">
      <c r="A37" s="50"/>
      <c r="B37" s="50"/>
      <c r="C37" s="9">
        <v>0.64383608204955989</v>
      </c>
      <c r="D37" s="9">
        <v>0.64384105205560793</v>
      </c>
      <c r="E37" s="9">
        <v>0.64383916738902169</v>
      </c>
      <c r="F37" s="9">
        <v>0.64383982046694843</v>
      </c>
      <c r="G37" s="9">
        <v>0.64383957968110228</v>
      </c>
      <c r="H37" s="9">
        <v>0.64383966473265608</v>
      </c>
      <c r="I37" s="9">
        <v>0.64383963378983822</v>
      </c>
      <c r="J37" s="9">
        <v>0.64383964481998346</v>
      </c>
      <c r="K37" s="9">
        <v>0.64383964083240741</v>
      </c>
      <c r="L37" s="9">
        <v>0.64383964226005908</v>
      </c>
    </row>
    <row r="38" spans="1:12" ht="15.6">
      <c r="A38" s="50"/>
      <c r="B38" s="50"/>
      <c r="C38" s="9">
        <v>1.5133013776434214</v>
      </c>
      <c r="D38" s="9">
        <v>1.513306514061352</v>
      </c>
      <c r="E38" s="9">
        <v>1.5133045718603708</v>
      </c>
      <c r="F38" s="9">
        <v>1.513305246184558</v>
      </c>
      <c r="G38" s="9">
        <v>1.51330499790215</v>
      </c>
      <c r="H38" s="9">
        <v>1.5133050856831025</v>
      </c>
      <c r="I38" s="9">
        <v>1.5133050537678432</v>
      </c>
      <c r="J38" s="9">
        <v>1.5133050651496678</v>
      </c>
      <c r="K38" s="9">
        <v>1.5133050610362129</v>
      </c>
      <c r="L38" s="9">
        <v>1.5133050625092426</v>
      </c>
    </row>
    <row r="39" spans="1:12" ht="15.6" customHeight="1">
      <c r="A39" s="11" t="s">
        <v>52</v>
      </c>
      <c r="B39" s="4" t="s">
        <v>4</v>
      </c>
      <c r="C39" s="53">
        <f t="shared" ref="C39:L39" si="11">1/IF(MAX(C35:C38)&gt;ABS(MIN(C35:C38)),MAX(C35:C38),MIN(C35:C38))</f>
        <v>0.66080690520300944</v>
      </c>
      <c r="D39" s="53">
        <f t="shared" si="11"/>
        <v>0.66080466231275226</v>
      </c>
      <c r="E39" s="53">
        <f t="shared" si="11"/>
        <v>0.66080551040076274</v>
      </c>
      <c r="F39" s="53">
        <f t="shared" si="11"/>
        <v>0.66080521594784924</v>
      </c>
      <c r="G39" s="53">
        <f t="shared" si="11"/>
        <v>0.66080532436374062</v>
      </c>
      <c r="H39" s="53">
        <f t="shared" si="11"/>
        <v>0.66080528603298938</v>
      </c>
      <c r="I39" s="53">
        <f t="shared" si="11"/>
        <v>0.66080529996922255</v>
      </c>
      <c r="J39" s="53">
        <f t="shared" si="11"/>
        <v>0.66080529499919349</v>
      </c>
      <c r="K39" s="53">
        <f t="shared" si="11"/>
        <v>0.66080529679538969</v>
      </c>
      <c r="L39" s="53">
        <f t="shared" si="11"/>
        <v>0.66080529615217121</v>
      </c>
    </row>
    <row r="40" spans="1:12" ht="15">
      <c r="A40" s="16"/>
      <c r="B40" s="12" t="s">
        <v>53</v>
      </c>
      <c r="C40" s="12" t="s">
        <v>54</v>
      </c>
      <c r="D40" s="66">
        <f t="shared" ref="D40:L40" si="12">ABS(D39-C39)</f>
        <v>2.2428902571869358E-6</v>
      </c>
      <c r="E40" s="67">
        <f t="shared" si="12"/>
        <v>8.4808801048552596E-7</v>
      </c>
      <c r="F40" s="67">
        <f t="shared" si="12"/>
        <v>2.9445291349627922E-7</v>
      </c>
      <c r="G40" s="67">
        <f t="shared" si="12"/>
        <v>1.0841589137555729E-7</v>
      </c>
      <c r="H40" s="67">
        <f t="shared" si="12"/>
        <v>3.8330751239712413E-8</v>
      </c>
      <c r="I40" s="67">
        <f t="shared" si="12"/>
        <v>1.3936233167477496E-8</v>
      </c>
      <c r="J40" s="67">
        <f t="shared" si="12"/>
        <v>4.9700290549736792E-9</v>
      </c>
      <c r="K40" s="67">
        <f t="shared" si="12"/>
        <v>1.7961961917833946E-9</v>
      </c>
      <c r="L40" s="21">
        <f t="shared" si="12"/>
        <v>6.4321847847992331E-10</v>
      </c>
    </row>
    <row r="41" spans="1:12" ht="15">
      <c r="A41" s="17">
        <v>0.02</v>
      </c>
      <c r="B41" s="14"/>
      <c r="C41" s="14" t="s">
        <v>55</v>
      </c>
      <c r="D41" s="68">
        <f t="shared" ref="D41:L41" si="13">ABS((D39-C39)/D39)*100</f>
        <v>3.3941804365257311E-4</v>
      </c>
      <c r="E41" s="38">
        <f t="shared" si="13"/>
        <v>1.2834154636077124E-4</v>
      </c>
      <c r="F41" s="38">
        <f t="shared" si="13"/>
        <v>4.4559713874824717E-5</v>
      </c>
      <c r="G41" s="38">
        <f t="shared" si="13"/>
        <v>1.6406631027064747E-5</v>
      </c>
      <c r="H41" s="38">
        <f t="shared" si="13"/>
        <v>5.8006120789110678E-6</v>
      </c>
      <c r="I41" s="38">
        <f t="shared" si="13"/>
        <v>2.1089772082830733E-6</v>
      </c>
      <c r="J41" s="38">
        <f t="shared" si="13"/>
        <v>7.5211701428326853E-7</v>
      </c>
      <c r="K41" s="38">
        <f t="shared" si="13"/>
        <v>2.7181927876397833E-7</v>
      </c>
      <c r="L41" s="61">
        <f t="shared" si="13"/>
        <v>9.7338577978316036E-8</v>
      </c>
    </row>
  </sheetData>
  <conditionalFormatting sqref="D19:L19">
    <cfRule type="cellIs" dxfId="15" priority="4" operator="lessThan">
      <formula>$A$19</formula>
    </cfRule>
  </conditionalFormatting>
  <conditionalFormatting sqref="D20:L20">
    <cfRule type="cellIs" dxfId="14" priority="3" operator="lessThan">
      <formula>$A$20</formula>
    </cfRule>
  </conditionalFormatting>
  <conditionalFormatting sqref="D40:L40">
    <cfRule type="cellIs" dxfId="13" priority="2" operator="lessThan">
      <formula>$A$40</formula>
    </cfRule>
  </conditionalFormatting>
  <conditionalFormatting sqref="D41:L41">
    <cfRule type="cellIs" dxfId="12" priority="1" operator="lessThan">
      <formula>$A$41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9B8C1-2DB5-4B88-B5F8-561223F98D6A}">
  <dimension ref="A1:L29"/>
  <sheetViews>
    <sheetView topLeftCell="A4" workbookViewId="0">
      <selection activeCell="K27" sqref="K27"/>
    </sheetView>
  </sheetViews>
  <sheetFormatPr defaultColWidth="11.42578125" defaultRowHeight="14.45"/>
  <cols>
    <col min="1" max="1" width="13.7109375" bestFit="1" customWidth="1"/>
    <col min="2" max="2" width="11.42578125" bestFit="1" customWidth="1"/>
    <col min="3" max="5" width="13.7109375" bestFit="1" customWidth="1"/>
    <col min="6" max="6" width="13.42578125" bestFit="1" customWidth="1"/>
    <col min="7" max="7" width="13.7109375" bestFit="1" customWidth="1"/>
    <col min="8" max="10" width="13.42578125" bestFit="1" customWidth="1"/>
    <col min="11" max="11" width="12.7109375" bestFit="1" customWidth="1"/>
    <col min="12" max="12" width="13.42578125" bestFit="1" customWidth="1"/>
  </cols>
  <sheetData>
    <row r="1" spans="1:12" ht="15.6">
      <c r="A1" s="1" t="s">
        <v>31</v>
      </c>
      <c r="D1" s="2" t="s">
        <v>1</v>
      </c>
    </row>
    <row r="2" spans="1:12" ht="15.6">
      <c r="C2" s="25">
        <v>4</v>
      </c>
      <c r="D2" s="25">
        <v>3</v>
      </c>
    </row>
    <row r="3" spans="1:12" ht="15.6">
      <c r="C3" s="25">
        <v>6</v>
      </c>
      <c r="D3" s="25">
        <v>-3</v>
      </c>
    </row>
    <row r="5" spans="1:12" ht="18.600000000000001">
      <c r="C5" s="4" t="s">
        <v>32</v>
      </c>
      <c r="D5" s="51" t="s">
        <v>33</v>
      </c>
      <c r="E5" s="51" t="s">
        <v>34</v>
      </c>
      <c r="F5" s="51" t="s">
        <v>35</v>
      </c>
      <c r="G5" s="51" t="s">
        <v>36</v>
      </c>
      <c r="H5" s="51" t="s">
        <v>37</v>
      </c>
      <c r="I5" s="51" t="s">
        <v>38</v>
      </c>
      <c r="J5" s="51" t="s">
        <v>39</v>
      </c>
      <c r="K5" s="51" t="s">
        <v>40</v>
      </c>
      <c r="L5" s="51" t="s">
        <v>41</v>
      </c>
    </row>
    <row r="6" spans="1:12" ht="15.6">
      <c r="C6" s="63">
        <v>1</v>
      </c>
      <c r="D6" s="69">
        <f t="shared" ref="D6:L6" si="0">C10/C12</f>
        <v>1</v>
      </c>
      <c r="E6" s="69">
        <f t="shared" si="0"/>
        <v>1</v>
      </c>
      <c r="F6" s="69">
        <f t="shared" si="0"/>
        <v>1</v>
      </c>
      <c r="G6" s="69">
        <f t="shared" si="0"/>
        <v>1</v>
      </c>
      <c r="H6" s="69">
        <f t="shared" si="0"/>
        <v>1</v>
      </c>
      <c r="I6" s="69">
        <f t="shared" si="0"/>
        <v>1</v>
      </c>
      <c r="J6" s="69">
        <f t="shared" si="0"/>
        <v>1</v>
      </c>
      <c r="K6" s="69">
        <f t="shared" si="0"/>
        <v>1</v>
      </c>
      <c r="L6" s="69">
        <f t="shared" si="0"/>
        <v>1</v>
      </c>
    </row>
    <row r="7" spans="1:12" ht="15.6">
      <c r="C7" s="70">
        <v>0.66666615984034361</v>
      </c>
      <c r="D7" s="44">
        <f t="shared" ref="D7:L7" si="1">C11/C12</f>
        <v>0.66666708902204297</v>
      </c>
      <c r="E7" s="44">
        <f t="shared" si="1"/>
        <v>0.66666631470392745</v>
      </c>
      <c r="F7" s="44">
        <f t="shared" si="1"/>
        <v>0.66666695996900094</v>
      </c>
      <c r="G7" s="44">
        <f t="shared" si="1"/>
        <v>0.6666664222480907</v>
      </c>
      <c r="H7" s="44">
        <f t="shared" si="1"/>
        <v>0.66666687034883831</v>
      </c>
      <c r="I7" s="44">
        <f t="shared" si="1"/>
        <v>0.66666649693154101</v>
      </c>
      <c r="J7" s="44">
        <f t="shared" si="1"/>
        <v>0.66666680811261658</v>
      </c>
      <c r="K7" s="44">
        <f t="shared" si="1"/>
        <v>0.66666654879505005</v>
      </c>
      <c r="L7" s="44">
        <f t="shared" si="1"/>
        <v>0.66666676489301946</v>
      </c>
    </row>
    <row r="9" spans="1:12" ht="18.600000000000001">
      <c r="C9" s="52" t="s">
        <v>42</v>
      </c>
      <c r="D9" s="52" t="s">
        <v>43</v>
      </c>
      <c r="E9" s="52" t="s">
        <v>44</v>
      </c>
      <c r="F9" s="52" t="s">
        <v>45</v>
      </c>
      <c r="G9" s="52" t="s">
        <v>46</v>
      </c>
      <c r="H9" s="52" t="s">
        <v>47</v>
      </c>
      <c r="I9" s="52" t="s">
        <v>48</v>
      </c>
      <c r="J9" s="52" t="s">
        <v>49</v>
      </c>
      <c r="K9" s="52" t="s">
        <v>50</v>
      </c>
      <c r="L9" s="52" t="s">
        <v>51</v>
      </c>
    </row>
    <row r="10" spans="1:12" ht="15">
      <c r="C10" s="57" cm="1">
        <f t="array" ref="C10:C11">MMULT($C$2:$D$3,C6:C7)</f>
        <v>5.9999984795210306</v>
      </c>
      <c r="D10" s="57" cm="1">
        <f t="array" ref="D10:D11">MMULT($C$2:$D$3,D6:D7)</f>
        <v>6.0000012670661285</v>
      </c>
      <c r="E10" s="57" cm="1">
        <f t="array" ref="E10:E11">MMULT($C$2:$D$3,E6:E7)</f>
        <v>5.9999989441117823</v>
      </c>
      <c r="F10" s="57" cm="1">
        <f t="array" ref="F10:F11">MMULT($C$2:$D$3,F6:F7)</f>
        <v>6.0000008799070024</v>
      </c>
      <c r="G10" s="57" cm="1">
        <f t="array" ref="G10:G11">MMULT($C$2:$D$3,G6:G7)</f>
        <v>5.9999992667442719</v>
      </c>
      <c r="H10" s="57" cm="1">
        <f t="array" ref="H10:H11">MMULT($C$2:$D$3,H6:H7)</f>
        <v>6.0000006110465147</v>
      </c>
      <c r="I10" s="57" cm="1">
        <f t="array" ref="I10:I11">MMULT($C$2:$D$3,I6:I7)</f>
        <v>5.9999994907946235</v>
      </c>
      <c r="J10" s="57" cm="1">
        <f t="array" ref="J10:J11">MMULT($C$2:$D$3,J6:J7)</f>
        <v>6.0000004243378502</v>
      </c>
      <c r="K10" s="57" cm="1">
        <f t="array" ref="K10:K11">MMULT($C$2:$D$3,K6:K7)</f>
        <v>5.9999996463851506</v>
      </c>
      <c r="L10" s="57" cm="1">
        <f t="array" ref="L10:L11">MMULT($C$2:$D$3,L6:L7)</f>
        <v>6.000000294679058</v>
      </c>
    </row>
    <row r="11" spans="1:12" ht="15">
      <c r="C11" s="57">
        <v>4.0000015204789694</v>
      </c>
      <c r="D11" s="57">
        <v>3.9999987329338711</v>
      </c>
      <c r="E11" s="57">
        <v>4.0000010558882177</v>
      </c>
      <c r="F11" s="57">
        <v>3.9999991200929972</v>
      </c>
      <c r="G11" s="57">
        <v>4.0000007332557281</v>
      </c>
      <c r="H11" s="57">
        <v>3.9999993889534853</v>
      </c>
      <c r="I11" s="57">
        <v>4.0000005092053765</v>
      </c>
      <c r="J11" s="57">
        <v>3.9999995756621503</v>
      </c>
      <c r="K11" s="57">
        <v>4.0000003536148494</v>
      </c>
      <c r="L11" s="57">
        <v>3.9999997053209415</v>
      </c>
    </row>
    <row r="12" spans="1:12" ht="15.6">
      <c r="A12" s="11" t="s">
        <v>52</v>
      </c>
      <c r="B12" s="4" t="s">
        <v>3</v>
      </c>
      <c r="C12" s="65">
        <f t="shared" ref="C12:L12" si="2">IF(MAX(C10:C11)&gt;ABS(MIN(C10:C11)),MAX(C10:C11),MIN(C10:C11))</f>
        <v>5.9999984795210306</v>
      </c>
      <c r="D12" s="65">
        <f t="shared" si="2"/>
        <v>6.0000012670661285</v>
      </c>
      <c r="E12" s="65">
        <f t="shared" si="2"/>
        <v>5.9999989441117823</v>
      </c>
      <c r="F12" s="65">
        <f t="shared" si="2"/>
        <v>6.0000008799070024</v>
      </c>
      <c r="G12" s="65">
        <f t="shared" si="2"/>
        <v>5.9999992667442719</v>
      </c>
      <c r="H12" s="65">
        <f t="shared" si="2"/>
        <v>6.0000006110465147</v>
      </c>
      <c r="I12" s="65">
        <f t="shared" si="2"/>
        <v>5.9999994907946235</v>
      </c>
      <c r="J12" s="65">
        <f t="shared" si="2"/>
        <v>6.0000004243378502</v>
      </c>
      <c r="K12" s="65">
        <f t="shared" si="2"/>
        <v>5.9999996463851506</v>
      </c>
      <c r="L12" s="65">
        <f t="shared" si="2"/>
        <v>6.000000294679058</v>
      </c>
    </row>
    <row r="13" spans="1:12" ht="15">
      <c r="A13" s="16"/>
      <c r="B13" s="12" t="s">
        <v>53</v>
      </c>
      <c r="C13" s="12" t="s">
        <v>54</v>
      </c>
      <c r="D13" s="21">
        <f t="shared" ref="D13:L13" si="3">ABS(D12-C12)</f>
        <v>2.7875450978598337E-6</v>
      </c>
      <c r="E13" s="21">
        <f t="shared" si="3"/>
        <v>2.3229543462122137E-6</v>
      </c>
      <c r="F13" s="21">
        <f t="shared" si="3"/>
        <v>1.9357952201204398E-6</v>
      </c>
      <c r="G13" s="21">
        <f t="shared" si="3"/>
        <v>1.6131627305071561E-6</v>
      </c>
      <c r="H13" s="21">
        <f t="shared" si="3"/>
        <v>1.344302242856088E-6</v>
      </c>
      <c r="I13" s="21">
        <f t="shared" si="3"/>
        <v>1.1202518912512005E-6</v>
      </c>
      <c r="J13" s="21">
        <f t="shared" si="3"/>
        <v>9.335432267221222E-7</v>
      </c>
      <c r="K13" s="21">
        <f t="shared" si="3"/>
        <v>7.7795269959324287E-7</v>
      </c>
      <c r="L13" s="21">
        <f t="shared" si="3"/>
        <v>6.4829390744591819E-7</v>
      </c>
    </row>
    <row r="14" spans="1:12" ht="15">
      <c r="A14" s="17">
        <v>0.2</v>
      </c>
      <c r="B14" s="14"/>
      <c r="C14" s="14" t="s">
        <v>55</v>
      </c>
      <c r="D14" s="61">
        <f t="shared" ref="D14:L14" si="4">ABS((D12-C12)/D12)*100</f>
        <v>4.6459075153210481E-5</v>
      </c>
      <c r="E14" s="61">
        <f t="shared" si="4"/>
        <v>3.871591258348288E-5</v>
      </c>
      <c r="F14" s="61">
        <f t="shared" si="4"/>
        <v>3.2263248937230888E-5</v>
      </c>
      <c r="G14" s="61">
        <f t="shared" si="4"/>
        <v>2.6886048794177479E-5</v>
      </c>
      <c r="H14" s="61">
        <f t="shared" si="4"/>
        <v>2.2405035099181699E-5</v>
      </c>
      <c r="I14" s="61">
        <f t="shared" si="4"/>
        <v>1.8670866438737606E-5</v>
      </c>
      <c r="J14" s="61">
        <f t="shared" si="4"/>
        <v>1.5559052678319543E-5</v>
      </c>
      <c r="K14" s="61">
        <f t="shared" si="4"/>
        <v>1.2965879090708613E-5</v>
      </c>
      <c r="L14" s="61">
        <f t="shared" si="4"/>
        <v>1.0804897926769113E-5</v>
      </c>
    </row>
    <row r="16" spans="1:12" ht="18">
      <c r="D16" s="45" t="s">
        <v>56</v>
      </c>
      <c r="H16" t="s">
        <v>67</v>
      </c>
    </row>
    <row r="17" spans="1:12" ht="15.6">
      <c r="C17" s="23" cm="1">
        <f t="array" ref="C17:D18">MINVERSE(C2:D3)</f>
        <v>0.10000000000000002</v>
      </c>
      <c r="D17" s="23">
        <v>9.9999999999999992E-2</v>
      </c>
    </row>
    <row r="18" spans="1:12" ht="15.6">
      <c r="C18" s="23">
        <v>0.2</v>
      </c>
      <c r="D18" s="107">
        <v>-0.13333333333333333</v>
      </c>
    </row>
    <row r="20" spans="1:12" ht="18.600000000000001">
      <c r="C20" s="4" t="s">
        <v>32</v>
      </c>
      <c r="D20" s="55" t="s">
        <v>33</v>
      </c>
      <c r="E20" s="55" t="s">
        <v>34</v>
      </c>
      <c r="F20" s="55" t="s">
        <v>35</v>
      </c>
      <c r="G20" s="55" t="s">
        <v>36</v>
      </c>
      <c r="H20" s="55" t="s">
        <v>37</v>
      </c>
      <c r="I20" s="55" t="s">
        <v>38</v>
      </c>
      <c r="J20" s="55" t="s">
        <v>39</v>
      </c>
      <c r="K20" s="55" t="s">
        <v>40</v>
      </c>
      <c r="L20" s="55" t="s">
        <v>41</v>
      </c>
    </row>
    <row r="21" spans="1:12" ht="15.6">
      <c r="C21" s="49">
        <v>-0.33333330287425417</v>
      </c>
      <c r="D21" s="44">
        <f t="shared" ref="D21:L21" si="5">C25*C27</f>
        <v>-0.33333335871589997</v>
      </c>
      <c r="E21" s="44">
        <f t="shared" si="5"/>
        <v>-0.33333331218119494</v>
      </c>
      <c r="F21" s="44">
        <f t="shared" si="5"/>
        <v>-0.33333335096011563</v>
      </c>
      <c r="G21" s="44">
        <f t="shared" si="5"/>
        <v>-0.33333331864434829</v>
      </c>
      <c r="H21" s="44">
        <f t="shared" si="5"/>
        <v>-0.33333334557415428</v>
      </c>
      <c r="I21" s="44">
        <f t="shared" si="5"/>
        <v>-0.3333333231326493</v>
      </c>
      <c r="J21" s="44">
        <f t="shared" si="5"/>
        <v>-0.3333333418339034</v>
      </c>
      <c r="K21" s="44">
        <f t="shared" si="5"/>
        <v>-0.33333332624952494</v>
      </c>
      <c r="L21" s="44">
        <f t="shared" si="5"/>
        <v>-0.33333333923650693</v>
      </c>
    </row>
    <row r="22" spans="1:12" ht="15.6">
      <c r="C22" s="5">
        <v>1</v>
      </c>
      <c r="D22" s="69">
        <f t="shared" ref="D22:L22" si="6">C26*C27</f>
        <v>1</v>
      </c>
      <c r="E22" s="69">
        <f t="shared" si="6"/>
        <v>0.99999999999999989</v>
      </c>
      <c r="F22" s="69">
        <f t="shared" si="6"/>
        <v>1</v>
      </c>
      <c r="G22" s="69">
        <f t="shared" si="6"/>
        <v>1</v>
      </c>
      <c r="H22" s="69">
        <f t="shared" si="6"/>
        <v>1</v>
      </c>
      <c r="I22" s="69">
        <f t="shared" si="6"/>
        <v>1</v>
      </c>
      <c r="J22" s="69">
        <f t="shared" si="6"/>
        <v>1</v>
      </c>
      <c r="K22" s="69">
        <f t="shared" si="6"/>
        <v>0.99999999999999989</v>
      </c>
      <c r="L22" s="69">
        <f t="shared" si="6"/>
        <v>1</v>
      </c>
    </row>
    <row r="24" spans="1:12" ht="18.600000000000001">
      <c r="C24" s="52" t="s">
        <v>57</v>
      </c>
      <c r="D24" s="52" t="s">
        <v>58</v>
      </c>
      <c r="E24" s="52" t="s">
        <v>59</v>
      </c>
      <c r="F24" s="52" t="s">
        <v>60</v>
      </c>
      <c r="G24" s="52" t="s">
        <v>61</v>
      </c>
      <c r="H24" s="52" t="s">
        <v>62</v>
      </c>
      <c r="I24" s="52" t="s">
        <v>63</v>
      </c>
      <c r="J24" s="52" t="s">
        <v>64</v>
      </c>
      <c r="K24" s="52" t="s">
        <v>65</v>
      </c>
      <c r="L24" s="52" t="s">
        <v>66</v>
      </c>
    </row>
    <row r="25" spans="1:12" ht="15">
      <c r="C25" s="9" cm="1">
        <f t="array" ref="C25:C26">MMULT($C$17:$D$18,C21:C22)</f>
        <v>6.6666669712574567E-2</v>
      </c>
      <c r="D25" s="9" cm="1">
        <f t="array" ref="D25:D26">MMULT($C$17:$D$18,D21:D22)</f>
        <v>6.6666664128409991E-2</v>
      </c>
      <c r="E25" s="9" cm="1">
        <f t="array" ref="E25:E26">MMULT($C$17:$D$18,E21:E22)</f>
        <v>6.6666668781880475E-2</v>
      </c>
      <c r="F25" s="9" cm="1">
        <f t="array" ref="F25:F26">MMULT($C$17:$D$18,F21:F22)</f>
        <v>6.6666664903988426E-2</v>
      </c>
      <c r="G25" s="9" cm="1">
        <f t="array" ref="G25:G26">MMULT($C$17:$D$18,G21:G22)</f>
        <v>6.6666668135565155E-2</v>
      </c>
      <c r="H25" s="9" cm="1">
        <f t="array" ref="H25:H26">MMULT($C$17:$D$18,H21:H22)</f>
        <v>6.6666665442584566E-2</v>
      </c>
      <c r="I25" s="9" cm="1">
        <f t="array" ref="I25:I26">MMULT($C$17:$D$18,I21:I22)</f>
        <v>6.6666667686735057E-2</v>
      </c>
      <c r="J25" s="9" cm="1">
        <f t="array" ref="J25:J26">MMULT($C$17:$D$18,J21:J22)</f>
        <v>6.6666665816609655E-2</v>
      </c>
      <c r="K25" s="9" cm="1">
        <f t="array" ref="K25:K26">MMULT($C$17:$D$18,K21:K22)</f>
        <v>6.6666667375047478E-2</v>
      </c>
      <c r="L25" s="9" cm="1">
        <f t="array" ref="L25:L26">MMULT($C$17:$D$18,L21:L22)</f>
        <v>6.6666666076349301E-2</v>
      </c>
    </row>
    <row r="26" spans="1:12" ht="15">
      <c r="C26" s="7">
        <v>-0.19999999390818418</v>
      </c>
      <c r="D26" s="106">
        <v>-0.20000000507651333</v>
      </c>
      <c r="E26" s="106">
        <v>-0.19999999576957228</v>
      </c>
      <c r="F26" s="106">
        <v>-0.20000000352535646</v>
      </c>
      <c r="G26" s="106">
        <v>-0.19999999706220301</v>
      </c>
      <c r="H26" s="106">
        <v>-0.20000000244816418</v>
      </c>
      <c r="I26" s="106">
        <v>-0.19999999795986317</v>
      </c>
      <c r="J26" s="106">
        <v>-0.20000000170011401</v>
      </c>
      <c r="K26" s="106">
        <v>-0.1999999985832383</v>
      </c>
      <c r="L26" s="106">
        <v>-0.20000000118063471</v>
      </c>
    </row>
    <row r="27" spans="1:12" ht="15.6">
      <c r="A27" s="11" t="s">
        <v>52</v>
      </c>
      <c r="B27" s="4" t="s">
        <v>4</v>
      </c>
      <c r="C27" s="65">
        <f t="shared" ref="C27:L27" si="7">1/IF(MAX(C25:C26)&gt;ABS(MIN(C25:C26)),MAX(C25:C26),MIN(C25:C26))</f>
        <v>-5.0000001522954003</v>
      </c>
      <c r="D27" s="65">
        <f t="shared" si="7"/>
        <v>-4.9999998730871695</v>
      </c>
      <c r="E27" s="65">
        <f t="shared" si="7"/>
        <v>-5.0000001057606953</v>
      </c>
      <c r="F27" s="65">
        <f t="shared" si="7"/>
        <v>-4.9999999118660901</v>
      </c>
      <c r="G27" s="65">
        <f t="shared" si="7"/>
        <v>-5.0000000734449257</v>
      </c>
      <c r="H27" s="65">
        <f t="shared" si="7"/>
        <v>-4.999999938795896</v>
      </c>
      <c r="I27" s="65">
        <f t="shared" si="7"/>
        <v>-5.000000051003421</v>
      </c>
      <c r="J27" s="65">
        <f t="shared" si="7"/>
        <v>-4.9999999574971499</v>
      </c>
      <c r="K27" s="65">
        <f t="shared" si="7"/>
        <v>-5.0000000354190428</v>
      </c>
      <c r="L27" s="65">
        <f t="shared" si="7"/>
        <v>-4.999999970484132</v>
      </c>
    </row>
    <row r="28" spans="1:12" ht="15">
      <c r="A28" s="16"/>
      <c r="B28" s="12" t="s">
        <v>53</v>
      </c>
      <c r="C28" s="12" t="s">
        <v>54</v>
      </c>
      <c r="D28" s="66">
        <f t="shared" ref="D28:L28" si="8">ABS(D27-C27)</f>
        <v>2.7920823075788803E-7</v>
      </c>
      <c r="E28" s="67">
        <f t="shared" si="8"/>
        <v>2.326735257796031E-7</v>
      </c>
      <c r="F28" s="67">
        <f t="shared" si="8"/>
        <v>1.9389460526042512E-7</v>
      </c>
      <c r="G28" s="67">
        <f t="shared" si="8"/>
        <v>1.6157883564460462E-7</v>
      </c>
      <c r="H28" s="67">
        <f t="shared" si="8"/>
        <v>1.3464902970383719E-7</v>
      </c>
      <c r="I28" s="67">
        <f t="shared" si="8"/>
        <v>1.1220752504925713E-7</v>
      </c>
      <c r="J28" s="67">
        <f t="shared" si="8"/>
        <v>9.3506271170440414E-8</v>
      </c>
      <c r="K28" s="67">
        <f t="shared" si="8"/>
        <v>7.7921892938093151E-8</v>
      </c>
      <c r="L28" s="21">
        <f t="shared" si="8"/>
        <v>6.4934910781744293E-8</v>
      </c>
    </row>
    <row r="29" spans="1:12" ht="15">
      <c r="A29" s="17">
        <v>0.2</v>
      </c>
      <c r="B29" s="14"/>
      <c r="C29" s="14" t="s">
        <v>55</v>
      </c>
      <c r="D29" s="68">
        <f t="shared" ref="D29:L29" si="9">ABS((D27-C27)/D27)*100</f>
        <v>5.5841647568981915E-6</v>
      </c>
      <c r="E29" s="38">
        <f t="shared" si="9"/>
        <v>4.6534704171612083E-6</v>
      </c>
      <c r="F29" s="38">
        <f t="shared" si="9"/>
        <v>3.8778921735632626E-6</v>
      </c>
      <c r="G29" s="38">
        <f t="shared" si="9"/>
        <v>3.2315766654235106E-6</v>
      </c>
      <c r="H29" s="38">
        <f t="shared" si="9"/>
        <v>2.6929806270410371E-6</v>
      </c>
      <c r="I29" s="38">
        <f t="shared" si="9"/>
        <v>2.2441504780932725E-6</v>
      </c>
      <c r="J29" s="38">
        <f t="shared" si="9"/>
        <v>1.8701254393059404E-6</v>
      </c>
      <c r="K29" s="38">
        <f t="shared" si="9"/>
        <v>1.5584378477221876E-6</v>
      </c>
      <c r="L29" s="61">
        <f t="shared" si="9"/>
        <v>1.2986982233013271E-6</v>
      </c>
    </row>
  </sheetData>
  <phoneticPr fontId="6" type="noConversion"/>
  <conditionalFormatting sqref="D13:L13">
    <cfRule type="cellIs" dxfId="11" priority="4" operator="lessThan">
      <formula>$A$13</formula>
    </cfRule>
  </conditionalFormatting>
  <conditionalFormatting sqref="D14:L14">
    <cfRule type="cellIs" dxfId="10" priority="3" operator="lessThan">
      <formula>$A$14</formula>
    </cfRule>
  </conditionalFormatting>
  <conditionalFormatting sqref="D28:L28">
    <cfRule type="cellIs" dxfId="9" priority="2" operator="lessThan">
      <formula>$A$28</formula>
    </cfRule>
  </conditionalFormatting>
  <conditionalFormatting sqref="D29:L29">
    <cfRule type="cellIs" dxfId="8" priority="1" operator="lessThan">
      <formula>$A$29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F8B2-A83A-4E2C-9BF8-5790CD947928}">
  <dimension ref="A1:L35"/>
  <sheetViews>
    <sheetView topLeftCell="A11" workbookViewId="0">
      <selection activeCell="A26" sqref="A26"/>
    </sheetView>
  </sheetViews>
  <sheetFormatPr defaultColWidth="11.42578125" defaultRowHeight="14.45"/>
  <cols>
    <col min="1" max="1" width="13.7109375" bestFit="1" customWidth="1"/>
    <col min="2" max="2" width="11.42578125" bestFit="1" customWidth="1"/>
    <col min="3" max="5" width="13.7109375" bestFit="1" customWidth="1"/>
    <col min="6" max="6" width="13.42578125" bestFit="1" customWidth="1"/>
    <col min="7" max="7" width="13.7109375" bestFit="1" customWidth="1"/>
    <col min="8" max="10" width="13.42578125" bestFit="1" customWidth="1"/>
    <col min="11" max="11" width="12.7109375" bestFit="1" customWidth="1"/>
    <col min="12" max="12" width="14.85546875" bestFit="1" customWidth="1"/>
  </cols>
  <sheetData>
    <row r="1" spans="1:12" ht="15.6">
      <c r="A1" s="1" t="s">
        <v>31</v>
      </c>
      <c r="D1" s="2" t="s">
        <v>1</v>
      </c>
    </row>
    <row r="2" spans="1:12" ht="15.6">
      <c r="C2" s="25">
        <v>1</v>
      </c>
      <c r="D2" s="25">
        <v>3</v>
      </c>
      <c r="E2" s="25">
        <v>1</v>
      </c>
    </row>
    <row r="3" spans="1:12" ht="15.6">
      <c r="C3" s="25">
        <v>2</v>
      </c>
      <c r="D3" s="25">
        <v>0</v>
      </c>
      <c r="E3" s="25">
        <v>3</v>
      </c>
    </row>
    <row r="4" spans="1:12" ht="15.6">
      <c r="C4" s="25">
        <v>1</v>
      </c>
      <c r="D4" s="25">
        <v>-2</v>
      </c>
      <c r="E4" s="25">
        <v>1</v>
      </c>
    </row>
    <row r="6" spans="1:12" ht="18.600000000000001">
      <c r="C6" s="4" t="s">
        <v>32</v>
      </c>
      <c r="D6" s="51" t="s">
        <v>33</v>
      </c>
      <c r="E6" s="51" t="s">
        <v>34</v>
      </c>
      <c r="F6" s="51" t="s">
        <v>35</v>
      </c>
      <c r="G6" s="51" t="s">
        <v>36</v>
      </c>
      <c r="H6" s="51" t="s">
        <v>37</v>
      </c>
      <c r="I6" s="51" t="s">
        <v>38</v>
      </c>
      <c r="J6" s="51" t="s">
        <v>39</v>
      </c>
      <c r="K6" s="51" t="s">
        <v>40</v>
      </c>
      <c r="L6" s="51" t="s">
        <v>41</v>
      </c>
    </row>
    <row r="7" spans="1:12" ht="15.6">
      <c r="C7" s="5">
        <v>1</v>
      </c>
      <c r="D7" s="69">
        <f t="shared" ref="D7:L7" si="0">C12/C15</f>
        <v>1</v>
      </c>
      <c r="E7" s="69">
        <f t="shared" si="0"/>
        <v>1</v>
      </c>
      <c r="F7" s="69">
        <f t="shared" si="0"/>
        <v>1</v>
      </c>
      <c r="G7" s="69">
        <f t="shared" si="0"/>
        <v>1</v>
      </c>
      <c r="H7" s="69">
        <f t="shared" si="0"/>
        <v>1</v>
      </c>
      <c r="I7" s="69">
        <f t="shared" si="0"/>
        <v>1</v>
      </c>
      <c r="J7" s="69">
        <f t="shared" si="0"/>
        <v>1</v>
      </c>
      <c r="K7" s="69">
        <f t="shared" si="0"/>
        <v>1</v>
      </c>
      <c r="L7" s="69">
        <f t="shared" si="0"/>
        <v>1</v>
      </c>
    </row>
    <row r="8" spans="1:12" ht="15.6">
      <c r="C8" s="49">
        <v>0.60492296940721646</v>
      </c>
      <c r="D8" s="44">
        <f t="shared" ref="D8:L8" si="1">C13/C15</f>
        <v>0.60492300863907777</v>
      </c>
      <c r="E8" s="44">
        <f t="shared" si="1"/>
        <v>0.60492311151103639</v>
      </c>
      <c r="F8" s="44">
        <f t="shared" si="1"/>
        <v>0.6049230750351845</v>
      </c>
      <c r="G8" s="44">
        <f t="shared" si="1"/>
        <v>0.60492305799233415</v>
      </c>
      <c r="H8" s="44">
        <f t="shared" si="1"/>
        <v>0.6049230717297539</v>
      </c>
      <c r="I8" s="44">
        <f t="shared" si="1"/>
        <v>0.60492307257820677</v>
      </c>
      <c r="J8" s="44">
        <f t="shared" si="1"/>
        <v>0.60492306883423952</v>
      </c>
      <c r="K8" s="44">
        <f t="shared" si="1"/>
        <v>0.60492306957747299</v>
      </c>
      <c r="L8" s="44">
        <f t="shared" si="1"/>
        <v>0.60492307034771486</v>
      </c>
    </row>
    <row r="9" spans="1:12" ht="15.6">
      <c r="C9" s="49">
        <v>-0.1241219069312286</v>
      </c>
      <c r="D9" s="44">
        <f t="shared" ref="D9:L9" si="2">C14/C15</f>
        <v>-0.12412176163781136</v>
      </c>
      <c r="E9" s="44">
        <f t="shared" si="2"/>
        <v>-0.12412172466813716</v>
      </c>
      <c r="F9" s="44">
        <f t="shared" si="2"/>
        <v>-0.12412177145225266</v>
      </c>
      <c r="G9" s="44">
        <f t="shared" si="2"/>
        <v>-0.12412176893303785</v>
      </c>
      <c r="H9" s="44">
        <f t="shared" si="2"/>
        <v>-0.12412175757092525</v>
      </c>
      <c r="I9" s="44">
        <f t="shared" si="2"/>
        <v>-0.12412176113404665</v>
      </c>
      <c r="J9" s="44">
        <f t="shared" si="2"/>
        <v>-0.12412176313592677</v>
      </c>
      <c r="K9" s="44">
        <f t="shared" si="2"/>
        <v>-0.12412176170747724</v>
      </c>
      <c r="L9" s="44">
        <f t="shared" si="2"/>
        <v>-0.12412176156028643</v>
      </c>
    </row>
    <row r="11" spans="1:12" ht="18.600000000000001">
      <c r="C11" s="52" t="s">
        <v>42</v>
      </c>
      <c r="D11" s="52" t="s">
        <v>43</v>
      </c>
      <c r="E11" s="52" t="s">
        <v>44</v>
      </c>
      <c r="F11" s="52" t="s">
        <v>45</v>
      </c>
      <c r="G11" s="52" t="s">
        <v>46</v>
      </c>
      <c r="H11" s="52" t="s">
        <v>47</v>
      </c>
      <c r="I11" s="52" t="s">
        <v>48</v>
      </c>
      <c r="J11" s="52" t="s">
        <v>49</v>
      </c>
      <c r="K11" s="52" t="s">
        <v>50</v>
      </c>
      <c r="L11" s="52" t="s">
        <v>51</v>
      </c>
    </row>
    <row r="12" spans="1:12" ht="15">
      <c r="C12" s="9" cm="1">
        <f t="array" ref="C12:C14">MMULT($C$2:$E$4,C7:C9)</f>
        <v>2.6906470012904209</v>
      </c>
      <c r="D12" s="9" cm="1">
        <f t="array" ref="D12:D14">MMULT($C$2:$E$4,D7:D9)</f>
        <v>2.6906472642794221</v>
      </c>
      <c r="E12" s="9" cm="1">
        <f t="array" ref="E12:E14">MMULT($C$2:$E$4,E7:E9)</f>
        <v>2.6906476098649721</v>
      </c>
      <c r="F12" s="9" cm="1">
        <f t="array" ref="F12:F14">MMULT($C$2:$E$4,F7:F9)</f>
        <v>2.6906474536533009</v>
      </c>
      <c r="G12" s="9" cm="1">
        <f t="array" ref="G12:G14">MMULT($C$2:$E$4,G7:G9)</f>
        <v>2.6906474050439648</v>
      </c>
      <c r="H12" s="9" cm="1">
        <f t="array" ref="H12:H14">MMULT($C$2:$E$4,H7:H9)</f>
        <v>2.6906474576183363</v>
      </c>
      <c r="I12" s="9" cm="1">
        <f t="array" ref="I12:I14">MMULT($C$2:$E$4,I7:I9)</f>
        <v>2.6906474566005736</v>
      </c>
      <c r="J12" s="9" cm="1">
        <f t="array" ref="J12:J14">MMULT($C$2:$E$4,J7:J9)</f>
        <v>2.690647443366792</v>
      </c>
      <c r="K12" s="9" cm="1">
        <f t="array" ref="K12:K14">MMULT($C$2:$E$4,K7:K9)</f>
        <v>2.6906474470249417</v>
      </c>
      <c r="L12" s="9" cm="1">
        <f t="array" ref="L12:L14">MMULT($C$2:$E$4,L7:L9)</f>
        <v>2.6906474494828583</v>
      </c>
    </row>
    <row r="13" spans="1:12" ht="15">
      <c r="C13" s="9">
        <v>1.6276342792063141</v>
      </c>
      <c r="D13" s="9">
        <v>1.627634715086566</v>
      </c>
      <c r="E13" s="9">
        <v>1.6276348259955884</v>
      </c>
      <c r="F13" s="9">
        <v>1.627634685643242</v>
      </c>
      <c r="G13" s="9">
        <v>1.6276346932008865</v>
      </c>
      <c r="H13" s="9">
        <v>1.6276347272872242</v>
      </c>
      <c r="I13" s="9">
        <v>1.6276347165978602</v>
      </c>
      <c r="J13" s="9">
        <v>1.6276347105922198</v>
      </c>
      <c r="K13" s="9">
        <v>1.6276347148775683</v>
      </c>
      <c r="L13" s="9">
        <v>1.6276347153191408</v>
      </c>
    </row>
    <row r="14" spans="1:12" ht="15">
      <c r="C14" s="9">
        <v>-0.33396784574566152</v>
      </c>
      <c r="D14" s="9">
        <v>-0.33396777891596691</v>
      </c>
      <c r="E14" s="9">
        <v>-0.33396794769020993</v>
      </c>
      <c r="F14" s="9">
        <v>-0.33396792152262167</v>
      </c>
      <c r="G14" s="9">
        <v>-0.33396788491770613</v>
      </c>
      <c r="H14" s="9">
        <v>-0.33396790103043306</v>
      </c>
      <c r="I14" s="9">
        <v>-0.33396790629046019</v>
      </c>
      <c r="J14" s="9">
        <v>-0.3339679008044058</v>
      </c>
      <c r="K14" s="9">
        <v>-0.33396790086242323</v>
      </c>
      <c r="L14" s="9">
        <v>-0.33396790225571615</v>
      </c>
    </row>
    <row r="15" spans="1:12" ht="15.6">
      <c r="A15" s="11" t="s">
        <v>52</v>
      </c>
      <c r="B15" s="4" t="s">
        <v>3</v>
      </c>
      <c r="C15" s="10">
        <f t="shared" ref="C15:L15" si="3">IF(MAX(C12:C14)&gt;ABS(MIN(C12:C14)),MAX(C12:C14),MIN(C12:C14))</f>
        <v>2.6906470012904209</v>
      </c>
      <c r="D15" s="10">
        <f t="shared" si="3"/>
        <v>2.6906472642794221</v>
      </c>
      <c r="E15" s="10">
        <f t="shared" si="3"/>
        <v>2.6906476098649721</v>
      </c>
      <c r="F15" s="10">
        <f t="shared" si="3"/>
        <v>2.6906474536533009</v>
      </c>
      <c r="G15" s="10">
        <f t="shared" si="3"/>
        <v>2.6906474050439648</v>
      </c>
      <c r="H15" s="10">
        <f t="shared" si="3"/>
        <v>2.6906474576183363</v>
      </c>
      <c r="I15" s="10">
        <f t="shared" si="3"/>
        <v>2.6906474566005736</v>
      </c>
      <c r="J15" s="10">
        <f t="shared" si="3"/>
        <v>2.690647443366792</v>
      </c>
      <c r="K15" s="10">
        <f t="shared" si="3"/>
        <v>2.6906474470249417</v>
      </c>
      <c r="L15" s="10">
        <f t="shared" si="3"/>
        <v>2.6906474494828583</v>
      </c>
    </row>
    <row r="16" spans="1:12" ht="15">
      <c r="A16" s="16"/>
      <c r="B16" s="12" t="s">
        <v>53</v>
      </c>
      <c r="C16" s="12" t="s">
        <v>54</v>
      </c>
      <c r="D16" s="21">
        <f t="shared" ref="D16:L16" si="4">ABS(D15-C15)</f>
        <v>2.6298900124288593E-7</v>
      </c>
      <c r="E16" s="21">
        <f t="shared" si="4"/>
        <v>3.4558554995456348E-7</v>
      </c>
      <c r="F16" s="21">
        <f t="shared" si="4"/>
        <v>1.5621167115398293E-7</v>
      </c>
      <c r="G16" s="21">
        <f t="shared" si="4"/>
        <v>4.860933611183782E-8</v>
      </c>
      <c r="H16" s="21">
        <f t="shared" si="4"/>
        <v>5.2574371522950969E-8</v>
      </c>
      <c r="I16" s="21">
        <f t="shared" si="4"/>
        <v>1.0177627629559538E-9</v>
      </c>
      <c r="J16" s="21">
        <f t="shared" si="4"/>
        <v>1.3233781626098562E-8</v>
      </c>
      <c r="K16" s="21">
        <f t="shared" si="4"/>
        <v>3.6581497830923126E-9</v>
      </c>
      <c r="L16" s="21">
        <f t="shared" si="4"/>
        <v>2.4579165369686962E-9</v>
      </c>
    </row>
    <row r="17" spans="1:12" ht="15">
      <c r="A17" s="17">
        <v>0.01</v>
      </c>
      <c r="B17" s="14"/>
      <c r="C17" s="14" t="s">
        <v>55</v>
      </c>
      <c r="D17" s="61">
        <f t="shared" ref="D17:L17" si="5">ABS((D15-C15)/D15)*100</f>
        <v>9.7741909441004561E-6</v>
      </c>
      <c r="E17" s="61">
        <f t="shared" si="5"/>
        <v>1.2843954321164575E-5</v>
      </c>
      <c r="F17" s="61">
        <f t="shared" si="5"/>
        <v>5.8057279463306212E-6</v>
      </c>
      <c r="G17" s="61">
        <f t="shared" si="5"/>
        <v>1.8066037200085514E-6</v>
      </c>
      <c r="H17" s="61">
        <f t="shared" si="5"/>
        <v>1.953967301590967E-6</v>
      </c>
      <c r="I17" s="61">
        <f t="shared" si="5"/>
        <v>3.7825942616868094E-8</v>
      </c>
      <c r="J17" s="61">
        <f t="shared" si="5"/>
        <v>4.9184376268706551E-7</v>
      </c>
      <c r="K17" s="61">
        <f t="shared" si="5"/>
        <v>1.3595797498989105E-7</v>
      </c>
      <c r="L17" s="61">
        <f t="shared" si="5"/>
        <v>9.1350375072033566E-8</v>
      </c>
    </row>
    <row r="19" spans="1:12" ht="18">
      <c r="D19" s="45" t="s">
        <v>56</v>
      </c>
    </row>
    <row r="20" spans="1:12" ht="15.6">
      <c r="C20" s="23" cm="1">
        <f t="array" ref="C20:E22">MINVERSE(C2:E4)</f>
        <v>1.2000000000000002</v>
      </c>
      <c r="D20" s="23">
        <v>-1</v>
      </c>
      <c r="E20" s="23">
        <v>1.8000000000000003</v>
      </c>
    </row>
    <row r="21" spans="1:12" ht="15.6">
      <c r="C21" s="23">
        <v>0.19999999999999998</v>
      </c>
      <c r="D21" s="23">
        <v>0</v>
      </c>
      <c r="E21" s="23">
        <v>-0.20000000000000004</v>
      </c>
    </row>
    <row r="22" spans="1:12" ht="15.6">
      <c r="C22" s="23">
        <v>-0.8</v>
      </c>
      <c r="D22" s="23">
        <v>1</v>
      </c>
      <c r="E22" s="23">
        <v>-1.2000000000000002</v>
      </c>
    </row>
    <row r="24" spans="1:12" ht="18.600000000000001">
      <c r="C24" s="4" t="s">
        <v>32</v>
      </c>
      <c r="D24" s="55" t="s">
        <v>33</v>
      </c>
      <c r="E24" s="55" t="s">
        <v>34</v>
      </c>
      <c r="F24" s="55" t="s">
        <v>35</v>
      </c>
      <c r="G24" s="55" t="s">
        <v>36</v>
      </c>
      <c r="H24" s="55" t="s">
        <v>37</v>
      </c>
      <c r="I24" s="55" t="s">
        <v>38</v>
      </c>
      <c r="J24" s="55" t="s">
        <v>39</v>
      </c>
      <c r="K24" s="55" t="s">
        <v>40</v>
      </c>
      <c r="L24" s="55" t="s">
        <v>41</v>
      </c>
    </row>
    <row r="25" spans="1:12" ht="15">
      <c r="C25" s="24">
        <v>1</v>
      </c>
      <c r="D25" s="44">
        <f t="shared" ref="D25:K25" si="6">C30*C33</f>
        <v>1</v>
      </c>
      <c r="E25" s="44">
        <f t="shared" si="6"/>
        <v>-0.85995063596534949</v>
      </c>
      <c r="F25" s="44">
        <f t="shared" si="6"/>
        <v>0.99999999999999989</v>
      </c>
      <c r="G25" s="44">
        <f t="shared" si="6"/>
        <v>-0.23374680725183358</v>
      </c>
      <c r="H25" s="44">
        <f t="shared" si="6"/>
        <v>0.99999999999999989</v>
      </c>
      <c r="I25" s="44">
        <f t="shared" si="6"/>
        <v>1</v>
      </c>
      <c r="J25" s="44">
        <f t="shared" si="6"/>
        <v>-0.98573519511190177</v>
      </c>
      <c r="K25" s="44">
        <f t="shared" si="6"/>
        <v>1</v>
      </c>
      <c r="L25" s="44">
        <v>1</v>
      </c>
    </row>
    <row r="26" spans="1:12" ht="15">
      <c r="C26" s="111">
        <v>0.21428608723996959</v>
      </c>
      <c r="D26" s="44">
        <f t="shared" ref="D26:K26" si="7">C31*C33</f>
        <v>-0.52947029882646823</v>
      </c>
      <c r="E26" s="44">
        <f t="shared" si="7"/>
        <v>-0.85258210561057191</v>
      </c>
      <c r="F26" s="44">
        <f t="shared" si="7"/>
        <v>-0.22953266552500795</v>
      </c>
      <c r="G26" s="44">
        <f t="shared" si="7"/>
        <v>1</v>
      </c>
      <c r="H26" s="44">
        <f t="shared" si="7"/>
        <v>2.6480290860751002E-2</v>
      </c>
      <c r="I26" s="44">
        <f t="shared" si="7"/>
        <v>-0.8243649831850921</v>
      </c>
      <c r="J26" s="44">
        <f t="shared" si="7"/>
        <v>-0.42064256999311023</v>
      </c>
      <c r="K26" s="44">
        <f t="shared" si="7"/>
        <v>-0.38269629826785589</v>
      </c>
      <c r="L26" s="44">
        <v>0.21428608723996959</v>
      </c>
    </row>
    <row r="27" spans="1:12" ht="15">
      <c r="C27" s="111">
        <v>-0.95864757837074277</v>
      </c>
      <c r="D27" s="44">
        <f t="shared" ref="D27:K27" si="8">C32*C33</f>
        <v>-0.76321127555752766</v>
      </c>
      <c r="E27" s="44">
        <f t="shared" si="8"/>
        <v>1</v>
      </c>
      <c r="F27" s="44">
        <f t="shared" si="8"/>
        <v>-0.84202566051629701</v>
      </c>
      <c r="G27" s="44">
        <f t="shared" si="8"/>
        <v>-5.1850181338128777E-2</v>
      </c>
      <c r="H27" s="44">
        <f t="shared" si="8"/>
        <v>-0.9092979847549395</v>
      </c>
      <c r="I27" s="44">
        <f t="shared" si="8"/>
        <v>-0.68572203387882147</v>
      </c>
      <c r="J27" s="44">
        <f t="shared" si="8"/>
        <v>1</v>
      </c>
      <c r="K27" s="44">
        <f t="shared" si="8"/>
        <v>-0.80177897068594228</v>
      </c>
      <c r="L27" s="44">
        <v>-0.95864757837074277</v>
      </c>
    </row>
    <row r="28" spans="1:12">
      <c r="C28" s="71" t="s">
        <v>68</v>
      </c>
    </row>
    <row r="29" spans="1:12" ht="18.600000000000001">
      <c r="C29" s="52" t="s">
        <v>57</v>
      </c>
      <c r="D29" s="52" t="s">
        <v>58</v>
      </c>
      <c r="E29" s="52" t="s">
        <v>59</v>
      </c>
      <c r="F29" s="52" t="s">
        <v>60</v>
      </c>
      <c r="G29" s="52" t="s">
        <v>61</v>
      </c>
      <c r="H29" s="52" t="s">
        <v>62</v>
      </c>
      <c r="I29" s="52" t="s">
        <v>63</v>
      </c>
      <c r="J29" s="52" t="s">
        <v>64</v>
      </c>
      <c r="K29" s="52" t="s">
        <v>65</v>
      </c>
      <c r="L29" s="52" t="s">
        <v>66</v>
      </c>
    </row>
    <row r="30" spans="1:12" ht="15">
      <c r="C30" s="7" cm="1">
        <f t="array" ref="C30:C32">MMULT($C$20:$E$22,C25:C27)</f>
        <v>-0.73985172830730661</v>
      </c>
      <c r="D30" s="7" cm="1">
        <f t="array" ref="D30:D32">MMULT($C$20:$E$22,D25:D27)</f>
        <v>0.35569000282291863</v>
      </c>
      <c r="E30" s="9" cm="1">
        <f t="array" ref="E30:E32">MMULT($C$20:$E$22,E25:E27)</f>
        <v>1.6206413424521529</v>
      </c>
      <c r="F30" s="9" cm="1">
        <f t="array" ref="F30:F32">MMULT($C$20:$E$22,F25:F27)</f>
        <v>-8.6113523404326875E-2</v>
      </c>
      <c r="G30" s="7" cm="1">
        <f t="array" ref="G30:G32">MMULT($C$20:$E$22,G25:G27)</f>
        <v>-1.3738264951108321</v>
      </c>
      <c r="H30" s="9" cm="1">
        <f t="array" ref="H30:H32">MMULT($C$20:$E$22,H25:H27)</f>
        <v>-0.4632166634196424</v>
      </c>
      <c r="I30" s="9" cm="1">
        <f t="array" ref="I30:I32">MMULT($C$20:$E$22,I25:I27)</f>
        <v>0.79006532220321346</v>
      </c>
      <c r="J30" s="9" cm="1">
        <f t="array" ref="J30:J32">MMULT($C$20:$E$22,J25:J27)</f>
        <v>1.0377603358588281</v>
      </c>
      <c r="K30" s="9" cm="1">
        <f t="array" ref="K30:K32">MMULT($C$20:$E$22,K25:K27)</f>
        <v>0.13949415103315976</v>
      </c>
      <c r="L30" s="9" cm="1">
        <f t="array" ref="L30:L32">MMULT($C$20:$E$22,L25:L27)</f>
        <v>-0.73985172830730661</v>
      </c>
    </row>
    <row r="31" spans="1:12" ht="15">
      <c r="C31" s="7">
        <v>0.3917295156741486</v>
      </c>
      <c r="D31" s="9">
        <v>0.35264225511150554</v>
      </c>
      <c r="E31" s="9">
        <v>-0.3719901271930699</v>
      </c>
      <c r="F31" s="9">
        <v>0.36840513210325943</v>
      </c>
      <c r="G31" s="7">
        <v>-3.6379325182740951E-2</v>
      </c>
      <c r="H31" s="9">
        <v>0.38185959695098792</v>
      </c>
      <c r="I31" s="9">
        <v>0.33714440677576429</v>
      </c>
      <c r="J31" s="9">
        <v>-0.39714703902238035</v>
      </c>
      <c r="K31" s="9">
        <v>0.36035579413718843</v>
      </c>
      <c r="L31" s="9">
        <v>0.3917295156741486</v>
      </c>
    </row>
    <row r="32" spans="1:12" ht="15">
      <c r="C32" s="7">
        <v>0.56466318128486093</v>
      </c>
      <c r="D32" s="9">
        <v>-0.41361676815743487</v>
      </c>
      <c r="E32" s="7">
        <v>-1.3646215968382924</v>
      </c>
      <c r="F32" s="9">
        <v>-1.9101872905451289E-2</v>
      </c>
      <c r="G32" s="7">
        <v>1.2492176634072214</v>
      </c>
      <c r="H32" s="9">
        <v>0.31763787256667864</v>
      </c>
      <c r="I32" s="9">
        <v>-0.80149854253050623</v>
      </c>
      <c r="J32" s="9">
        <v>-0.83205441390358892</v>
      </c>
      <c r="K32" s="9">
        <v>-0.22056153344472507</v>
      </c>
      <c r="L32" s="9">
        <v>0.56466318128486093</v>
      </c>
    </row>
    <row r="33" spans="1:12" ht="15.6">
      <c r="A33" s="11" t="s">
        <v>52</v>
      </c>
      <c r="B33" s="4" t="s">
        <v>4</v>
      </c>
      <c r="C33" s="10">
        <f t="shared" ref="C33:L33" si="9">1/IF(MAX(C30:C32)&gt;ABS(MIN(C30:C32)),MAX(C30:C32),MIN(C30:C32))</f>
        <v>-1.3516221720369321</v>
      </c>
      <c r="D33" s="10">
        <f t="shared" si="9"/>
        <v>-2.4176969527970642</v>
      </c>
      <c r="E33" s="6">
        <f t="shared" si="9"/>
        <v>0.61703967053371866</v>
      </c>
      <c r="F33" s="6">
        <f t="shared" si="9"/>
        <v>2.7144030114100373</v>
      </c>
      <c r="G33" s="10">
        <f t="shared" si="9"/>
        <v>-0.72789395426481851</v>
      </c>
      <c r="H33" s="10">
        <f t="shared" si="9"/>
        <v>-2.1588169834340976</v>
      </c>
      <c r="I33" s="10">
        <f t="shared" si="9"/>
        <v>-1.2476629050912322</v>
      </c>
      <c r="J33" s="10">
        <f t="shared" si="9"/>
        <v>0.96361362584976962</v>
      </c>
      <c r="K33" s="10">
        <f t="shared" si="9"/>
        <v>2.775035163217876</v>
      </c>
      <c r="L33" s="10">
        <f t="shared" si="9"/>
        <v>-1.3516221720369321</v>
      </c>
    </row>
    <row r="34" spans="1:12" ht="15">
      <c r="A34" s="16"/>
      <c r="B34" s="12" t="s">
        <v>53</v>
      </c>
      <c r="C34" s="12" t="s">
        <v>54</v>
      </c>
      <c r="D34" s="28">
        <f t="shared" ref="D34:L34" si="10">ABS(D33-C33)</f>
        <v>1.0660747807601321</v>
      </c>
      <c r="E34" s="29">
        <f t="shared" si="10"/>
        <v>3.0347366233307831</v>
      </c>
      <c r="F34" s="29">
        <f t="shared" si="10"/>
        <v>2.0973633408763188</v>
      </c>
      <c r="G34" s="29">
        <f t="shared" si="10"/>
        <v>3.4422969656748559</v>
      </c>
      <c r="H34" s="29">
        <f t="shared" si="10"/>
        <v>1.4309230291692789</v>
      </c>
      <c r="I34" s="29">
        <f t="shared" si="10"/>
        <v>0.91115407834286533</v>
      </c>
      <c r="J34" s="29">
        <f t="shared" si="10"/>
        <v>2.2112765309410021</v>
      </c>
      <c r="K34" s="29">
        <f t="shared" si="10"/>
        <v>1.8114215373681064</v>
      </c>
      <c r="L34" s="13">
        <f t="shared" si="10"/>
        <v>4.1266573352548086</v>
      </c>
    </row>
    <row r="35" spans="1:12" ht="15">
      <c r="A35" s="17">
        <v>0.01</v>
      </c>
      <c r="B35" s="14"/>
      <c r="C35" s="14" t="s">
        <v>55</v>
      </c>
      <c r="D35" s="30">
        <f t="shared" ref="D35:L35" si="11">ABS((D33-C33)/D33)*100</f>
        <v>44.094640543215178</v>
      </c>
      <c r="E35" s="31">
        <f t="shared" si="11"/>
        <v>491.82196352235144</v>
      </c>
      <c r="F35" s="31">
        <f t="shared" si="11"/>
        <v>77.267941866407369</v>
      </c>
      <c r="G35" s="31">
        <f t="shared" si="11"/>
        <v>472.91187754837398</v>
      </c>
      <c r="H35" s="31">
        <f t="shared" si="11"/>
        <v>66.282739118212092</v>
      </c>
      <c r="I35" s="31">
        <f t="shared" si="11"/>
        <v>73.028866581253325</v>
      </c>
      <c r="J35" s="31">
        <f t="shared" si="11"/>
        <v>229.47750754260787</v>
      </c>
      <c r="K35" s="31">
        <f t="shared" si="11"/>
        <v>65.275624661549074</v>
      </c>
      <c r="L35" s="18">
        <f t="shared" si="11"/>
        <v>305.31145616202946</v>
      </c>
    </row>
  </sheetData>
  <phoneticPr fontId="6" type="noConversion"/>
  <conditionalFormatting sqref="D16:L16">
    <cfRule type="cellIs" dxfId="7" priority="4" operator="lessThan">
      <formula>$A$16</formula>
    </cfRule>
  </conditionalFormatting>
  <conditionalFormatting sqref="D17:L17">
    <cfRule type="cellIs" dxfId="6" priority="3" operator="lessThan">
      <formula>$A$17</formula>
    </cfRule>
  </conditionalFormatting>
  <conditionalFormatting sqref="D34:L34">
    <cfRule type="cellIs" dxfId="5" priority="2" operator="lessThan">
      <formula>$A$34</formula>
    </cfRule>
  </conditionalFormatting>
  <conditionalFormatting sqref="D35:L35">
    <cfRule type="cellIs" dxfId="4" priority="1" operator="lessThan">
      <formula>$A$35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F3AC-B3FC-4C88-BB89-D5019AF14C34}">
  <dimension ref="A1:L35"/>
  <sheetViews>
    <sheetView topLeftCell="A15" workbookViewId="0">
      <selection activeCell="A24" sqref="A24:G35"/>
    </sheetView>
  </sheetViews>
  <sheetFormatPr defaultColWidth="11.42578125" defaultRowHeight="14.45"/>
  <cols>
    <col min="1" max="1" width="13.7109375" bestFit="1" customWidth="1"/>
    <col min="3" max="3" width="15.7109375" bestFit="1" customWidth="1"/>
    <col min="4" max="5" width="15.140625" bestFit="1" customWidth="1"/>
    <col min="6" max="6" width="13.42578125" bestFit="1" customWidth="1"/>
    <col min="7" max="7" width="13.7109375" bestFit="1" customWidth="1"/>
    <col min="8" max="10" width="13.42578125" bestFit="1" customWidth="1"/>
    <col min="11" max="11" width="12.7109375" bestFit="1" customWidth="1"/>
    <col min="12" max="12" width="13.42578125" bestFit="1" customWidth="1"/>
  </cols>
  <sheetData>
    <row r="1" spans="1:12" ht="15">
      <c r="A1" s="73" t="s">
        <v>31</v>
      </c>
      <c r="B1" s="97"/>
      <c r="C1" s="97"/>
      <c r="D1" s="98" t="s">
        <v>1</v>
      </c>
      <c r="E1" s="97"/>
      <c r="F1" s="97"/>
      <c r="G1" s="97"/>
      <c r="H1" s="97"/>
      <c r="I1" s="97"/>
      <c r="J1" s="97"/>
      <c r="K1" s="97"/>
      <c r="L1" s="97"/>
    </row>
    <row r="2" spans="1:12" ht="15">
      <c r="A2" s="97"/>
      <c r="B2" s="97"/>
      <c r="C2" s="96">
        <v>-1</v>
      </c>
      <c r="D2" s="96">
        <v>1</v>
      </c>
      <c r="E2" s="96">
        <v>1</v>
      </c>
      <c r="F2" s="97"/>
      <c r="G2" s="97"/>
      <c r="H2" s="97"/>
      <c r="I2" s="97"/>
      <c r="J2" s="97"/>
      <c r="K2" s="97"/>
      <c r="L2" s="97"/>
    </row>
    <row r="3" spans="1:12" ht="15">
      <c r="A3" s="97"/>
      <c r="B3" s="97"/>
      <c r="C3" s="96">
        <v>1</v>
      </c>
      <c r="D3" s="96">
        <v>-2</v>
      </c>
      <c r="E3" s="96">
        <v>2</v>
      </c>
      <c r="F3" s="97"/>
      <c r="G3" s="97"/>
      <c r="H3" s="97"/>
      <c r="I3" s="97"/>
      <c r="J3" s="97"/>
      <c r="K3" s="97"/>
      <c r="L3" s="97"/>
    </row>
    <row r="4" spans="1:12" ht="15">
      <c r="A4" s="97"/>
      <c r="B4" s="97"/>
      <c r="C4" s="96">
        <v>1</v>
      </c>
      <c r="D4" s="96">
        <v>2</v>
      </c>
      <c r="E4" s="96">
        <v>-3</v>
      </c>
      <c r="F4" s="97"/>
      <c r="G4" s="97"/>
      <c r="H4" s="97"/>
      <c r="I4" s="97"/>
      <c r="J4" s="97"/>
      <c r="K4" s="97"/>
      <c r="L4" s="97"/>
    </row>
    <row r="5" spans="1:12" ht="15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</row>
    <row r="6" spans="1:12" ht="15">
      <c r="A6" s="97"/>
      <c r="B6" s="97"/>
      <c r="C6" s="74" t="s">
        <v>69</v>
      </c>
      <c r="D6" s="75" t="s">
        <v>70</v>
      </c>
      <c r="E6" s="75" t="s">
        <v>71</v>
      </c>
      <c r="F6" s="75" t="s">
        <v>72</v>
      </c>
      <c r="G6" s="75" t="s">
        <v>73</v>
      </c>
      <c r="H6" s="75" t="s">
        <v>74</v>
      </c>
      <c r="I6" s="75" t="s">
        <v>75</v>
      </c>
      <c r="J6" s="75" t="s">
        <v>76</v>
      </c>
      <c r="K6" s="75" t="s">
        <v>77</v>
      </c>
      <c r="L6" s="75" t="s">
        <v>78</v>
      </c>
    </row>
    <row r="7" spans="1:12" ht="15">
      <c r="A7" s="97"/>
      <c r="B7" s="97"/>
      <c r="C7" s="95">
        <v>-6.9847711936250362E-2</v>
      </c>
      <c r="D7" s="76">
        <f>C12/C15</f>
        <v>-6.9827459963914318E-2</v>
      </c>
      <c r="E7" s="76">
        <f t="shared" ref="E7:J7" si="0">D12/D15</f>
        <v>-6.9817964629107124E-2</v>
      </c>
      <c r="F7" s="76">
        <f t="shared" si="0"/>
        <v>-6.9813512530274346E-2</v>
      </c>
      <c r="G7" s="76">
        <f t="shared" si="0"/>
        <v>-6.9811425095573754E-2</v>
      </c>
      <c r="H7" s="76">
        <f t="shared" si="0"/>
        <v>-6.9810446367742626E-2</v>
      </c>
      <c r="I7" s="76">
        <f t="shared" si="0"/>
        <v>-6.9809987476148583E-2</v>
      </c>
      <c r="J7" s="76">
        <f t="shared" si="0"/>
        <v>-6.9809772317754343E-2</v>
      </c>
      <c r="K7" s="76">
        <f>J12/J15</f>
        <v>-6.9809671437457005E-2</v>
      </c>
      <c r="L7" s="76">
        <f t="shared" ref="L7" si="1">K12/K15</f>
        <v>-6.9809624138191279E-2</v>
      </c>
    </row>
    <row r="8" spans="1:12" ht="15">
      <c r="A8" s="97"/>
      <c r="B8" s="97"/>
      <c r="C8" s="95">
        <v>-0.75065533327393852</v>
      </c>
      <c r="D8" s="76">
        <f>C13/C15</f>
        <v>-0.7506768898586178</v>
      </c>
      <c r="E8" s="76">
        <f t="shared" ref="E8:J8" si="2">D13/D15</f>
        <v>-0.75068699748003831</v>
      </c>
      <c r="F8" s="76">
        <f t="shared" si="2"/>
        <v>-0.75069173656828136</v>
      </c>
      <c r="G8" s="76">
        <f t="shared" si="2"/>
        <v>-0.75069395857717502</v>
      </c>
      <c r="H8" s="76">
        <f t="shared" si="2"/>
        <v>-0.75069500039999792</v>
      </c>
      <c r="I8" s="76">
        <f t="shared" si="2"/>
        <v>-0.7506954888750107</v>
      </c>
      <c r="J8" s="76">
        <f t="shared" si="2"/>
        <v>-0.75069571790399026</v>
      </c>
      <c r="K8" s="76">
        <f>J13/J15</f>
        <v>-0.75069582528773193</v>
      </c>
      <c r="L8" s="76">
        <f t="shared" ref="L8" si="3">K13/K15</f>
        <v>-0.75069587563623552</v>
      </c>
    </row>
    <row r="9" spans="1:12" ht="15">
      <c r="A9" s="97"/>
      <c r="B9" s="97"/>
      <c r="C9" s="95">
        <v>1</v>
      </c>
      <c r="D9" s="76">
        <f>C14/C15</f>
        <v>1</v>
      </c>
      <c r="E9" s="76">
        <f t="shared" ref="E9:J9" si="4">D14/D15</f>
        <v>1</v>
      </c>
      <c r="F9" s="76">
        <f t="shared" si="4"/>
        <v>1</v>
      </c>
      <c r="G9" s="76">
        <f t="shared" si="4"/>
        <v>1</v>
      </c>
      <c r="H9" s="76">
        <f t="shared" si="4"/>
        <v>1</v>
      </c>
      <c r="I9" s="76">
        <f t="shared" si="4"/>
        <v>1</v>
      </c>
      <c r="J9" s="76">
        <f t="shared" si="4"/>
        <v>1</v>
      </c>
      <c r="K9" s="76">
        <f>J14/J15</f>
        <v>1</v>
      </c>
      <c r="L9" s="76">
        <f>K14/K15</f>
        <v>1</v>
      </c>
    </row>
    <row r="10" spans="1:12" ht="15">
      <c r="A10" s="97"/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</row>
    <row r="11" spans="1:12" ht="15">
      <c r="A11" s="97"/>
      <c r="B11" s="97"/>
      <c r="C11" s="77" t="s">
        <v>79</v>
      </c>
      <c r="D11" s="77" t="s">
        <v>80</v>
      </c>
      <c r="E11" s="77" t="s">
        <v>81</v>
      </c>
      <c r="F11" s="77" t="s">
        <v>82</v>
      </c>
      <c r="G11" s="77" t="s">
        <v>83</v>
      </c>
      <c r="H11" s="77" t="s">
        <v>84</v>
      </c>
      <c r="I11" s="77" t="s">
        <v>85</v>
      </c>
      <c r="J11" s="77" t="s">
        <v>86</v>
      </c>
      <c r="K11" s="77" t="s">
        <v>87</v>
      </c>
      <c r="L11" s="77" t="s">
        <v>88</v>
      </c>
    </row>
    <row r="12" spans="1:12" ht="15">
      <c r="A12" s="97"/>
      <c r="B12" s="97"/>
      <c r="C12" s="78" cm="1">
        <f t="array" ref="C12:C14">MMULT($C$2:$E$4,C7:C9)</f>
        <v>0.31919237866231187</v>
      </c>
      <c r="D12" s="78" cm="1">
        <f t="array" ref="D12:D14">MMULT($C$2:$E$4,D7:D9)</f>
        <v>0.31915057010529657</v>
      </c>
      <c r="E12" s="78" cm="1">
        <f t="array" ref="E12:E14">MMULT($C$2:$E$4,E7:E9)</f>
        <v>0.31913096714906886</v>
      </c>
      <c r="F12" s="78" cm="1">
        <f t="array" ref="F12:F14">MMULT($C$2:$E$4,F7:F9)</f>
        <v>0.31912177596199298</v>
      </c>
      <c r="G12" s="78" cm="1">
        <f t="array" ref="G12:G14">MMULT($C$2:$E$4,G7:G9)</f>
        <v>0.31911746651839867</v>
      </c>
      <c r="H12" s="78" cm="1">
        <f t="array" ref="H12:H14">MMULT($C$2:$E$4,H7:H9)</f>
        <v>0.31911544596774466</v>
      </c>
      <c r="I12" s="78" cm="1">
        <f t="array" ref="I12:I14">MMULT($C$2:$E$4,I7:I9)</f>
        <v>0.31911449860113783</v>
      </c>
      <c r="J12" s="78" cm="1">
        <f t="array" ref="J12:J14">MMULT($C$2:$E$4,J7:J9)</f>
        <v>0.31911405441376406</v>
      </c>
      <c r="K12" s="78" cm="1">
        <f t="array" ref="K12:K14">MMULT($C$2:$E$4,K7:K9)</f>
        <v>0.31911384614972504</v>
      </c>
      <c r="L12" s="78" cm="1">
        <f t="array" ref="L12:L14">MMULT($C$2:$E$4,L7:L9)</f>
        <v>0.31911374850195573</v>
      </c>
    </row>
    <row r="13" spans="1:12" ht="15">
      <c r="A13" s="97"/>
      <c r="B13" s="97"/>
      <c r="C13" s="78">
        <v>3.4314629546116269</v>
      </c>
      <c r="D13" s="78">
        <v>3.4315263197533215</v>
      </c>
      <c r="E13" s="78">
        <v>3.4315560303309693</v>
      </c>
      <c r="F13" s="78">
        <v>3.4315699606062884</v>
      </c>
      <c r="G13" s="78">
        <v>3.4315764920587766</v>
      </c>
      <c r="H13" s="78">
        <v>3.4315795544322532</v>
      </c>
      <c r="I13" s="78">
        <v>3.431580990273873</v>
      </c>
      <c r="J13" s="78">
        <v>3.4315816634902259</v>
      </c>
      <c r="K13" s="78">
        <v>3.4315819791380067</v>
      </c>
      <c r="L13" s="78">
        <v>3.4315821271342797</v>
      </c>
    </row>
    <row r="14" spans="1:12" ht="15">
      <c r="A14" s="97"/>
      <c r="B14" s="97"/>
      <c r="C14" s="78">
        <v>-4.5711583784841272</v>
      </c>
      <c r="D14" s="78">
        <v>-4.5711812396811498</v>
      </c>
      <c r="E14" s="78">
        <v>-4.5711919595891839</v>
      </c>
      <c r="F14" s="78">
        <v>-4.5711969856668375</v>
      </c>
      <c r="G14" s="78">
        <v>-4.5711993422499235</v>
      </c>
      <c r="H14" s="78">
        <v>-4.5712004471677385</v>
      </c>
      <c r="I14" s="78">
        <v>-4.5712009652261703</v>
      </c>
      <c r="J14" s="78">
        <v>-4.5712012081257347</v>
      </c>
      <c r="K14" s="78">
        <v>-4.5712013220129206</v>
      </c>
      <c r="L14" s="78">
        <v>-4.5712013754106628</v>
      </c>
    </row>
    <row r="15" spans="1:12" ht="15">
      <c r="A15" s="79" t="s">
        <v>52</v>
      </c>
      <c r="B15" s="74" t="s">
        <v>3</v>
      </c>
      <c r="C15" s="94">
        <f>IF(MAX(C12:C14)&gt;ABS(MIN(C12:C14)),MAX(C12:C14),MIN(C12:C14))</f>
        <v>-4.5711583784841272</v>
      </c>
      <c r="D15" s="94">
        <f>IF(MAX(D12:D14)&gt;ABS(MIN(D12:D14)),MAX(D12:D14),MIN(D12:D14))</f>
        <v>-4.5711812396811498</v>
      </c>
      <c r="E15" s="94">
        <f t="shared" ref="E15:J15" si="5">IF(MAX(E12:E14)&gt;ABS(MIN(E12:E14)),MAX(E12:E14),MIN(E12:E14))</f>
        <v>-4.5711919595891839</v>
      </c>
      <c r="F15" s="94">
        <f t="shared" si="5"/>
        <v>-4.5711969856668375</v>
      </c>
      <c r="G15" s="94">
        <f t="shared" si="5"/>
        <v>-4.5711993422499235</v>
      </c>
      <c r="H15" s="94">
        <f t="shared" si="5"/>
        <v>-4.5712004471677385</v>
      </c>
      <c r="I15" s="94">
        <f t="shared" si="5"/>
        <v>-4.5712009652261703</v>
      </c>
      <c r="J15" s="94">
        <f t="shared" si="5"/>
        <v>-4.5712012081257347</v>
      </c>
      <c r="K15" s="94">
        <f>IF(MAX(K12:K14)&gt;ABS(MIN(K12:K14)),MAX(K12:K14),MIN(K12:K14))</f>
        <v>-4.5712013220129206</v>
      </c>
      <c r="L15" s="94">
        <f t="shared" ref="L15" si="6">IF(MAX(L12:L14)&gt;ABS(MIN(L12:L14)),MAX(L12:L14),MIN(L12:L14))</f>
        <v>-4.5712013754106628</v>
      </c>
    </row>
    <row r="16" spans="1:12">
      <c r="A16" s="80"/>
      <c r="B16" s="81" t="s">
        <v>53</v>
      </c>
      <c r="C16" s="81" t="s">
        <v>54</v>
      </c>
      <c r="D16" s="82">
        <f>ABS(D15-C15)</f>
        <v>2.2861197022550073E-5</v>
      </c>
      <c r="E16" s="82">
        <f t="shared" ref="E16:L16" si="7">ABS(E15-D15)</f>
        <v>1.0719908034140246E-5</v>
      </c>
      <c r="F16" s="82">
        <f t="shared" si="7"/>
        <v>5.0260776536248386E-6</v>
      </c>
      <c r="G16" s="82">
        <f t="shared" si="7"/>
        <v>2.3565830860050596E-6</v>
      </c>
      <c r="H16" s="82">
        <f t="shared" si="7"/>
        <v>1.104917815020201E-6</v>
      </c>
      <c r="I16" s="82">
        <f t="shared" si="7"/>
        <v>5.1805843170882326E-7</v>
      </c>
      <c r="J16" s="82">
        <f t="shared" si="7"/>
        <v>2.4289956446210681E-7</v>
      </c>
      <c r="K16" s="82">
        <f t="shared" si="7"/>
        <v>1.1388718590410463E-7</v>
      </c>
      <c r="L16" s="82">
        <f t="shared" si="7"/>
        <v>5.3397742227900835E-8</v>
      </c>
    </row>
    <row r="17" spans="1:12">
      <c r="A17" s="83">
        <v>0.05</v>
      </c>
      <c r="B17" s="84"/>
      <c r="C17" s="84" t="s">
        <v>55</v>
      </c>
      <c r="D17" s="85">
        <f>ABS((D15-C15)/D15)*100</f>
        <v>5.0011574304029767E-4</v>
      </c>
      <c r="E17" s="85">
        <f t="shared" ref="E17:L17" si="8">ABS((E15-D15)/E15)*100</f>
        <v>2.345101262188878E-4</v>
      </c>
      <c r="F17" s="85">
        <f t="shared" si="8"/>
        <v>1.0995101872407374E-4</v>
      </c>
      <c r="G17" s="85">
        <f t="shared" si="8"/>
        <v>5.1552840065932463E-5</v>
      </c>
      <c r="H17" s="85">
        <f t="shared" si="8"/>
        <v>2.4171283403351848E-5</v>
      </c>
      <c r="I17" s="85">
        <f t="shared" si="8"/>
        <v>1.1333092455347589E-5</v>
      </c>
      <c r="J17" s="85">
        <f t="shared" si="8"/>
        <v>5.3136922529319047E-6</v>
      </c>
      <c r="K17" s="85">
        <f t="shared" si="8"/>
        <v>2.4914060414638359E-6</v>
      </c>
      <c r="L17" s="85">
        <f t="shared" si="8"/>
        <v>1.1681336664610132E-6</v>
      </c>
    </row>
    <row r="18" spans="1:12" ht="15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</row>
    <row r="19" spans="1:12" ht="15">
      <c r="A19" s="97"/>
      <c r="B19" s="97"/>
      <c r="C19" s="97"/>
      <c r="D19" s="86" t="s">
        <v>89</v>
      </c>
      <c r="E19" s="97"/>
      <c r="F19" s="97"/>
      <c r="G19" s="97"/>
      <c r="H19" s="97"/>
      <c r="I19" s="97"/>
      <c r="J19" s="97"/>
      <c r="K19" s="97"/>
      <c r="L19" s="97"/>
    </row>
    <row r="20" spans="1:12" ht="15">
      <c r="A20" s="97"/>
      <c r="B20" s="97"/>
      <c r="C20" s="87" cm="1">
        <f t="array" ref="C20:E22">MINVERSE(C2:E4)</f>
        <v>0.2857142857142857</v>
      </c>
      <c r="D20" s="87">
        <v>0.71428571428571419</v>
      </c>
      <c r="E20" s="87">
        <v>0.5714285714285714</v>
      </c>
      <c r="F20" s="97"/>
      <c r="G20" s="97"/>
      <c r="H20" s="97"/>
      <c r="I20" s="97"/>
      <c r="J20" s="97"/>
      <c r="K20" s="97"/>
      <c r="L20" s="97"/>
    </row>
    <row r="21" spans="1:12" ht="15">
      <c r="A21" s="97"/>
      <c r="B21" s="97"/>
      <c r="C21" s="87">
        <v>0.7142857142857143</v>
      </c>
      <c r="D21" s="87">
        <v>0.2857142857142857</v>
      </c>
      <c r="E21" s="87">
        <v>0.42857142857142855</v>
      </c>
      <c r="F21" s="97"/>
      <c r="G21" s="97"/>
      <c r="H21" s="97"/>
      <c r="I21" s="97"/>
      <c r="J21" s="97"/>
      <c r="K21" s="97"/>
      <c r="L21" s="97"/>
    </row>
    <row r="22" spans="1:12" ht="15">
      <c r="A22" s="97"/>
      <c r="B22" s="97"/>
      <c r="C22" s="87">
        <v>0.5714285714285714</v>
      </c>
      <c r="D22" s="87">
        <v>0.42857142857142855</v>
      </c>
      <c r="E22" s="87">
        <v>0.14285714285714285</v>
      </c>
      <c r="F22" s="97"/>
      <c r="G22" s="97"/>
      <c r="H22" s="97"/>
      <c r="I22" s="97"/>
      <c r="J22" s="97"/>
      <c r="K22" s="97"/>
      <c r="L22" s="97"/>
    </row>
    <row r="23" spans="1:12" ht="15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</row>
    <row r="24" spans="1:12" ht="15">
      <c r="A24" s="97"/>
      <c r="B24" s="97"/>
      <c r="C24" s="74" t="s">
        <v>69</v>
      </c>
      <c r="D24" s="88" t="s">
        <v>70</v>
      </c>
      <c r="E24" s="88" t="s">
        <v>71</v>
      </c>
      <c r="F24" s="88" t="s">
        <v>72</v>
      </c>
      <c r="G24" s="88" t="s">
        <v>73</v>
      </c>
      <c r="H24" s="88" t="s">
        <v>74</v>
      </c>
      <c r="I24" s="88" t="s">
        <v>75</v>
      </c>
      <c r="J24" s="88" t="s">
        <v>76</v>
      </c>
      <c r="K24" s="88" t="s">
        <v>77</v>
      </c>
      <c r="L24" s="88" t="s">
        <v>78</v>
      </c>
    </row>
    <row r="25" spans="1:12" ht="15">
      <c r="A25" s="97"/>
      <c r="B25" s="97"/>
      <c r="C25" s="89">
        <v>1</v>
      </c>
      <c r="D25" s="76">
        <f>C30*C33</f>
        <v>0.99999999999999989</v>
      </c>
      <c r="E25" s="76">
        <f t="shared" ref="E25:L25" si="9">D30*D33</f>
        <v>1</v>
      </c>
      <c r="F25" s="76">
        <f t="shared" si="9"/>
        <v>1</v>
      </c>
      <c r="G25" s="76">
        <f t="shared" si="9"/>
        <v>1</v>
      </c>
      <c r="H25" s="76">
        <f t="shared" si="9"/>
        <v>1</v>
      </c>
      <c r="I25" s="76">
        <f t="shared" si="9"/>
        <v>1</v>
      </c>
      <c r="J25" s="76">
        <f t="shared" si="9"/>
        <v>1</v>
      </c>
      <c r="K25" s="76">
        <f t="shared" si="9"/>
        <v>1</v>
      </c>
      <c r="L25" s="76">
        <f t="shared" si="9"/>
        <v>1</v>
      </c>
    </row>
    <row r="26" spans="1:12" ht="15">
      <c r="A26" s="97"/>
      <c r="B26" s="97"/>
      <c r="C26" s="90">
        <v>0.93943760437338253</v>
      </c>
      <c r="D26" s="76">
        <f>C31*C33</f>
        <v>0.93943728514353242</v>
      </c>
      <c r="E26" s="76">
        <f t="shared" ref="E26:L26" si="10">D31*D33</f>
        <v>0.93943739156447992</v>
      </c>
      <c r="F26" s="76">
        <f t="shared" si="10"/>
        <v>0.93943735608771106</v>
      </c>
      <c r="G26" s="76">
        <f t="shared" si="10"/>
        <v>0.9394373679142537</v>
      </c>
      <c r="H26" s="76">
        <f t="shared" si="10"/>
        <v>0.93943736397176869</v>
      </c>
      <c r="I26" s="76">
        <f t="shared" si="10"/>
        <v>0.9394373652860295</v>
      </c>
      <c r="J26" s="76">
        <f t="shared" si="10"/>
        <v>0.93943736484790974</v>
      </c>
      <c r="K26" s="76">
        <f t="shared" si="10"/>
        <v>0.93943736499396058</v>
      </c>
      <c r="L26" s="76">
        <f t="shared" si="10"/>
        <v>0.93943736494527341</v>
      </c>
    </row>
    <row r="27" spans="1:12" ht="15">
      <c r="A27" s="97"/>
      <c r="B27" s="97"/>
      <c r="C27" s="90">
        <v>0.77504155919379092</v>
      </c>
      <c r="D27" s="76">
        <f>C32*C33</f>
        <v>0.775041319508884</v>
      </c>
      <c r="E27" s="76">
        <f t="shared" ref="E27:L27" si="11">D32*D33</f>
        <v>0.77504139940496342</v>
      </c>
      <c r="F27" s="76">
        <f t="shared" si="11"/>
        <v>0.77504137277171181</v>
      </c>
      <c r="G27" s="76">
        <f t="shared" si="11"/>
        <v>0.77504138165000325</v>
      </c>
      <c r="H27" s="76">
        <f t="shared" si="11"/>
        <v>0.77504137869037171</v>
      </c>
      <c r="I27" s="76">
        <f t="shared" si="11"/>
        <v>0.77504137967698572</v>
      </c>
      <c r="J27" s="76">
        <f t="shared" si="11"/>
        <v>0.77504137934809048</v>
      </c>
      <c r="K27" s="76">
        <f t="shared" si="11"/>
        <v>0.77504137945773033</v>
      </c>
      <c r="L27" s="76">
        <f t="shared" si="11"/>
        <v>0.77504137942118101</v>
      </c>
    </row>
    <row r="28" spans="1:12" ht="15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</row>
    <row r="29" spans="1:12" ht="15">
      <c r="A29" s="97"/>
      <c r="B29" s="97"/>
      <c r="C29" s="77" t="s">
        <v>90</v>
      </c>
      <c r="D29" s="77" t="s">
        <v>91</v>
      </c>
      <c r="E29" s="77" t="s">
        <v>92</v>
      </c>
      <c r="F29" s="77" t="s">
        <v>93</v>
      </c>
      <c r="G29" s="77" t="s">
        <v>94</v>
      </c>
      <c r="H29" s="77" t="s">
        <v>95</v>
      </c>
      <c r="I29" s="77" t="s">
        <v>96</v>
      </c>
      <c r="J29" s="77" t="s">
        <v>97</v>
      </c>
      <c r="K29" s="77" t="s">
        <v>98</v>
      </c>
      <c r="L29" s="77" t="s">
        <v>99</v>
      </c>
    </row>
    <row r="30" spans="1:12" ht="15">
      <c r="A30" s="97"/>
      <c r="B30" s="97"/>
      <c r="C30" s="78" cm="1">
        <f t="array" ref="C30:C32">MMULT($C$20:$E$22,C25:C27)</f>
        <v>1.3996220369488679</v>
      </c>
      <c r="D30" s="78" cm="1">
        <f t="array" ref="D30:D32">MMULT($C$20:$E$22,D25:D27)</f>
        <v>1.3996216719647423</v>
      </c>
      <c r="E30" s="78" cm="1">
        <f t="array" ref="E30:E32">MMULT($C$20:$E$22,E25:E27)</f>
        <v>1.3996217936346076</v>
      </c>
      <c r="F30" s="78" cm="1">
        <f t="array" ref="F30:F32">MMULT($C$20:$E$22,F25:F27)</f>
        <v>1.3996217530750574</v>
      </c>
      <c r="G30" s="78" cm="1">
        <f t="array" ref="G30:G32">MMULT($C$20:$E$22,G25:G27)</f>
        <v>1.3996217665958972</v>
      </c>
      <c r="H30" s="78" cm="1">
        <f t="array" ref="H30:H32">MMULT($C$20:$E$22,H25:H27)</f>
        <v>1.3996217620886184</v>
      </c>
      <c r="I30" s="78" cm="1">
        <f t="array" ref="I30:I32">MMULT($C$20:$E$22,I25:I27)</f>
        <v>1.3996217635911556</v>
      </c>
      <c r="J30" s="78" cm="1">
        <f t="array" ref="J30:J32">MMULT($C$20:$E$22,J25:J27)</f>
        <v>1.3996217630902728</v>
      </c>
      <c r="K30" s="78" cm="1">
        <f t="array" ref="K30:K32">MMULT($C$20:$E$22,K25:K27)</f>
        <v>1.3996217632572461</v>
      </c>
      <c r="L30" s="78" cm="1">
        <f t="array" ref="L30:L32">MMULT($C$20:$E$22,L25:L27)</f>
        <v>1.3996217632015844</v>
      </c>
    </row>
    <row r="31" spans="1:12" ht="15">
      <c r="A31" s="97"/>
      <c r="B31" s="97"/>
      <c r="C31" s="78">
        <v>1.3148571266183053</v>
      </c>
      <c r="D31" s="78">
        <v>1.3148569326876736</v>
      </c>
      <c r="E31" s="78">
        <v>1.3148569973348356</v>
      </c>
      <c r="F31" s="78">
        <v>1.3148569757843653</v>
      </c>
      <c r="G31" s="78">
        <v>1.3148569829683596</v>
      </c>
      <c r="H31" s="78">
        <v>1.3148569805735217</v>
      </c>
      <c r="I31" s="78">
        <v>1.3148569813718594</v>
      </c>
      <c r="J31" s="78">
        <v>1.3148569811057271</v>
      </c>
      <c r="K31" s="78">
        <v>1.3148569811944446</v>
      </c>
      <c r="L31" s="78">
        <v>1.31485698116487</v>
      </c>
    </row>
    <row r="32" spans="1:12" ht="15">
      <c r="A32" s="97"/>
      <c r="B32" s="97"/>
      <c r="C32" s="78">
        <v>1.0847649103305625</v>
      </c>
      <c r="D32" s="78">
        <v>1.0847647392770685</v>
      </c>
      <c r="E32" s="78">
        <v>1.0847647962997717</v>
      </c>
      <c r="F32" s="78">
        <v>1.0847647772906921</v>
      </c>
      <c r="G32" s="78">
        <v>1.0847647836275378</v>
      </c>
      <c r="H32" s="78">
        <v>1.0847647815150967</v>
      </c>
      <c r="I32" s="78">
        <v>1.0847647822192963</v>
      </c>
      <c r="J32" s="78">
        <v>1.0847647819845456</v>
      </c>
      <c r="K32" s="78">
        <v>1.0847647820628017</v>
      </c>
      <c r="L32" s="78">
        <v>1.0847647820367143</v>
      </c>
    </row>
    <row r="33" spans="1:12" ht="15">
      <c r="A33" s="79" t="s">
        <v>52</v>
      </c>
      <c r="B33" s="74" t="s">
        <v>4</v>
      </c>
      <c r="C33" s="94">
        <f>1/IF(MAX(C30:C32)&gt;ABS(MIN(C30:C32)),MAX(C30:C32),MIN(C30:C32))</f>
        <v>0.71447860465241642</v>
      </c>
      <c r="D33" s="94">
        <f>1/IF(MAX(D30:D32)&gt;ABS(MIN(D30:D32)),MAX(D30:D32),MIN(D30:D32))</f>
        <v>0.71447879096944344</v>
      </c>
      <c r="E33" s="94">
        <f t="shared" ref="E33:L33" si="12">1/IF(MAX(E30:E32)&gt;ABS(MIN(E30:E32)),MAX(E30:E32),MIN(E30:E32))</f>
        <v>0.71447872885942298</v>
      </c>
      <c r="F33" s="94">
        <f t="shared" si="12"/>
        <v>0.71447874956425683</v>
      </c>
      <c r="G33" s="94">
        <f t="shared" si="12"/>
        <v>0.71447874266214018</v>
      </c>
      <c r="H33" s="94">
        <f t="shared" si="12"/>
        <v>0.71447874496301522</v>
      </c>
      <c r="I33" s="94">
        <f t="shared" si="12"/>
        <v>0.71447874419600022</v>
      </c>
      <c r="J33" s="94">
        <f t="shared" si="12"/>
        <v>0.71447874445169091</v>
      </c>
      <c r="K33" s="94">
        <f t="shared" si="12"/>
        <v>0.71447874436645431</v>
      </c>
      <c r="L33" s="94">
        <f t="shared" si="12"/>
        <v>0.71447874439486847</v>
      </c>
    </row>
    <row r="34" spans="1:12">
      <c r="A34" s="80"/>
      <c r="B34" s="81" t="s">
        <v>53</v>
      </c>
      <c r="C34" s="81" t="s">
        <v>54</v>
      </c>
      <c r="D34" s="91">
        <f>ABS(D33-C33)</f>
        <v>1.8631702702887054E-7</v>
      </c>
      <c r="E34" s="92">
        <f t="shared" ref="E34:L34" si="13">ABS(E33-D33)</f>
        <v>6.2110020460082183E-8</v>
      </c>
      <c r="F34" s="92">
        <f t="shared" si="13"/>
        <v>2.0704833847418058E-8</v>
      </c>
      <c r="G34" s="92">
        <f t="shared" si="13"/>
        <v>6.9021166559934954E-9</v>
      </c>
      <c r="H34" s="92">
        <f t="shared" si="13"/>
        <v>2.3008750460462579E-9</v>
      </c>
      <c r="I34" s="92">
        <f t="shared" si="13"/>
        <v>7.6701500706377601E-10</v>
      </c>
      <c r="J34" s="92">
        <f t="shared" si="13"/>
        <v>2.5569069084241391E-10</v>
      </c>
      <c r="K34" s="92">
        <f t="shared" si="13"/>
        <v>8.5236595559479156E-11</v>
      </c>
      <c r="L34" s="82">
        <f t="shared" si="13"/>
        <v>2.8414159913836556E-11</v>
      </c>
    </row>
    <row r="35" spans="1:12">
      <c r="A35" s="83">
        <v>0.05</v>
      </c>
      <c r="B35" s="84"/>
      <c r="C35" s="84" t="s">
        <v>55</v>
      </c>
      <c r="D35" s="93">
        <f t="shared" ref="D35:L35" si="14">ABS((D33-C33)/D33)*100</f>
        <v>2.6077334888564783E-5</v>
      </c>
      <c r="E35" s="93">
        <f t="shared" si="14"/>
        <v>8.6930538239022389E-6</v>
      </c>
      <c r="F35" s="93">
        <f t="shared" si="14"/>
        <v>2.8978935846651049E-6</v>
      </c>
      <c r="G35" s="93">
        <f t="shared" si="14"/>
        <v>9.6603527073125835E-7</v>
      </c>
      <c r="H35" s="93">
        <f t="shared" si="14"/>
        <v>3.2203547862929947E-7</v>
      </c>
      <c r="I35" s="93">
        <f t="shared" si="14"/>
        <v>1.073530896887485E-7</v>
      </c>
      <c r="J35" s="93">
        <f t="shared" si="14"/>
        <v>3.578702555226292E-8</v>
      </c>
      <c r="K35" s="93">
        <f t="shared" si="14"/>
        <v>1.1929899417100296E-8</v>
      </c>
      <c r="L35" s="93">
        <f t="shared" si="14"/>
        <v>3.9769076598495698E-9</v>
      </c>
    </row>
  </sheetData>
  <conditionalFormatting sqref="D16:L16">
    <cfRule type="cellIs" dxfId="3" priority="4" operator="lessThan">
      <formula>$A$16</formula>
    </cfRule>
  </conditionalFormatting>
  <conditionalFormatting sqref="D17:L17">
    <cfRule type="cellIs" dxfId="2" priority="3" operator="lessThan">
      <formula>$A$17</formula>
    </cfRule>
  </conditionalFormatting>
  <conditionalFormatting sqref="D34:L34">
    <cfRule type="cellIs" dxfId="1" priority="2" operator="lessThan">
      <formula>$A$34</formula>
    </cfRule>
  </conditionalFormatting>
  <conditionalFormatting sqref="D35:L35">
    <cfRule type="cellIs" dxfId="0" priority="1" operator="lessThan">
      <formula>$A$35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VICTORIA MONSERRAT MUÑOZ SAN AGUSTIN</dc:creator>
  <cp:keywords/>
  <dc:description/>
  <cp:lastModifiedBy>uriel ivan guerrero lopez</cp:lastModifiedBy>
  <cp:revision/>
  <dcterms:created xsi:type="dcterms:W3CDTF">2024-04-09T05:45:55Z</dcterms:created>
  <dcterms:modified xsi:type="dcterms:W3CDTF">2024-05-20T04:12:32Z</dcterms:modified>
  <cp:category/>
  <cp:contentStatus/>
</cp:coreProperties>
</file>