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1101" documentId="8_{12E02F98-F817-4EE1-AE19-EC48AE7A4DC9}" xr6:coauthVersionLast="47" xr6:coauthVersionMax="47" xr10:uidLastSave="{EC5E8FB3-E789-4530-B5FC-F8E8941001A1}"/>
  <bookViews>
    <workbookView xWindow="-96" yWindow="0" windowWidth="11712" windowHeight="12336" firstSheet="8" activeTab="10" xr2:uid="{00000000-000D-0000-FFFF-FFFF00000000}"/>
  </bookViews>
  <sheets>
    <sheet name="bisección" sheetId="1" r:id="rId1"/>
    <sheet name="ejercicio 3" sheetId="2" r:id="rId2"/>
    <sheet name="Tarea E-1" sheetId="17" r:id="rId3"/>
    <sheet name="Tarea E-2" sheetId="18" r:id="rId4"/>
    <sheet name="Tarea E-3" sheetId="6" r:id="rId5"/>
    <sheet name="Tarea E-4" sheetId="9" r:id="rId6"/>
    <sheet name="Tarea E-5" sheetId="13" r:id="rId7"/>
    <sheet name="regla falsa (Tarea E-6)" sheetId="5" r:id="rId8"/>
    <sheet name="Tarea E-7" sheetId="10" r:id="rId9"/>
    <sheet name="Tarea E-8" sheetId="12" r:id="rId10"/>
    <sheet name="Tarea E-9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2" l="1"/>
  <c r="D5" i="18" l="1"/>
  <c r="H3" i="18"/>
  <c r="F3" i="18"/>
  <c r="D3" i="5"/>
  <c r="D5" i="9"/>
  <c r="F3" i="13"/>
  <c r="H3" i="13"/>
  <c r="F3" i="10"/>
  <c r="H3" i="17"/>
  <c r="F3" i="17"/>
  <c r="D3" i="17" l="1"/>
  <c r="D3" i="18"/>
  <c r="G3" i="18" s="1"/>
  <c r="E4" i="18" s="1"/>
  <c r="D3" i="13"/>
  <c r="G3" i="13" s="1"/>
  <c r="C4" i="13" s="1"/>
  <c r="F4" i="13" s="1"/>
  <c r="H3" i="11"/>
  <c r="F3" i="11"/>
  <c r="H3" i="12"/>
  <c r="F3" i="12"/>
  <c r="H3" i="10"/>
  <c r="H3" i="9"/>
  <c r="F3" i="9"/>
  <c r="H3" i="6"/>
  <c r="F3" i="6"/>
  <c r="D5" i="5"/>
  <c r="D4" i="5"/>
  <c r="F4" i="5"/>
  <c r="H4" i="5"/>
  <c r="H3" i="5"/>
  <c r="F3" i="5"/>
  <c r="F3" i="1"/>
  <c r="D3" i="1"/>
  <c r="H3" i="1"/>
  <c r="H4" i="18" l="1"/>
  <c r="E4" i="13"/>
  <c r="G3" i="17"/>
  <c r="D3" i="12"/>
  <c r="D3" i="11"/>
  <c r="G3" i="11" s="1"/>
  <c r="D3" i="10"/>
  <c r="G3" i="10" s="1"/>
  <c r="D3" i="9"/>
  <c r="G3" i="9" s="1"/>
  <c r="C4" i="9" s="1"/>
  <c r="F4" i="9" s="1"/>
  <c r="D3" i="6"/>
  <c r="G3" i="6" s="1"/>
  <c r="G3" i="5"/>
  <c r="C4" i="2"/>
  <c r="F4" i="2" s="1"/>
  <c r="H3" i="2"/>
  <c r="G3" i="2"/>
  <c r="F3" i="2"/>
  <c r="D3" i="2"/>
  <c r="G3" i="1"/>
  <c r="C4" i="18" l="1"/>
  <c r="F4" i="18" s="1"/>
  <c r="H4" i="13"/>
  <c r="D4" i="13" s="1"/>
  <c r="E4" i="17"/>
  <c r="C4" i="17"/>
  <c r="F4" i="17" s="1"/>
  <c r="G3" i="12"/>
  <c r="E4" i="12" s="1"/>
  <c r="H4" i="12" s="1"/>
  <c r="E4" i="11"/>
  <c r="H4" i="11" s="1"/>
  <c r="C4" i="11"/>
  <c r="F4" i="11" s="1"/>
  <c r="E4" i="9"/>
  <c r="H4" i="6"/>
  <c r="C4" i="6"/>
  <c r="F4" i="6" s="1"/>
  <c r="E4" i="1"/>
  <c r="H4" i="1" s="1"/>
  <c r="C4" i="1"/>
  <c r="D4" i="18" l="1"/>
  <c r="G4" i="18" s="1"/>
  <c r="I4" i="13"/>
  <c r="J4" i="13" s="1"/>
  <c r="G4" i="13"/>
  <c r="H4" i="9"/>
  <c r="D4" i="9" s="1"/>
  <c r="G4" i="9" s="1"/>
  <c r="H4" i="17"/>
  <c r="D4" i="17" s="1"/>
  <c r="G4" i="17" s="1"/>
  <c r="C4" i="12"/>
  <c r="F4" i="12" s="1"/>
  <c r="D4" i="11"/>
  <c r="G4" i="11" s="1"/>
  <c r="C4" i="10"/>
  <c r="F4" i="10" s="1"/>
  <c r="E4" i="10"/>
  <c r="H4" i="10" s="1"/>
  <c r="D4" i="6"/>
  <c r="G4" i="6" s="1"/>
  <c r="D4" i="1"/>
  <c r="G4" i="1" s="1"/>
  <c r="F4" i="1"/>
  <c r="C5" i="18" l="1"/>
  <c r="F5" i="18" s="1"/>
  <c r="I4" i="18"/>
  <c r="J4" i="18" s="1"/>
  <c r="C5" i="13"/>
  <c r="F5" i="13" s="1"/>
  <c r="E5" i="13"/>
  <c r="E5" i="17"/>
  <c r="I4" i="17"/>
  <c r="J4" i="17" s="1"/>
  <c r="I4" i="11"/>
  <c r="J4" i="11" s="1"/>
  <c r="E5" i="11"/>
  <c r="H5" i="11" s="1"/>
  <c r="D4" i="12"/>
  <c r="G4" i="12" s="1"/>
  <c r="D4" i="10"/>
  <c r="G4" i="10" s="1"/>
  <c r="I4" i="9"/>
  <c r="J4" i="9" s="1"/>
  <c r="E5" i="9"/>
  <c r="C5" i="9"/>
  <c r="F5" i="9" s="1"/>
  <c r="I4" i="6"/>
  <c r="J4" i="6" s="1"/>
  <c r="E5" i="6"/>
  <c r="C5" i="6"/>
  <c r="F5" i="6" s="1"/>
  <c r="I4" i="1"/>
  <c r="J4" i="1" s="1"/>
  <c r="H5" i="6" l="1"/>
  <c r="D5" i="6" s="1"/>
  <c r="G5" i="6" s="1"/>
  <c r="E5" i="18"/>
  <c r="H5" i="18" s="1"/>
  <c r="H5" i="13"/>
  <c r="D5" i="13" s="1"/>
  <c r="H5" i="17"/>
  <c r="C5" i="17"/>
  <c r="F5" i="17" s="1"/>
  <c r="I4" i="12"/>
  <c r="J4" i="12" s="1"/>
  <c r="C5" i="11"/>
  <c r="F5" i="11" s="1"/>
  <c r="I4" i="10"/>
  <c r="J4" i="10" s="1"/>
  <c r="E5" i="10"/>
  <c r="H5" i="10" s="1"/>
  <c r="H5" i="9"/>
  <c r="G5" i="9" s="1"/>
  <c r="C5" i="1"/>
  <c r="E5" i="1"/>
  <c r="H5" i="1" s="1"/>
  <c r="D5" i="17" l="1"/>
  <c r="G5" i="17" s="1"/>
  <c r="G5" i="18"/>
  <c r="I5" i="13"/>
  <c r="J5" i="13" s="1"/>
  <c r="G5" i="13"/>
  <c r="C5" i="12"/>
  <c r="F5" i="12" s="1"/>
  <c r="E5" i="12"/>
  <c r="D5" i="11"/>
  <c r="G5" i="11" s="1"/>
  <c r="C5" i="10"/>
  <c r="F5" i="10" s="1"/>
  <c r="I5" i="9"/>
  <c r="J5" i="9" s="1"/>
  <c r="I5" i="6"/>
  <c r="J5" i="6" s="1"/>
  <c r="F5" i="1"/>
  <c r="D5" i="1"/>
  <c r="G5" i="1" s="1"/>
  <c r="I5" i="18" l="1"/>
  <c r="J5" i="18" s="1"/>
  <c r="E6" i="13"/>
  <c r="C6" i="13"/>
  <c r="F6" i="13" s="1"/>
  <c r="I5" i="17"/>
  <c r="J5" i="17" s="1"/>
  <c r="I5" i="11"/>
  <c r="J5" i="11" s="1"/>
  <c r="C6" i="11"/>
  <c r="F6" i="11" s="1"/>
  <c r="E6" i="17"/>
  <c r="C6" i="17"/>
  <c r="F6" i="17" s="1"/>
  <c r="H5" i="12"/>
  <c r="D5" i="12" s="1"/>
  <c r="D5" i="10"/>
  <c r="E6" i="9"/>
  <c r="C6" i="9"/>
  <c r="F6" i="9" s="1"/>
  <c r="C6" i="6"/>
  <c r="F6" i="6" s="1"/>
  <c r="E6" i="6"/>
  <c r="I5" i="1"/>
  <c r="J5" i="1" s="1"/>
  <c r="E6" i="18" l="1"/>
  <c r="C6" i="18"/>
  <c r="F6" i="18" s="1"/>
  <c r="D6" i="9"/>
  <c r="H6" i="13"/>
  <c r="D6" i="13" s="1"/>
  <c r="H6" i="17"/>
  <c r="D6" i="17" s="1"/>
  <c r="J5" i="12"/>
  <c r="G5" i="12"/>
  <c r="E6" i="11"/>
  <c r="H6" i="11" s="1"/>
  <c r="I5" i="10"/>
  <c r="J5" i="10" s="1"/>
  <c r="G5" i="10"/>
  <c r="C6" i="10" s="1"/>
  <c r="F6" i="10" s="1"/>
  <c r="H6" i="9"/>
  <c r="H6" i="6"/>
  <c r="D6" i="6" s="1"/>
  <c r="G6" i="6" s="1"/>
  <c r="C6" i="1"/>
  <c r="E6" i="1"/>
  <c r="H6" i="1" s="1"/>
  <c r="H6" i="18" l="1"/>
  <c r="D6" i="18"/>
  <c r="G6" i="18"/>
  <c r="G6" i="9"/>
  <c r="I6" i="13"/>
  <c r="J6" i="13" s="1"/>
  <c r="G6" i="13"/>
  <c r="G6" i="17"/>
  <c r="E6" i="12"/>
  <c r="C6" i="12"/>
  <c r="F6" i="12" s="1"/>
  <c r="D6" i="11"/>
  <c r="G6" i="11" s="1"/>
  <c r="E6" i="10"/>
  <c r="I6" i="9"/>
  <c r="J6" i="9" s="1"/>
  <c r="I6" i="6"/>
  <c r="J6" i="6" s="1"/>
  <c r="F6" i="1"/>
  <c r="D6" i="1"/>
  <c r="G6" i="1" s="1"/>
  <c r="I6" i="18" l="1"/>
  <c r="J6" i="18" s="1"/>
  <c r="C7" i="13"/>
  <c r="F7" i="13" s="1"/>
  <c r="E7" i="13"/>
  <c r="I6" i="17"/>
  <c r="J6" i="17" s="1"/>
  <c r="E7" i="11"/>
  <c r="H7" i="11" s="1"/>
  <c r="E7" i="17"/>
  <c r="C7" i="17"/>
  <c r="F7" i="17" s="1"/>
  <c r="H6" i="12"/>
  <c r="D6" i="12" s="1"/>
  <c r="I6" i="11"/>
  <c r="J6" i="11" s="1"/>
  <c r="H6" i="10"/>
  <c r="D6" i="10" s="1"/>
  <c r="C7" i="9"/>
  <c r="F7" i="9" s="1"/>
  <c r="E7" i="9"/>
  <c r="C7" i="6"/>
  <c r="F7" i="6" s="1"/>
  <c r="E7" i="6"/>
  <c r="C7" i="1"/>
  <c r="I6" i="1"/>
  <c r="J6" i="1" s="1"/>
  <c r="E7" i="18" l="1"/>
  <c r="C7" i="18"/>
  <c r="F7" i="18" s="1"/>
  <c r="H7" i="13"/>
  <c r="D7" i="13" s="1"/>
  <c r="H7" i="17"/>
  <c r="D7" i="17" s="1"/>
  <c r="C7" i="11"/>
  <c r="F7" i="11" s="1"/>
  <c r="G6" i="12"/>
  <c r="I6" i="12"/>
  <c r="J6" i="12" s="1"/>
  <c r="G6" i="10"/>
  <c r="E7" i="10" s="1"/>
  <c r="H7" i="10" s="1"/>
  <c r="I6" i="10"/>
  <c r="J6" i="10" s="1"/>
  <c r="H7" i="9"/>
  <c r="H7" i="6"/>
  <c r="D7" i="6"/>
  <c r="G7" i="6" s="1"/>
  <c r="F7" i="1"/>
  <c r="E7" i="1"/>
  <c r="H7" i="1" s="1"/>
  <c r="H7" i="18" l="1"/>
  <c r="D7" i="18"/>
  <c r="G7" i="18"/>
  <c r="D7" i="9"/>
  <c r="I7" i="9" s="1"/>
  <c r="J7" i="9" s="1"/>
  <c r="I7" i="13"/>
  <c r="J7" i="13" s="1"/>
  <c r="G7" i="13"/>
  <c r="G7" i="17"/>
  <c r="D7" i="11"/>
  <c r="I7" i="17"/>
  <c r="J7" i="17" s="1"/>
  <c r="E7" i="12"/>
  <c r="C7" i="12"/>
  <c r="F7" i="12" s="1"/>
  <c r="C7" i="10"/>
  <c r="F7" i="10" s="1"/>
  <c r="D7" i="10" s="1"/>
  <c r="G7" i="10" s="1"/>
  <c r="I7" i="6"/>
  <c r="J7" i="6" s="1"/>
  <c r="D7" i="1"/>
  <c r="G7" i="1" s="1"/>
  <c r="I7" i="18" l="1"/>
  <c r="J7" i="18" s="1"/>
  <c r="G7" i="9"/>
  <c r="E8" i="9" s="1"/>
  <c r="E8" i="13"/>
  <c r="C8" i="13"/>
  <c r="F8" i="13" s="1"/>
  <c r="G7" i="11"/>
  <c r="C8" i="11" s="1"/>
  <c r="F8" i="11" s="1"/>
  <c r="I7" i="11"/>
  <c r="J7" i="11" s="1"/>
  <c r="E8" i="17"/>
  <c r="C8" i="17"/>
  <c r="F8" i="17" s="1"/>
  <c r="H7" i="12"/>
  <c r="D7" i="12" s="1"/>
  <c r="I7" i="10"/>
  <c r="J7" i="10" s="1"/>
  <c r="E8" i="10"/>
  <c r="H8" i="10" s="1"/>
  <c r="C8" i="10"/>
  <c r="F8" i="10" s="1"/>
  <c r="E8" i="6"/>
  <c r="C8" i="6"/>
  <c r="F8" i="6" s="1"/>
  <c r="I7" i="1"/>
  <c r="J7" i="1" s="1"/>
  <c r="C8" i="18" l="1"/>
  <c r="F8" i="18" s="1"/>
  <c r="E8" i="18"/>
  <c r="C8" i="9"/>
  <c r="F8" i="9" s="1"/>
  <c r="H8" i="13"/>
  <c r="D8" i="13" s="1"/>
  <c r="H8" i="17"/>
  <c r="D8" i="17" s="1"/>
  <c r="E8" i="11"/>
  <c r="H8" i="11" s="1"/>
  <c r="G7" i="12"/>
  <c r="I7" i="12"/>
  <c r="J7" i="12" s="1"/>
  <c r="H8" i="9"/>
  <c r="D8" i="10"/>
  <c r="G8" i="10" s="1"/>
  <c r="H8" i="6"/>
  <c r="D8" i="6" s="1"/>
  <c r="G8" i="6" s="1"/>
  <c r="E8" i="1"/>
  <c r="H8" i="1" s="1"/>
  <c r="C8" i="1"/>
  <c r="H8" i="18" l="1"/>
  <c r="D8" i="18"/>
  <c r="G8" i="18" s="1"/>
  <c r="D8" i="9"/>
  <c r="G8" i="9" s="1"/>
  <c r="I8" i="13"/>
  <c r="J8" i="13" s="1"/>
  <c r="G8" i="13"/>
  <c r="G8" i="17"/>
  <c r="D8" i="11"/>
  <c r="G8" i="11" s="1"/>
  <c r="E9" i="11" s="1"/>
  <c r="H9" i="11" s="1"/>
  <c r="E8" i="12"/>
  <c r="C8" i="12"/>
  <c r="F8" i="12" s="1"/>
  <c r="I8" i="10"/>
  <c r="J8" i="10" s="1"/>
  <c r="I8" i="6"/>
  <c r="J8" i="6" s="1"/>
  <c r="D8" i="1"/>
  <c r="G8" i="1" s="1"/>
  <c r="F8" i="1"/>
  <c r="I8" i="18" l="1"/>
  <c r="J8" i="18" s="1"/>
  <c r="I8" i="9"/>
  <c r="J8" i="9" s="1"/>
  <c r="C9" i="13"/>
  <c r="F9" i="13" s="1"/>
  <c r="E9" i="13"/>
  <c r="I8" i="17"/>
  <c r="J8" i="17" s="1"/>
  <c r="C9" i="11"/>
  <c r="F9" i="11" s="1"/>
  <c r="I8" i="11"/>
  <c r="J8" i="11" s="1"/>
  <c r="E9" i="17"/>
  <c r="C9" i="17"/>
  <c r="F9" i="17" s="1"/>
  <c r="H8" i="12"/>
  <c r="D8" i="12" s="1"/>
  <c r="E9" i="10"/>
  <c r="H9" i="10" s="1"/>
  <c r="C9" i="10"/>
  <c r="F9" i="10" s="1"/>
  <c r="E9" i="9"/>
  <c r="C9" i="9"/>
  <c r="F9" i="9" s="1"/>
  <c r="E9" i="6"/>
  <c r="C9" i="6"/>
  <c r="F9" i="6" s="1"/>
  <c r="I8" i="1"/>
  <c r="J8" i="1" s="1"/>
  <c r="C9" i="18" l="1"/>
  <c r="F9" i="18" s="1"/>
  <c r="E9" i="18"/>
  <c r="H9" i="13"/>
  <c r="D9" i="13" s="1"/>
  <c r="H9" i="17"/>
  <c r="D9" i="17" s="1"/>
  <c r="D9" i="11"/>
  <c r="G9" i="11" s="1"/>
  <c r="G8" i="12"/>
  <c r="I8" i="12"/>
  <c r="J8" i="12" s="1"/>
  <c r="H9" i="9"/>
  <c r="D9" i="9" s="1"/>
  <c r="D9" i="10"/>
  <c r="G9" i="10" s="1"/>
  <c r="H9" i="6"/>
  <c r="D9" i="6" s="1"/>
  <c r="G9" i="6" s="1"/>
  <c r="E9" i="1"/>
  <c r="H9" i="1" s="1"/>
  <c r="C9" i="1"/>
  <c r="H9" i="18" l="1"/>
  <c r="D9" i="18" s="1"/>
  <c r="G9" i="18" s="1"/>
  <c r="G9" i="9"/>
  <c r="I9" i="13"/>
  <c r="J9" i="13" s="1"/>
  <c r="G9" i="13"/>
  <c r="G9" i="17"/>
  <c r="I9" i="11"/>
  <c r="J9" i="11" s="1"/>
  <c r="E9" i="12"/>
  <c r="C9" i="12"/>
  <c r="F9" i="12" s="1"/>
  <c r="E10" i="11"/>
  <c r="H10" i="11" s="1"/>
  <c r="C10" i="11"/>
  <c r="F10" i="11" s="1"/>
  <c r="I9" i="10"/>
  <c r="J9" i="10" s="1"/>
  <c r="I9" i="9"/>
  <c r="J9" i="9" s="1"/>
  <c r="I9" i="6"/>
  <c r="J9" i="6" s="1"/>
  <c r="D9" i="1"/>
  <c r="G9" i="1" s="1"/>
  <c r="F9" i="1"/>
  <c r="I9" i="18" l="1"/>
  <c r="J9" i="18" s="1"/>
  <c r="E10" i="13"/>
  <c r="C10" i="13"/>
  <c r="F10" i="13" s="1"/>
  <c r="I9" i="17"/>
  <c r="J9" i="17" s="1"/>
  <c r="E10" i="17"/>
  <c r="C10" i="17"/>
  <c r="F10" i="17" s="1"/>
  <c r="H9" i="12"/>
  <c r="D9" i="12" s="1"/>
  <c r="D10" i="11"/>
  <c r="G10" i="11" s="1"/>
  <c r="E10" i="10"/>
  <c r="H10" i="10" s="1"/>
  <c r="C10" i="10"/>
  <c r="F10" i="10" s="1"/>
  <c r="C10" i="9"/>
  <c r="F10" i="9" s="1"/>
  <c r="E10" i="9"/>
  <c r="C10" i="6"/>
  <c r="F10" i="6" s="1"/>
  <c r="E10" i="6"/>
  <c r="I9" i="1"/>
  <c r="J9" i="1" s="1"/>
  <c r="C10" i="18" l="1"/>
  <c r="F10" i="18" s="1"/>
  <c r="E10" i="18"/>
  <c r="D10" i="9"/>
  <c r="H10" i="13"/>
  <c r="D10" i="13" s="1"/>
  <c r="H10" i="17"/>
  <c r="D10" i="17" s="1"/>
  <c r="G9" i="12"/>
  <c r="I9" i="12"/>
  <c r="J9" i="12" s="1"/>
  <c r="I10" i="11"/>
  <c r="J10" i="11" s="1"/>
  <c r="H10" i="9"/>
  <c r="D10" i="10"/>
  <c r="G10" i="10" s="1"/>
  <c r="H10" i="6"/>
  <c r="D10" i="6" s="1"/>
  <c r="G10" i="6" s="1"/>
  <c r="C10" i="1"/>
  <c r="E10" i="1"/>
  <c r="H10" i="1" s="1"/>
  <c r="H10" i="18" l="1"/>
  <c r="D10" i="18" s="1"/>
  <c r="G10" i="18" s="1"/>
  <c r="G10" i="9"/>
  <c r="I10" i="13"/>
  <c r="J10" i="13" s="1"/>
  <c r="G10" i="13"/>
  <c r="G10" i="17"/>
  <c r="I10" i="17"/>
  <c r="J10" i="17" s="1"/>
  <c r="E10" i="12"/>
  <c r="C10" i="12"/>
  <c r="F10" i="12" s="1"/>
  <c r="E11" i="11"/>
  <c r="H11" i="11" s="1"/>
  <c r="C11" i="11"/>
  <c r="F11" i="11" s="1"/>
  <c r="I10" i="10"/>
  <c r="J10" i="10" s="1"/>
  <c r="I10" i="9"/>
  <c r="J10" i="9" s="1"/>
  <c r="I10" i="6"/>
  <c r="J10" i="6" s="1"/>
  <c r="F10" i="1"/>
  <c r="D10" i="1"/>
  <c r="G10" i="1" s="1"/>
  <c r="I10" i="18" l="1"/>
  <c r="J10" i="18" s="1"/>
  <c r="C11" i="13"/>
  <c r="F11" i="13" s="1"/>
  <c r="E11" i="13"/>
  <c r="E11" i="17"/>
  <c r="C11" i="17"/>
  <c r="F11" i="17" s="1"/>
  <c r="H10" i="12"/>
  <c r="D10" i="12" s="1"/>
  <c r="D11" i="11"/>
  <c r="G11" i="11" s="1"/>
  <c r="E11" i="10"/>
  <c r="H11" i="10" s="1"/>
  <c r="C11" i="10"/>
  <c r="F11" i="10" s="1"/>
  <c r="C11" i="9"/>
  <c r="F11" i="9" s="1"/>
  <c r="E11" i="9"/>
  <c r="E11" i="6"/>
  <c r="C11" i="6"/>
  <c r="F11" i="6" s="1"/>
  <c r="I10" i="1"/>
  <c r="J10" i="1" s="1"/>
  <c r="E11" i="18" l="1"/>
  <c r="C11" i="18"/>
  <c r="F11" i="18" s="1"/>
  <c r="H11" i="13"/>
  <c r="D11" i="13" s="1"/>
  <c r="H11" i="17"/>
  <c r="D11" i="17" s="1"/>
  <c r="G10" i="12"/>
  <c r="I10" i="12"/>
  <c r="J10" i="12" s="1"/>
  <c r="I11" i="11"/>
  <c r="J11" i="11" s="1"/>
  <c r="H11" i="9"/>
  <c r="D11" i="10"/>
  <c r="G11" i="10" s="1"/>
  <c r="H11" i="6"/>
  <c r="D11" i="6" s="1"/>
  <c r="G11" i="6" s="1"/>
  <c r="C11" i="1"/>
  <c r="E11" i="1"/>
  <c r="H11" i="1" s="1"/>
  <c r="H11" i="18" l="1"/>
  <c r="D11" i="18"/>
  <c r="G11" i="18" s="1"/>
  <c r="D11" i="9"/>
  <c r="G11" i="9" s="1"/>
  <c r="I11" i="13"/>
  <c r="J11" i="13" s="1"/>
  <c r="G11" i="13"/>
  <c r="G11" i="17"/>
  <c r="E11" i="12"/>
  <c r="C11" i="12"/>
  <c r="F11" i="12" s="1"/>
  <c r="E12" i="11"/>
  <c r="H12" i="11" s="1"/>
  <c r="C12" i="11"/>
  <c r="F12" i="11" s="1"/>
  <c r="I11" i="10"/>
  <c r="J11" i="10" s="1"/>
  <c r="I11" i="9"/>
  <c r="J11" i="9" s="1"/>
  <c r="I11" i="6"/>
  <c r="J11" i="6" s="1"/>
  <c r="D11" i="1"/>
  <c r="G11" i="1" s="1"/>
  <c r="F11" i="1"/>
  <c r="E4" i="2"/>
  <c r="I11" i="18" l="1"/>
  <c r="J11" i="18" s="1"/>
  <c r="E12" i="13"/>
  <c r="C12" i="13"/>
  <c r="F12" i="13" s="1"/>
  <c r="I11" i="17"/>
  <c r="J11" i="17" s="1"/>
  <c r="E12" i="17"/>
  <c r="C12" i="17"/>
  <c r="F12" i="17" s="1"/>
  <c r="H11" i="12"/>
  <c r="D11" i="12" s="1"/>
  <c r="D12" i="11"/>
  <c r="G12" i="11" s="1"/>
  <c r="E12" i="10"/>
  <c r="H12" i="10" s="1"/>
  <c r="C12" i="10"/>
  <c r="F12" i="10" s="1"/>
  <c r="E12" i="9"/>
  <c r="C12" i="9"/>
  <c r="F12" i="9" s="1"/>
  <c r="C12" i="6"/>
  <c r="F12" i="6" s="1"/>
  <c r="E12" i="6"/>
  <c r="I11" i="1"/>
  <c r="J11" i="1" s="1"/>
  <c r="D4" i="2"/>
  <c r="G4" i="2" s="1"/>
  <c r="C5" i="2" s="1"/>
  <c r="H4" i="2"/>
  <c r="E12" i="18" l="1"/>
  <c r="C12" i="18"/>
  <c r="F12" i="18" s="1"/>
  <c r="H12" i="13"/>
  <c r="D12" i="13" s="1"/>
  <c r="H12" i="17"/>
  <c r="D12" i="17" s="1"/>
  <c r="G11" i="12"/>
  <c r="I11" i="12"/>
  <c r="J11" i="12" s="1"/>
  <c r="I12" i="11"/>
  <c r="J12" i="11" s="1"/>
  <c r="H12" i="9"/>
  <c r="D12" i="10"/>
  <c r="G12" i="10" s="1"/>
  <c r="H12" i="6"/>
  <c r="D12" i="6" s="1"/>
  <c r="G12" i="6" s="1"/>
  <c r="E12" i="1"/>
  <c r="H12" i="1" s="1"/>
  <c r="C12" i="1"/>
  <c r="F5" i="2"/>
  <c r="E5" i="2"/>
  <c r="H5" i="2" s="1"/>
  <c r="I4" i="2"/>
  <c r="J4" i="2" s="1"/>
  <c r="H12" i="18" l="1"/>
  <c r="D12" i="18"/>
  <c r="G12" i="18"/>
  <c r="D12" i="9"/>
  <c r="G12" i="9" s="1"/>
  <c r="I12" i="13"/>
  <c r="J12" i="13" s="1"/>
  <c r="G12" i="13"/>
  <c r="G12" i="17"/>
  <c r="E12" i="12"/>
  <c r="C12" i="12"/>
  <c r="F12" i="12" s="1"/>
  <c r="C13" i="11"/>
  <c r="F13" i="11" s="1"/>
  <c r="E13" i="11"/>
  <c r="H13" i="11" s="1"/>
  <c r="I12" i="10"/>
  <c r="J12" i="10" s="1"/>
  <c r="I12" i="9"/>
  <c r="J12" i="9" s="1"/>
  <c r="I12" i="6"/>
  <c r="J12" i="6" s="1"/>
  <c r="D12" i="1"/>
  <c r="G12" i="1" s="1"/>
  <c r="F12" i="1"/>
  <c r="D5" i="2"/>
  <c r="I12" i="18" l="1"/>
  <c r="J12" i="18" s="1"/>
  <c r="C13" i="13"/>
  <c r="F13" i="13" s="1"/>
  <c r="E13" i="13"/>
  <c r="I12" i="17"/>
  <c r="J12" i="17" s="1"/>
  <c r="E13" i="17"/>
  <c r="C13" i="17"/>
  <c r="F13" i="17" s="1"/>
  <c r="H12" i="12"/>
  <c r="D12" i="12" s="1"/>
  <c r="D13" i="11"/>
  <c r="G13" i="11" s="1"/>
  <c r="E13" i="10"/>
  <c r="H13" i="10" s="1"/>
  <c r="C13" i="10"/>
  <c r="F13" i="10" s="1"/>
  <c r="E13" i="9"/>
  <c r="C13" i="9"/>
  <c r="F13" i="9" s="1"/>
  <c r="E13" i="6"/>
  <c r="C13" i="6"/>
  <c r="F13" i="6" s="1"/>
  <c r="I12" i="1"/>
  <c r="J12" i="1" s="1"/>
  <c r="G5" i="2"/>
  <c r="I5" i="2"/>
  <c r="J5" i="2" s="1"/>
  <c r="E13" i="18" l="1"/>
  <c r="C13" i="18"/>
  <c r="F13" i="18" s="1"/>
  <c r="H13" i="13"/>
  <c r="D13" i="13" s="1"/>
  <c r="H13" i="17"/>
  <c r="D13" i="17" s="1"/>
  <c r="G12" i="12"/>
  <c r="I12" i="12"/>
  <c r="J12" i="12" s="1"/>
  <c r="I13" i="11"/>
  <c r="J13" i="11" s="1"/>
  <c r="H13" i="9"/>
  <c r="D13" i="10"/>
  <c r="G13" i="10" s="1"/>
  <c r="H13" i="6"/>
  <c r="D13" i="6" s="1"/>
  <c r="G13" i="6" s="1"/>
  <c r="C13" i="1"/>
  <c r="E13" i="1"/>
  <c r="H13" i="1" s="1"/>
  <c r="C6" i="2"/>
  <c r="E6" i="2"/>
  <c r="H6" i="2" s="1"/>
  <c r="H13" i="18" l="1"/>
  <c r="D13" i="18" s="1"/>
  <c r="G13" i="18" s="1"/>
  <c r="G13" i="9"/>
  <c r="D13" i="9"/>
  <c r="I13" i="13"/>
  <c r="J13" i="13" s="1"/>
  <c r="G13" i="13"/>
  <c r="G13" i="17"/>
  <c r="I13" i="17"/>
  <c r="J13" i="17" s="1"/>
  <c r="C13" i="12"/>
  <c r="F13" i="12" s="1"/>
  <c r="E13" i="12"/>
  <c r="E14" i="11"/>
  <c r="H14" i="11" s="1"/>
  <c r="C14" i="11"/>
  <c r="F14" i="11" s="1"/>
  <c r="I13" i="10"/>
  <c r="J13" i="10" s="1"/>
  <c r="I13" i="9"/>
  <c r="J13" i="9" s="1"/>
  <c r="I13" i="6"/>
  <c r="J13" i="6" s="1"/>
  <c r="D13" i="1"/>
  <c r="G13" i="1" s="1"/>
  <c r="F13" i="1"/>
  <c r="F6" i="2"/>
  <c r="D6" i="2"/>
  <c r="I13" i="18" l="1"/>
  <c r="J13" i="18" s="1"/>
  <c r="E14" i="13"/>
  <c r="C14" i="13"/>
  <c r="F14" i="13" s="1"/>
  <c r="E14" i="17"/>
  <c r="C14" i="17"/>
  <c r="F14" i="17" s="1"/>
  <c r="H13" i="12"/>
  <c r="D13" i="12" s="1"/>
  <c r="D14" i="11"/>
  <c r="G14" i="11" s="1"/>
  <c r="E15" i="11" s="1"/>
  <c r="H15" i="11" s="1"/>
  <c r="E14" i="10"/>
  <c r="H14" i="10" s="1"/>
  <c r="C14" i="10"/>
  <c r="F14" i="10" s="1"/>
  <c r="C14" i="9"/>
  <c r="F14" i="9" s="1"/>
  <c r="E14" i="9"/>
  <c r="E14" i="6"/>
  <c r="C14" i="6"/>
  <c r="F14" i="6" s="1"/>
  <c r="I13" i="1"/>
  <c r="J13" i="1" s="1"/>
  <c r="C7" i="2"/>
  <c r="G6" i="2"/>
  <c r="E7" i="2" s="1"/>
  <c r="H7" i="2" s="1"/>
  <c r="I6" i="2"/>
  <c r="J6" i="2" s="1"/>
  <c r="C15" i="11" l="1"/>
  <c r="F15" i="11" s="1"/>
  <c r="E14" i="18"/>
  <c r="C14" i="18"/>
  <c r="F14" i="18" s="1"/>
  <c r="H14" i="13"/>
  <c r="D14" i="13" s="1"/>
  <c r="H14" i="17"/>
  <c r="D14" i="17" s="1"/>
  <c r="G13" i="12"/>
  <c r="I13" i="12"/>
  <c r="J13" i="12" s="1"/>
  <c r="I14" i="11"/>
  <c r="J14" i="11" s="1"/>
  <c r="H14" i="9"/>
  <c r="D14" i="9" s="1"/>
  <c r="D14" i="10"/>
  <c r="G14" i="10" s="1"/>
  <c r="H14" i="6"/>
  <c r="D14" i="6" s="1"/>
  <c r="G14" i="6" s="1"/>
  <c r="C14" i="1"/>
  <c r="E14" i="1"/>
  <c r="H14" i="1" s="1"/>
  <c r="F7" i="2"/>
  <c r="D7" i="2"/>
  <c r="D15" i="11" l="1"/>
  <c r="H14" i="18"/>
  <c r="D14" i="18"/>
  <c r="G14" i="18" s="1"/>
  <c r="G14" i="9"/>
  <c r="I14" i="13"/>
  <c r="J14" i="13" s="1"/>
  <c r="G14" i="13"/>
  <c r="G14" i="17"/>
  <c r="I14" i="17"/>
  <c r="J14" i="17" s="1"/>
  <c r="E14" i="12"/>
  <c r="C14" i="12"/>
  <c r="F14" i="12" s="1"/>
  <c r="I14" i="10"/>
  <c r="J14" i="10" s="1"/>
  <c r="I14" i="9"/>
  <c r="J14" i="9" s="1"/>
  <c r="I14" i="6"/>
  <c r="J14" i="6" s="1"/>
  <c r="D14" i="1"/>
  <c r="G14" i="1" s="1"/>
  <c r="F14" i="1"/>
  <c r="G7" i="2"/>
  <c r="C8" i="2" s="1"/>
  <c r="I7" i="2"/>
  <c r="J7" i="2" s="1"/>
  <c r="I15" i="11" l="1"/>
  <c r="J15" i="11" s="1"/>
  <c r="G15" i="11"/>
  <c r="I14" i="18"/>
  <c r="J14" i="18" s="1"/>
  <c r="H14" i="12"/>
  <c r="D14" i="12" s="1"/>
  <c r="I14" i="1"/>
  <c r="J14" i="1" s="1"/>
  <c r="E8" i="2"/>
  <c r="H8" i="2" s="1"/>
  <c r="F8" i="2"/>
  <c r="C16" i="11" l="1"/>
  <c r="F16" i="11" s="1"/>
  <c r="E16" i="11"/>
  <c r="G14" i="12"/>
  <c r="I14" i="12"/>
  <c r="J14" i="12" s="1"/>
  <c r="D8" i="2"/>
  <c r="G8" i="2" s="1"/>
  <c r="C9" i="2" s="1"/>
  <c r="H16" i="11" l="1"/>
  <c r="D16" i="11" s="1"/>
  <c r="I8" i="2"/>
  <c r="J8" i="2" s="1"/>
  <c r="E9" i="2"/>
  <c r="H9" i="2" s="1"/>
  <c r="F9" i="2"/>
  <c r="D9" i="2"/>
  <c r="G16" i="11" l="1"/>
  <c r="I16" i="11"/>
  <c r="J16" i="11" s="1"/>
  <c r="I9" i="2"/>
  <c r="J9" i="2" s="1"/>
  <c r="G9" i="2"/>
  <c r="C10" i="2" s="1"/>
  <c r="E17" i="11" l="1"/>
  <c r="H17" i="11" s="1"/>
  <c r="C17" i="11"/>
  <c r="F17" i="11" s="1"/>
  <c r="F10" i="2"/>
  <c r="E10" i="2"/>
  <c r="H10" i="2" s="1"/>
  <c r="D17" i="11" l="1"/>
  <c r="D10" i="2"/>
  <c r="I17" i="11" l="1"/>
  <c r="J17" i="11" s="1"/>
  <c r="G17" i="11"/>
  <c r="G10" i="2"/>
  <c r="I10" i="2"/>
  <c r="J10" i="2" s="1"/>
  <c r="E11" i="2" l="1"/>
  <c r="H11" i="2" s="1"/>
  <c r="C11" i="2"/>
  <c r="F11" i="2" l="1"/>
  <c r="D11" i="2"/>
  <c r="I11" i="2" l="1"/>
  <c r="J11" i="2" s="1"/>
  <c r="G11" i="2"/>
  <c r="C12" i="2" s="1"/>
  <c r="E12" i="2" l="1"/>
  <c r="H12" i="2" s="1"/>
  <c r="F12" i="2"/>
  <c r="D12" i="2" l="1"/>
  <c r="G12" i="2"/>
  <c r="E13" i="2" s="1"/>
  <c r="H13" i="2" s="1"/>
  <c r="I12" i="2"/>
  <c r="J12" i="2" s="1"/>
  <c r="C13" i="2" l="1"/>
  <c r="F13" i="2" s="1"/>
  <c r="D13" i="2" l="1"/>
  <c r="G13" i="2"/>
  <c r="E14" i="2" s="1"/>
  <c r="H14" i="2" s="1"/>
  <c r="I13" i="2"/>
  <c r="J13" i="2" s="1"/>
  <c r="C14" i="2" l="1"/>
  <c r="F14" i="2" l="1"/>
  <c r="D14" i="2"/>
  <c r="G14" i="2" l="1"/>
  <c r="I14" i="2"/>
  <c r="J14" i="2" s="1"/>
  <c r="E4" i="5" l="1"/>
  <c r="C4" i="5" l="1"/>
  <c r="G4" i="5" l="1"/>
  <c r="C5" i="5" l="1"/>
  <c r="F5" i="5" s="1"/>
  <c r="E5" i="5"/>
  <c r="I4" i="5"/>
  <c r="J4" i="5" s="1"/>
  <c r="H5" i="5" l="1"/>
  <c r="G5" i="5" s="1"/>
  <c r="E6" i="5" l="1"/>
  <c r="I5" i="5"/>
  <c r="J5" i="5" s="1"/>
  <c r="H6" i="5" l="1"/>
  <c r="D6" i="5" s="1"/>
  <c r="C6" i="5"/>
  <c r="F6" i="5" s="1"/>
  <c r="G6" i="5" l="1"/>
  <c r="C7" i="5" s="1"/>
  <c r="F7" i="5" s="1"/>
  <c r="I6" i="5"/>
  <c r="J6" i="5" s="1"/>
  <c r="E7" i="5" l="1"/>
  <c r="H7" i="5"/>
  <c r="D7" i="5" l="1"/>
  <c r="G7" i="5"/>
  <c r="C8" i="5" s="1"/>
  <c r="F8" i="5" s="1"/>
  <c r="E8" i="5"/>
  <c r="I7" i="5" l="1"/>
  <c r="J7" i="5" s="1"/>
  <c r="H8" i="5"/>
  <c r="D8" i="5" s="1"/>
  <c r="G8" i="5" l="1"/>
  <c r="C9" i="5" s="1"/>
  <c r="F9" i="5" s="1"/>
  <c r="I8" i="5"/>
  <c r="J8" i="5" s="1"/>
  <c r="E9" i="5" l="1"/>
  <c r="H9" i="5" l="1"/>
  <c r="D9" i="5" s="1"/>
  <c r="G9" i="5" l="1"/>
  <c r="I9" i="5"/>
  <c r="J9" i="5" s="1"/>
  <c r="C10" i="5" l="1"/>
  <c r="F10" i="5" s="1"/>
  <c r="E10" i="5"/>
  <c r="H10" i="5" l="1"/>
  <c r="D10" i="5" s="1"/>
  <c r="G10" i="5" l="1"/>
  <c r="I10" i="5"/>
  <c r="J10" i="5" s="1"/>
  <c r="E11" i="5" l="1"/>
  <c r="C11" i="5"/>
  <c r="F11" i="5" s="1"/>
  <c r="H11" i="5" l="1"/>
  <c r="D11" i="5" s="1"/>
  <c r="G11" i="5" l="1"/>
  <c r="I11" i="5"/>
  <c r="J11" i="5" s="1"/>
  <c r="E12" i="5" l="1"/>
  <c r="C12" i="5"/>
  <c r="F12" i="5" s="1"/>
  <c r="H12" i="5" l="1"/>
  <c r="D12" i="5" s="1"/>
  <c r="G12" i="5" l="1"/>
  <c r="I12" i="5"/>
  <c r="J12" i="5" s="1"/>
  <c r="C13" i="5" l="1"/>
  <c r="F13" i="5" s="1"/>
  <c r="E13" i="5"/>
  <c r="H13" i="5" l="1"/>
  <c r="D13" i="5" s="1"/>
  <c r="I13" i="5" l="1"/>
  <c r="J13" i="5" s="1"/>
  <c r="G13" i="5"/>
  <c r="E14" i="5" l="1"/>
  <c r="C14" i="5"/>
  <c r="F14" i="5" s="1"/>
  <c r="H14" i="5" l="1"/>
  <c r="D14" i="5" s="1"/>
  <c r="I14" i="5" l="1"/>
  <c r="J14" i="5" s="1"/>
  <c r="G14" i="5"/>
</calcChain>
</file>

<file path=xl/sharedStrings.xml><?xml version="1.0" encoding="utf-8"?>
<sst xmlns="http://schemas.openxmlformats.org/spreadsheetml/2006/main" count="125" uniqueCount="15">
  <si>
    <t>i</t>
  </si>
  <si>
    <t>xl</t>
  </si>
  <si>
    <t>xi</t>
  </si>
  <si>
    <t>xu</t>
  </si>
  <si>
    <t>fxl</t>
  </si>
  <si>
    <t>fxi</t>
  </si>
  <si>
    <t>fxu</t>
  </si>
  <si>
    <t>ea</t>
  </si>
  <si>
    <t>er%</t>
  </si>
  <si>
    <t>Bisección</t>
  </si>
  <si>
    <t>para que la condición sea válida debe existir un cambio de signo</t>
  </si>
  <si>
    <t>tolerancia:</t>
  </si>
  <si>
    <t>Regla Falsa</t>
  </si>
  <si>
    <t>rubisantiago011@gmail.com</t>
  </si>
  <si>
    <t>dudas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</si>
</sst>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i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/>
    <xf numFmtId="164" fontId="1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20"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9" tint="0.59996337778862885"/>
        </patternFill>
      </fill>
    </dxf>
    <dxf>
      <font>
        <b/>
        <i val="0"/>
        <color theme="5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8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9" tint="0.59996337778862885"/>
        </patternFill>
      </fill>
    </dxf>
    <dxf>
      <font>
        <b/>
        <i val="0"/>
        <color theme="5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ubisantiago011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7A0A-9778-0746-AC94-CB43EC352301}">
  <dimension ref="A1:K14"/>
  <sheetViews>
    <sheetView zoomScaleNormal="100" zoomScaleSheetLayoutView="100" workbookViewId="0">
      <selection sqref="A1:J14"/>
    </sheetView>
  </sheetViews>
  <sheetFormatPr baseColWidth="10" defaultColWidth="8.88671875" defaultRowHeight="14.4" x14ac:dyDescent="0.3"/>
  <cols>
    <col min="1" max="1" width="10.21875" bestFit="1" customWidth="1"/>
    <col min="2" max="2" width="3.44140625" bestFit="1" customWidth="1"/>
    <col min="3" max="3" width="12" bestFit="1" customWidth="1"/>
    <col min="4" max="5" width="14.44140625" bestFit="1" customWidth="1"/>
    <col min="6" max="7" width="15.21875" bestFit="1" customWidth="1"/>
    <col min="8" max="10" width="14.44140625" bestFit="1" customWidth="1"/>
  </cols>
  <sheetData>
    <row r="1" spans="1:11" ht="15.6" x14ac:dyDescent="0.3">
      <c r="A1" s="2" t="s">
        <v>9</v>
      </c>
      <c r="B1" s="1"/>
      <c r="C1" s="1"/>
      <c r="D1" s="1"/>
      <c r="E1" s="1"/>
      <c r="F1" s="1"/>
      <c r="G1" s="1"/>
      <c r="H1" s="8" t="s">
        <v>11</v>
      </c>
      <c r="I1" s="6">
        <v>1E-3</v>
      </c>
      <c r="J1" s="7">
        <v>0.1</v>
      </c>
    </row>
    <row r="2" spans="1:11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1" ht="15.6" x14ac:dyDescent="0.3">
      <c r="A3" s="1"/>
      <c r="B3" s="3">
        <v>1</v>
      </c>
      <c r="C3" s="5">
        <v>0</v>
      </c>
      <c r="D3" s="3">
        <f>(C3+E3)/2</f>
        <v>1</v>
      </c>
      <c r="E3" s="5">
        <v>2</v>
      </c>
      <c r="F3" s="3">
        <f t="shared" ref="F3:H4" si="0">C3^2/(C3+1)-1</f>
        <v>-1</v>
      </c>
      <c r="G3" s="3">
        <f t="shared" si="0"/>
        <v>-0.5</v>
      </c>
      <c r="H3" s="3">
        <f t="shared" si="0"/>
        <v>0.33333333333333326</v>
      </c>
      <c r="I3" s="3"/>
      <c r="J3" s="3"/>
      <c r="K3" t="s">
        <v>10</v>
      </c>
    </row>
    <row r="4" spans="1:11" ht="15" x14ac:dyDescent="0.3">
      <c r="B4" s="3">
        <v>2</v>
      </c>
      <c r="C4" s="3">
        <f>IF(F3*G3&lt;0,C3,D3)</f>
        <v>1</v>
      </c>
      <c r="D4" s="3">
        <f>(C4+E4)/2</f>
        <v>1.5</v>
      </c>
      <c r="E4" s="3">
        <f>IF(F3*G3&lt;0,D3,E3)</f>
        <v>2</v>
      </c>
      <c r="F4" s="3">
        <f t="shared" si="0"/>
        <v>-0.5</v>
      </c>
      <c r="G4" s="3">
        <f t="shared" si="0"/>
        <v>-9.9999999999999978E-2</v>
      </c>
      <c r="H4" s="3">
        <f t="shared" si="0"/>
        <v>0.33333333333333326</v>
      </c>
      <c r="I4" s="3">
        <f>ABS(D4-D3)</f>
        <v>0.5</v>
      </c>
      <c r="J4" s="3">
        <f>ABS(I4/D4)*100</f>
        <v>33.333333333333329</v>
      </c>
    </row>
    <row r="5" spans="1:11" ht="15" x14ac:dyDescent="0.3">
      <c r="B5" s="3">
        <v>3</v>
      </c>
      <c r="C5" s="3">
        <f t="shared" ref="C5:C14" si="1">IF(F4*G4&lt;0,C4,D4)</f>
        <v>1.5</v>
      </c>
      <c r="D5" s="3">
        <f t="shared" ref="D5:D14" si="2">(C5+E5)/2</f>
        <v>1.75</v>
      </c>
      <c r="E5" s="3">
        <f t="shared" ref="E5:E14" si="3">IF(F4*G4&lt;0,D4,E4)</f>
        <v>2</v>
      </c>
      <c r="F5" s="3">
        <f t="shared" ref="F5:F14" si="4">C5^2/(C5+1)-1</f>
        <v>-9.9999999999999978E-2</v>
      </c>
      <c r="G5" s="3">
        <f t="shared" ref="G5:G14" si="5">D5^2/(D5+1)-1</f>
        <v>0.11363636363636354</v>
      </c>
      <c r="H5" s="3">
        <f t="shared" ref="H5:H14" si="6">E5^2/(E5+1)-1</f>
        <v>0.33333333333333326</v>
      </c>
      <c r="I5" s="3">
        <f t="shared" ref="I5:I14" si="7">ABS(D5-D4)</f>
        <v>0.25</v>
      </c>
      <c r="J5" s="3">
        <f t="shared" ref="J5:J14" si="8">ABS(I5/D5)*100</f>
        <v>14.285714285714285</v>
      </c>
    </row>
    <row r="6" spans="1:11" ht="15" x14ac:dyDescent="0.3">
      <c r="B6" s="3">
        <v>4</v>
      </c>
      <c r="C6" s="3">
        <f t="shared" si="1"/>
        <v>1.5</v>
      </c>
      <c r="D6" s="3">
        <f t="shared" si="2"/>
        <v>1.625</v>
      </c>
      <c r="E6" s="3">
        <f t="shared" si="3"/>
        <v>1.75</v>
      </c>
      <c r="F6" s="3">
        <f t="shared" si="4"/>
        <v>-9.9999999999999978E-2</v>
      </c>
      <c r="G6" s="3">
        <f t="shared" si="5"/>
        <v>5.9523809523809312E-3</v>
      </c>
      <c r="H6" s="3">
        <f t="shared" si="6"/>
        <v>0.11363636363636354</v>
      </c>
      <c r="I6" s="3">
        <f t="shared" si="7"/>
        <v>0.125</v>
      </c>
      <c r="J6" s="3">
        <f t="shared" si="8"/>
        <v>7.6923076923076925</v>
      </c>
    </row>
    <row r="7" spans="1:11" ht="15" x14ac:dyDescent="0.3">
      <c r="B7" s="3">
        <v>5</v>
      </c>
      <c r="C7" s="3">
        <f t="shared" si="1"/>
        <v>1.5</v>
      </c>
      <c r="D7" s="3">
        <f t="shared" si="2"/>
        <v>1.5625</v>
      </c>
      <c r="E7" s="3">
        <f t="shared" si="3"/>
        <v>1.625</v>
      </c>
      <c r="F7" s="3">
        <f t="shared" si="4"/>
        <v>-9.9999999999999978E-2</v>
      </c>
      <c r="G7" s="3">
        <f t="shared" si="5"/>
        <v>-4.7256097560975596E-2</v>
      </c>
      <c r="H7" s="3">
        <f t="shared" si="6"/>
        <v>5.9523809523809312E-3</v>
      </c>
      <c r="I7" s="3">
        <f t="shared" si="7"/>
        <v>6.25E-2</v>
      </c>
      <c r="J7" s="3">
        <f t="shared" si="8"/>
        <v>4</v>
      </c>
    </row>
    <row r="8" spans="1:11" ht="15" x14ac:dyDescent="0.3">
      <c r="B8" s="3">
        <v>6</v>
      </c>
      <c r="C8" s="3">
        <f t="shared" si="1"/>
        <v>1.5625</v>
      </c>
      <c r="D8" s="3">
        <f t="shared" si="2"/>
        <v>1.59375</v>
      </c>
      <c r="E8" s="3">
        <f t="shared" si="3"/>
        <v>1.625</v>
      </c>
      <c r="F8" s="3">
        <f t="shared" si="4"/>
        <v>-4.7256097560975596E-2</v>
      </c>
      <c r="G8" s="3">
        <f t="shared" si="5"/>
        <v>-2.0707831325301185E-2</v>
      </c>
      <c r="H8" s="3">
        <f t="shared" si="6"/>
        <v>5.9523809523809312E-3</v>
      </c>
      <c r="I8" s="3">
        <f t="shared" si="7"/>
        <v>3.125E-2</v>
      </c>
      <c r="J8" s="3">
        <f t="shared" si="8"/>
        <v>1.9607843137254901</v>
      </c>
    </row>
    <row r="9" spans="1:11" ht="15" x14ac:dyDescent="0.3">
      <c r="B9" s="3">
        <v>7</v>
      </c>
      <c r="C9" s="3">
        <f t="shared" si="1"/>
        <v>1.59375</v>
      </c>
      <c r="D9" s="3">
        <f t="shared" si="2"/>
        <v>1.609375</v>
      </c>
      <c r="E9" s="3">
        <f t="shared" si="3"/>
        <v>1.625</v>
      </c>
      <c r="F9" s="3">
        <f t="shared" si="4"/>
        <v>-2.0707831325301185E-2</v>
      </c>
      <c r="G9" s="3">
        <f t="shared" si="5"/>
        <v>-7.3914670658682402E-3</v>
      </c>
      <c r="H9" s="3">
        <f t="shared" si="6"/>
        <v>5.9523809523809312E-3</v>
      </c>
      <c r="I9" s="3">
        <f t="shared" si="7"/>
        <v>1.5625E-2</v>
      </c>
      <c r="J9" s="3">
        <f t="shared" si="8"/>
        <v>0.97087378640776689</v>
      </c>
    </row>
    <row r="10" spans="1:11" ht="15" x14ac:dyDescent="0.3">
      <c r="B10" s="3">
        <v>8</v>
      </c>
      <c r="C10" s="3">
        <f t="shared" si="1"/>
        <v>1.609375</v>
      </c>
      <c r="D10" s="3">
        <f t="shared" si="2"/>
        <v>1.6171875</v>
      </c>
      <c r="E10" s="3">
        <f t="shared" si="3"/>
        <v>1.625</v>
      </c>
      <c r="F10" s="3">
        <f t="shared" si="4"/>
        <v>-7.3914670658682402E-3</v>
      </c>
      <c r="G10" s="3">
        <f t="shared" si="5"/>
        <v>-7.2294776119408155E-4</v>
      </c>
      <c r="H10" s="3">
        <f t="shared" si="6"/>
        <v>5.9523809523809312E-3</v>
      </c>
      <c r="I10" s="3">
        <f t="shared" si="7"/>
        <v>7.8125E-3</v>
      </c>
      <c r="J10" s="3">
        <f t="shared" si="8"/>
        <v>0.48309178743961351</v>
      </c>
    </row>
    <row r="11" spans="1:11" ht="15" x14ac:dyDescent="0.3">
      <c r="B11" s="3">
        <v>9</v>
      </c>
      <c r="C11" s="3">
        <f t="shared" si="1"/>
        <v>1.6171875</v>
      </c>
      <c r="D11" s="3">
        <f t="shared" si="2"/>
        <v>1.62109375</v>
      </c>
      <c r="E11" s="3">
        <f t="shared" si="3"/>
        <v>1.625</v>
      </c>
      <c r="F11" s="3">
        <f t="shared" si="4"/>
        <v>-7.2294776119408155E-4</v>
      </c>
      <c r="G11" s="3">
        <f t="shared" si="5"/>
        <v>2.6138692250372575E-3</v>
      </c>
      <c r="H11" s="3">
        <f t="shared" si="6"/>
        <v>5.9523809523809312E-3</v>
      </c>
      <c r="I11" s="3">
        <f t="shared" si="7"/>
        <v>3.90625E-3</v>
      </c>
      <c r="J11" s="3">
        <f t="shared" si="8"/>
        <v>0.24096385542168677</v>
      </c>
    </row>
    <row r="12" spans="1:11" ht="15" x14ac:dyDescent="0.3">
      <c r="B12" s="3">
        <v>10</v>
      </c>
      <c r="C12" s="3">
        <f t="shared" si="1"/>
        <v>1.6171875</v>
      </c>
      <c r="D12" s="3">
        <f t="shared" si="2"/>
        <v>1.619140625</v>
      </c>
      <c r="E12" s="3">
        <f t="shared" si="3"/>
        <v>1.62109375</v>
      </c>
      <c r="F12" s="3">
        <f t="shared" si="4"/>
        <v>-7.2294776119408155E-4</v>
      </c>
      <c r="G12" s="3">
        <f t="shared" si="5"/>
        <v>9.452484153615881E-4</v>
      </c>
      <c r="H12" s="3">
        <f t="shared" si="6"/>
        <v>2.6138692250372575E-3</v>
      </c>
      <c r="I12" s="3">
        <f t="shared" si="7"/>
        <v>1.953125E-3</v>
      </c>
      <c r="J12" s="3">
        <f t="shared" si="8"/>
        <v>0.12062726176115801</v>
      </c>
    </row>
    <row r="13" spans="1:11" ht="15" x14ac:dyDescent="0.3">
      <c r="B13" s="3">
        <v>11</v>
      </c>
      <c r="C13" s="3">
        <f t="shared" si="1"/>
        <v>1.6171875</v>
      </c>
      <c r="D13" s="3">
        <f t="shared" si="2"/>
        <v>1.6181640625</v>
      </c>
      <c r="E13" s="3">
        <f t="shared" si="3"/>
        <v>1.619140625</v>
      </c>
      <c r="F13" s="3">
        <f t="shared" si="4"/>
        <v>-7.2294776119408155E-4</v>
      </c>
      <c r="G13" s="3">
        <f t="shared" si="5"/>
        <v>1.1109718854895867E-4</v>
      </c>
      <c r="H13" s="3">
        <f t="shared" si="6"/>
        <v>9.452484153615881E-4</v>
      </c>
      <c r="I13" s="3">
        <f t="shared" si="7"/>
        <v>9.765625E-4</v>
      </c>
      <c r="J13" s="3">
        <f t="shared" si="8"/>
        <v>6.0350030175015092E-2</v>
      </c>
    </row>
    <row r="14" spans="1:11" ht="15" x14ac:dyDescent="0.3">
      <c r="B14" s="3">
        <v>12</v>
      </c>
      <c r="C14" s="3">
        <f t="shared" si="1"/>
        <v>1.6171875</v>
      </c>
      <c r="D14" s="3">
        <f t="shared" si="2"/>
        <v>1.61767578125</v>
      </c>
      <c r="E14" s="3">
        <f t="shared" si="3"/>
        <v>1.6181640625</v>
      </c>
      <c r="F14" s="3">
        <f t="shared" si="4"/>
        <v>-7.2294776119408155E-4</v>
      </c>
      <c r="G14" s="3">
        <f t="shared" si="5"/>
        <v>-3.059385783902302E-4</v>
      </c>
      <c r="H14" s="3">
        <f t="shared" si="6"/>
        <v>1.1109718854895867E-4</v>
      </c>
      <c r="I14" s="3">
        <f t="shared" si="7"/>
        <v>4.8828125E-4</v>
      </c>
      <c r="J14" s="3">
        <f t="shared" si="8"/>
        <v>3.0184123151222455E-2</v>
      </c>
    </row>
  </sheetData>
  <conditionalFormatting sqref="D4:D14">
    <cfRule type="expression" dxfId="18" priority="1">
      <formula>J4&lt;$J$1</formula>
    </cfRule>
    <cfRule type="expression" dxfId="17" priority="2">
      <formula>D4&lt;$J$1</formula>
    </cfRule>
    <cfRule type="expression" dxfId="16" priority="3">
      <formula>I4&lt;$I$1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1FFF-3C21-411F-AD73-3063117785BF}">
  <dimension ref="A1:N14"/>
  <sheetViews>
    <sheetView zoomScale="98" zoomScaleNormal="100" zoomScaleSheetLayoutView="100" workbookViewId="0">
      <selection activeCell="M8" sqref="M8"/>
    </sheetView>
  </sheetViews>
  <sheetFormatPr baseColWidth="10" defaultColWidth="8.88671875" defaultRowHeight="14.4" x14ac:dyDescent="0.3"/>
  <cols>
    <col min="1" max="1" width="10.21875" bestFit="1" customWidth="1"/>
    <col min="2" max="2" width="3.44140625" bestFit="1" customWidth="1"/>
    <col min="3" max="3" width="12" bestFit="1" customWidth="1"/>
    <col min="4" max="5" width="14.44140625" bestFit="1" customWidth="1"/>
    <col min="6" max="7" width="15.21875" bestFit="1" customWidth="1"/>
    <col min="8" max="10" width="14.44140625" bestFit="1" customWidth="1"/>
  </cols>
  <sheetData>
    <row r="1" spans="1:14" ht="15.6" x14ac:dyDescent="0.3">
      <c r="A1" s="2" t="s">
        <v>9</v>
      </c>
      <c r="B1" s="1"/>
      <c r="C1" s="1"/>
      <c r="D1" s="1"/>
      <c r="E1" s="1"/>
      <c r="F1" s="1"/>
      <c r="G1" s="1"/>
      <c r="H1" s="8" t="s">
        <v>11</v>
      </c>
      <c r="I1" s="6">
        <v>0.01</v>
      </c>
      <c r="J1" s="7"/>
    </row>
    <row r="2" spans="1:14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4" ht="15.6" x14ac:dyDescent="0.3">
      <c r="A3" s="1"/>
      <c r="B3" s="3">
        <v>1</v>
      </c>
      <c r="C3" s="5">
        <v>-8</v>
      </c>
      <c r="D3" s="3">
        <f>(C3+E3)/2</f>
        <v>-7.75</v>
      </c>
      <c r="E3" s="5">
        <v>-7.5</v>
      </c>
      <c r="F3" s="3">
        <f t="shared" ref="F3:H4" si="0">C3^4+9*C3^3+9*C3^2-8*C3-12</f>
        <v>116</v>
      </c>
      <c r="G3" s="3">
        <f t="shared" si="0"/>
        <v>8.70703125</v>
      </c>
      <c r="H3" s="3">
        <f t="shared" si="0"/>
        <v>-78.5625</v>
      </c>
      <c r="I3" s="3"/>
      <c r="J3" s="3"/>
      <c r="K3" t="s">
        <v>10</v>
      </c>
    </row>
    <row r="4" spans="1:14" ht="15" x14ac:dyDescent="0.3">
      <c r="B4" s="3">
        <v>2</v>
      </c>
      <c r="C4" s="3">
        <f>IF(F3*G3&lt;0,C3,D3)</f>
        <v>-7.75</v>
      </c>
      <c r="D4" s="3">
        <f>(C4+E4)/2</f>
        <v>-7.625</v>
      </c>
      <c r="E4" s="3">
        <f>IF(F3*G3&lt;0,D3,E3)</f>
        <v>-7.5</v>
      </c>
      <c r="F4" s="3">
        <f t="shared" si="0"/>
        <v>8.70703125</v>
      </c>
      <c r="G4" s="3">
        <f t="shared" si="0"/>
        <v>-37.302490234375</v>
      </c>
      <c r="H4" s="3">
        <f t="shared" si="0"/>
        <v>-78.5625</v>
      </c>
      <c r="I4" s="3">
        <f>ABS(D4-D3)</f>
        <v>0.125</v>
      </c>
      <c r="J4" s="3">
        <f>ABS(I4/D4)*100</f>
        <v>1.639344262295082</v>
      </c>
    </row>
    <row r="5" spans="1:14" ht="15" x14ac:dyDescent="0.3">
      <c r="B5" s="3">
        <v>3</v>
      </c>
      <c r="C5" s="3">
        <f t="shared" ref="C5:C14" si="1">IF(F4*G4&lt;0,C4,D4)</f>
        <v>-7.75</v>
      </c>
      <c r="D5" s="3">
        <f t="shared" ref="D5:D14" si="2">(C5+E5)/2</f>
        <v>-7.6875</v>
      </c>
      <c r="E5" s="3">
        <f t="shared" ref="E5:E14" si="3">IF(F4*G4&lt;0,D4,E4)</f>
        <v>-7.625</v>
      </c>
      <c r="F5" s="3">
        <f t="shared" ref="F5:F14" si="4">C5^4+9*C5^3+9*C5^2-8*C5-12</f>
        <v>8.70703125</v>
      </c>
      <c r="G5" s="3">
        <f t="shared" ref="G5:G14" si="5">D5^4+9*D5^3+9*D5^2-8*D5-12</f>
        <v>-14.907211303710938</v>
      </c>
      <c r="H5" s="3">
        <f t="shared" ref="H5:H14" si="6">E5^4+9*E5^3+9*E5^2-8*E5-12</f>
        <v>-37.302490234375</v>
      </c>
      <c r="I5" s="3">
        <f t="shared" ref="I5:I14" si="7">ABS(D5-D4)</f>
        <v>6.25E-2</v>
      </c>
      <c r="J5" s="3">
        <f t="shared" ref="J5:J14" si="8">ABS(I5/D5)*100</f>
        <v>0.81300813008130091</v>
      </c>
    </row>
    <row r="6" spans="1:14" ht="15" x14ac:dyDescent="0.3">
      <c r="B6" s="3">
        <v>4</v>
      </c>
      <c r="C6" s="3">
        <f t="shared" si="1"/>
        <v>-7.75</v>
      </c>
      <c r="D6" s="3">
        <f t="shared" si="2"/>
        <v>-7.71875</v>
      </c>
      <c r="E6" s="3">
        <f t="shared" si="3"/>
        <v>-7.6875</v>
      </c>
      <c r="F6" s="3">
        <f t="shared" si="4"/>
        <v>8.70703125</v>
      </c>
      <c r="G6" s="3">
        <f t="shared" si="5"/>
        <v>-3.2544546127319336</v>
      </c>
      <c r="H6" s="3">
        <f t="shared" si="6"/>
        <v>-14.907211303710938</v>
      </c>
      <c r="I6" s="3">
        <f t="shared" si="7"/>
        <v>3.125E-2</v>
      </c>
      <c r="J6" s="3">
        <f t="shared" si="8"/>
        <v>0.40485829959514169</v>
      </c>
    </row>
    <row r="7" spans="1:14" ht="15" x14ac:dyDescent="0.3">
      <c r="B7" s="3">
        <v>5</v>
      </c>
      <c r="C7" s="3">
        <f t="shared" si="1"/>
        <v>-7.75</v>
      </c>
      <c r="D7" s="3">
        <f t="shared" si="2"/>
        <v>-7.734375</v>
      </c>
      <c r="E7" s="3">
        <f t="shared" si="3"/>
        <v>-7.71875</v>
      </c>
      <c r="F7" s="3">
        <f t="shared" si="4"/>
        <v>8.70703125</v>
      </c>
      <c r="G7" s="3">
        <f t="shared" si="5"/>
        <v>2.687446653842926</v>
      </c>
      <c r="H7" s="3">
        <f t="shared" si="6"/>
        <v>-3.2544546127319336</v>
      </c>
      <c r="I7" s="3">
        <f t="shared" si="7"/>
        <v>1.5625E-2</v>
      </c>
      <c r="J7" s="3">
        <f t="shared" si="8"/>
        <v>0.20202020202020202</v>
      </c>
      <c r="M7" s="9" t="s">
        <v>13</v>
      </c>
      <c r="N7" t="s">
        <v>14</v>
      </c>
    </row>
    <row r="8" spans="1:14" ht="15" x14ac:dyDescent="0.3">
      <c r="B8" s="3">
        <v>6</v>
      </c>
      <c r="C8" s="3">
        <f t="shared" si="1"/>
        <v>-7.734375</v>
      </c>
      <c r="D8" s="3">
        <f t="shared" si="2"/>
        <v>-7.7265625</v>
      </c>
      <c r="E8" s="3">
        <f t="shared" si="3"/>
        <v>-7.71875</v>
      </c>
      <c r="F8" s="3">
        <f t="shared" si="4"/>
        <v>2.687446653842926</v>
      </c>
      <c r="G8" s="3">
        <f t="shared" si="5"/>
        <v>-0.29318302497267723</v>
      </c>
      <c r="H8" s="3">
        <f t="shared" si="6"/>
        <v>-3.2544546127319336</v>
      </c>
      <c r="I8" s="3">
        <f t="shared" si="7"/>
        <v>7.8125E-3</v>
      </c>
      <c r="J8" s="3">
        <f t="shared" si="8"/>
        <v>0.10111223458038424</v>
      </c>
    </row>
    <row r="9" spans="1:14" ht="15" x14ac:dyDescent="0.3">
      <c r="B9" s="3">
        <v>7</v>
      </c>
      <c r="C9" s="3">
        <f t="shared" si="1"/>
        <v>-7.734375</v>
      </c>
      <c r="D9" s="3">
        <f t="shared" si="2"/>
        <v>-7.73046875</v>
      </c>
      <c r="E9" s="3">
        <f t="shared" si="3"/>
        <v>-7.7265625</v>
      </c>
      <c r="F9" s="3">
        <f t="shared" si="4"/>
        <v>2.687446653842926</v>
      </c>
      <c r="G9" s="3">
        <f t="shared" si="5"/>
        <v>1.1947081352118403</v>
      </c>
      <c r="H9" s="3">
        <f t="shared" si="6"/>
        <v>-0.29318302497267723</v>
      </c>
      <c r="I9" s="3">
        <f t="shared" si="7"/>
        <v>3.90625E-3</v>
      </c>
      <c r="J9" s="3">
        <f t="shared" si="8"/>
        <v>5.0530570995452252E-2</v>
      </c>
    </row>
    <row r="10" spans="1:14" ht="15" x14ac:dyDescent="0.3">
      <c r="B10" s="3">
        <v>8</v>
      </c>
      <c r="C10" s="3">
        <f t="shared" si="1"/>
        <v>-7.73046875</v>
      </c>
      <c r="D10" s="3">
        <f t="shared" si="2"/>
        <v>-7.728515625</v>
      </c>
      <c r="E10" s="3">
        <f t="shared" si="3"/>
        <v>-7.7265625</v>
      </c>
      <c r="F10" s="3">
        <f t="shared" si="4"/>
        <v>1.1947081352118403</v>
      </c>
      <c r="G10" s="3">
        <f t="shared" si="5"/>
        <v>0.45015712526219431</v>
      </c>
      <c r="H10" s="3">
        <f t="shared" si="6"/>
        <v>-0.29318302497267723</v>
      </c>
      <c r="I10" s="3">
        <f t="shared" si="7"/>
        <v>1.953125E-3</v>
      </c>
      <c r="J10" s="3">
        <f t="shared" si="8"/>
        <v>2.5271670457417232E-2</v>
      </c>
    </row>
    <row r="11" spans="1:14" ht="15" x14ac:dyDescent="0.3">
      <c r="B11" s="3">
        <v>9</v>
      </c>
      <c r="C11" s="3">
        <f t="shared" si="1"/>
        <v>-7.728515625</v>
      </c>
      <c r="D11" s="3">
        <f t="shared" si="2"/>
        <v>-7.7275390625</v>
      </c>
      <c r="E11" s="3">
        <f t="shared" si="3"/>
        <v>-7.7265625</v>
      </c>
      <c r="F11" s="3">
        <f t="shared" si="4"/>
        <v>0.45015712526219431</v>
      </c>
      <c r="G11" s="3">
        <f t="shared" si="5"/>
        <v>7.8335753904866579E-2</v>
      </c>
      <c r="H11" s="3">
        <f t="shared" si="6"/>
        <v>-0.29318302497267723</v>
      </c>
      <c r="I11" s="3">
        <f t="shared" si="7"/>
        <v>9.765625E-4</v>
      </c>
      <c r="J11" s="3">
        <f t="shared" si="8"/>
        <v>1.2637432073802603E-2</v>
      </c>
    </row>
    <row r="12" spans="1:14" ht="15" x14ac:dyDescent="0.3">
      <c r="B12" s="3">
        <v>10</v>
      </c>
      <c r="C12" s="3">
        <f t="shared" si="1"/>
        <v>-7.7275390625</v>
      </c>
      <c r="D12" s="3">
        <f t="shared" si="2"/>
        <v>-7.72705078125</v>
      </c>
      <c r="E12" s="3">
        <f t="shared" si="3"/>
        <v>-7.7265625</v>
      </c>
      <c r="F12" s="3">
        <f t="shared" si="4"/>
        <v>7.8335753904866579E-2</v>
      </c>
      <c r="G12" s="3">
        <f t="shared" si="5"/>
        <v>-0.10746145194207202</v>
      </c>
      <c r="H12" s="3">
        <f t="shared" si="6"/>
        <v>-0.29318302497267723</v>
      </c>
      <c r="I12" s="3">
        <f t="shared" si="7"/>
        <v>4.8828125E-4</v>
      </c>
      <c r="J12" s="3">
        <f t="shared" si="8"/>
        <v>6.3191153238546603E-3</v>
      </c>
    </row>
    <row r="13" spans="1:14" ht="15" x14ac:dyDescent="0.3">
      <c r="B13" s="3">
        <v>11</v>
      </c>
      <c r="C13" s="3">
        <f t="shared" si="1"/>
        <v>-7.7275390625</v>
      </c>
      <c r="D13" s="3">
        <f t="shared" si="2"/>
        <v>-7.727294921875</v>
      </c>
      <c r="E13" s="3">
        <f t="shared" si="3"/>
        <v>-7.72705078125</v>
      </c>
      <c r="F13" s="3">
        <f t="shared" si="4"/>
        <v>7.8335753904866579E-2</v>
      </c>
      <c r="G13" s="3">
        <f t="shared" si="5"/>
        <v>-1.4572304076864384E-2</v>
      </c>
      <c r="H13" s="3">
        <f t="shared" si="6"/>
        <v>-0.10746145194207202</v>
      </c>
      <c r="I13" s="3">
        <f t="shared" si="7"/>
        <v>2.44140625E-4</v>
      </c>
      <c r="J13" s="3">
        <f t="shared" si="8"/>
        <v>3.1594578370351648E-3</v>
      </c>
    </row>
    <row r="14" spans="1:14" ht="15" x14ac:dyDescent="0.3">
      <c r="B14" s="3">
        <v>12</v>
      </c>
      <c r="C14" s="3">
        <f t="shared" si="1"/>
        <v>-7.7275390625</v>
      </c>
      <c r="D14" s="3">
        <f t="shared" si="2"/>
        <v>-7.7274169921875</v>
      </c>
      <c r="E14" s="3">
        <f t="shared" si="3"/>
        <v>-7.727294921875</v>
      </c>
      <c r="F14" s="3">
        <f t="shared" si="4"/>
        <v>7.8335753904866579E-2</v>
      </c>
      <c r="G14" s="3">
        <f t="shared" si="5"/>
        <v>3.1879361029950815E-2</v>
      </c>
      <c r="H14" s="3">
        <f t="shared" si="6"/>
        <v>-1.4572304076864384E-2</v>
      </c>
      <c r="I14" s="3">
        <f t="shared" si="7"/>
        <v>1.220703125E-4</v>
      </c>
      <c r="J14" s="3">
        <f t="shared" si="8"/>
        <v>1.5797039634772446E-3</v>
      </c>
    </row>
  </sheetData>
  <conditionalFormatting sqref="D4:D14">
    <cfRule type="expression" dxfId="15" priority="1">
      <formula>I4&lt;$I$1</formula>
    </cfRule>
    <cfRule type="expression" dxfId="14" priority="2">
      <formula>J4&lt;$J$1</formula>
    </cfRule>
    <cfRule type="expression" dxfId="13" priority="3">
      <formula>D4&lt;$J$1</formula>
    </cfRule>
    <cfRule type="expression" dxfId="12" priority="4">
      <formula>I4&lt;$I$1</formula>
    </cfRule>
  </conditionalFormatting>
  <hyperlinks>
    <hyperlink ref="M7" r:id="rId1" xr:uid="{A8205C34-345E-4947-A1B5-19034E5332D5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EC0A-2CA2-4F83-AF83-EE004005FF73}">
  <dimension ref="A1:J14"/>
  <sheetViews>
    <sheetView zoomScaleNormal="100" workbookViewId="0">
      <selection sqref="A1:J9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8.5546875" bestFit="1" customWidth="1"/>
    <col min="4" max="4" width="9.21875" bestFit="1" customWidth="1"/>
    <col min="5" max="5" width="8.5546875" bestFit="1" customWidth="1"/>
    <col min="6" max="6" width="9" bestFit="1" customWidth="1"/>
    <col min="7" max="7" width="9.77734375" bestFit="1" customWidth="1"/>
    <col min="8" max="8" width="12" bestFit="1" customWidth="1"/>
    <col min="9" max="9" width="7.77734375" bestFit="1" customWidth="1"/>
    <col min="10" max="10" width="10.21875" bestFit="1" customWidth="1"/>
  </cols>
  <sheetData>
    <row r="1" spans="1:10" ht="15.6" x14ac:dyDescent="0.3">
      <c r="A1" s="2" t="s">
        <v>12</v>
      </c>
      <c r="B1" s="12"/>
      <c r="C1" s="12"/>
      <c r="D1" s="12"/>
      <c r="E1" s="12"/>
      <c r="F1" s="12"/>
      <c r="G1" s="12"/>
      <c r="H1" s="8" t="s">
        <v>11</v>
      </c>
      <c r="I1" s="13">
        <v>1</v>
      </c>
      <c r="J1" s="14"/>
    </row>
    <row r="2" spans="1:10" ht="15.6" x14ac:dyDescent="0.3">
      <c r="A2" s="12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2"/>
      <c r="B3" s="15">
        <v>1</v>
      </c>
      <c r="C3" s="11">
        <v>4.5</v>
      </c>
      <c r="D3" s="10">
        <f>E3-(H3*(C3-E3))/(F3-H3)</f>
        <v>4.7039586919104988</v>
      </c>
      <c r="E3" s="11">
        <v>5</v>
      </c>
      <c r="F3" s="10">
        <f>-12-21*C3+18*C3^2-2.75*C3^3</f>
        <v>7.40625</v>
      </c>
      <c r="G3" s="10">
        <f t="shared" ref="G3:H3" si="0">-12-21*D3+18*D3^2-2.75*D3^3</f>
        <v>1.271660489988335</v>
      </c>
      <c r="H3" s="10">
        <f t="shared" si="0"/>
        <v>-10.75</v>
      </c>
      <c r="I3" s="10"/>
      <c r="J3" s="10"/>
    </row>
    <row r="4" spans="1:10" ht="15" x14ac:dyDescent="0.3">
      <c r="A4" s="12"/>
      <c r="B4" s="15">
        <v>2</v>
      </c>
      <c r="C4" s="10">
        <f>IF(F3*G3&lt;0,C3,D3)</f>
        <v>4.7039586919104988</v>
      </c>
      <c r="D4" s="10">
        <f t="shared" ref="D4:D14" si="1">E4-(H4*(C4-E4))/(F4-H4)</f>
        <v>4.7352741691039704</v>
      </c>
      <c r="E4" s="10">
        <f>IF(F3*G3&lt;0,D3,E3)</f>
        <v>5</v>
      </c>
      <c r="F4" s="10">
        <f t="shared" ref="F4:F14" si="2">-12-21*C4+18*C4^2-2.75*C4^3</f>
        <v>1.271660489988335</v>
      </c>
      <c r="G4" s="10">
        <f t="shared" ref="G4:G14" si="3">-12-21*D4+18*D4^2-2.75*D4^3</f>
        <v>0.17995875239580528</v>
      </c>
      <c r="H4" s="10">
        <f t="shared" ref="H4:H14" si="4">-12-21*E4+18*E4^2-2.75*E4^3</f>
        <v>-10.75</v>
      </c>
      <c r="I4" s="10">
        <f>ABS(D4-D3)</f>
        <v>3.1315477193471608E-2</v>
      </c>
      <c r="J4" s="10">
        <f>ABS(I4/D4)*100</f>
        <v>0.66132342236473418</v>
      </c>
    </row>
    <row r="5" spans="1:10" ht="15" x14ac:dyDescent="0.3">
      <c r="A5" s="12"/>
      <c r="B5" s="15">
        <v>3</v>
      </c>
      <c r="C5" s="10">
        <f t="shared" ref="C5:C14" si="5">IF(F4*G4&lt;0,C4,D4)</f>
        <v>4.7352741691039704</v>
      </c>
      <c r="D5" s="10">
        <f t="shared" si="1"/>
        <v>4.7396328068018985</v>
      </c>
      <c r="E5" s="10">
        <f t="shared" ref="E5:E14" si="6">IF(F4*G4&lt;0,D4,E4)</f>
        <v>5</v>
      </c>
      <c r="F5" s="10">
        <f t="shared" si="2"/>
        <v>0.17995875239580528</v>
      </c>
      <c r="G5" s="10">
        <f t="shared" si="3"/>
        <v>2.4746451022963356E-2</v>
      </c>
      <c r="H5" s="10">
        <f t="shared" si="4"/>
        <v>-10.75</v>
      </c>
      <c r="I5" s="10">
        <f t="shared" ref="I5:I14" si="7">ABS(D5-D4)</f>
        <v>4.3586376979281027E-3</v>
      </c>
      <c r="J5" s="10">
        <f t="shared" ref="J5:J14" si="8">ABS(I5/D5)*100</f>
        <v>9.1961505787388723E-2</v>
      </c>
    </row>
    <row r="6" spans="1:10" ht="15" x14ac:dyDescent="0.3">
      <c r="A6" s="12"/>
      <c r="B6" s="15">
        <v>4</v>
      </c>
      <c r="C6" s="10">
        <f t="shared" si="5"/>
        <v>4.7396328068018985</v>
      </c>
      <c r="D6" s="10">
        <f t="shared" si="1"/>
        <v>4.7402307943298414</v>
      </c>
      <c r="E6" s="10">
        <f t="shared" si="6"/>
        <v>5</v>
      </c>
      <c r="F6" s="10">
        <f t="shared" si="2"/>
        <v>2.4746451022963356E-2</v>
      </c>
      <c r="G6" s="10">
        <f t="shared" si="3"/>
        <v>3.389433151880894E-3</v>
      </c>
      <c r="H6" s="10">
        <f t="shared" si="4"/>
        <v>-10.75</v>
      </c>
      <c r="I6" s="10">
        <f t="shared" si="7"/>
        <v>5.9798752794293364E-4</v>
      </c>
      <c r="J6" s="10">
        <f t="shared" si="8"/>
        <v>1.2615156389816145E-2</v>
      </c>
    </row>
    <row r="7" spans="1:10" ht="15" x14ac:dyDescent="0.3">
      <c r="A7" s="12"/>
      <c r="B7" s="15">
        <v>5</v>
      </c>
      <c r="C7" s="10">
        <f t="shared" si="5"/>
        <v>4.7402307943298414</v>
      </c>
      <c r="D7" s="10">
        <f t="shared" si="1"/>
        <v>4.7403126727332054</v>
      </c>
      <c r="E7" s="10">
        <f t="shared" si="6"/>
        <v>5</v>
      </c>
      <c r="F7" s="10">
        <f t="shared" si="2"/>
        <v>3.389433151880894E-3</v>
      </c>
      <c r="G7" s="10">
        <f t="shared" si="3"/>
        <v>4.639857189090435E-4</v>
      </c>
      <c r="H7" s="10">
        <f t="shared" si="4"/>
        <v>-10.75</v>
      </c>
      <c r="I7" s="10">
        <f t="shared" si="7"/>
        <v>8.1878403364044061E-5</v>
      </c>
      <c r="J7" s="10">
        <f t="shared" si="8"/>
        <v>1.7272785366040839E-3</v>
      </c>
    </row>
    <row r="8" spans="1:10" ht="15" x14ac:dyDescent="0.3">
      <c r="A8" s="12"/>
      <c r="B8" s="15">
        <v>6</v>
      </c>
      <c r="C8" s="10">
        <f t="shared" si="5"/>
        <v>4.7403126727332054</v>
      </c>
      <c r="D8" s="10">
        <f t="shared" si="1"/>
        <v>4.7403238807342181</v>
      </c>
      <c r="E8" s="10">
        <f t="shared" si="6"/>
        <v>5</v>
      </c>
      <c r="F8" s="10">
        <f t="shared" si="2"/>
        <v>4.639857189090435E-4</v>
      </c>
      <c r="G8" s="10">
        <f t="shared" si="3"/>
        <v>6.3511118241876829E-5</v>
      </c>
      <c r="H8" s="10">
        <f t="shared" si="4"/>
        <v>-10.75</v>
      </c>
      <c r="I8" s="10">
        <f t="shared" si="7"/>
        <v>1.1208001012619206E-5</v>
      </c>
      <c r="J8" s="10">
        <f t="shared" si="8"/>
        <v>2.3643956182342599E-4</v>
      </c>
    </row>
    <row r="9" spans="1:10" ht="15" x14ac:dyDescent="0.3">
      <c r="A9" s="12"/>
      <c r="B9" s="15">
        <v>7</v>
      </c>
      <c r="C9" s="10">
        <f t="shared" si="5"/>
        <v>4.7403238807342181</v>
      </c>
      <c r="D9" s="10">
        <f t="shared" si="1"/>
        <v>4.7403254148945226</v>
      </c>
      <c r="E9" s="10">
        <f t="shared" si="6"/>
        <v>5</v>
      </c>
      <c r="F9" s="10">
        <f t="shared" si="2"/>
        <v>6.3511118241876829E-5</v>
      </c>
      <c r="G9" s="10">
        <f t="shared" si="3"/>
        <v>8.6934162482066313E-6</v>
      </c>
      <c r="H9" s="10">
        <f t="shared" si="4"/>
        <v>-10.75</v>
      </c>
      <c r="I9" s="10">
        <f t="shared" si="7"/>
        <v>1.5341603045726515E-6</v>
      </c>
      <c r="J9" s="10">
        <f t="shared" si="8"/>
        <v>3.2364029265842886E-5</v>
      </c>
    </row>
    <row r="10" spans="1:10" ht="15" x14ac:dyDescent="0.3">
      <c r="A10" s="12"/>
      <c r="B10" s="15">
        <v>8</v>
      </c>
      <c r="C10" s="10">
        <f t="shared" si="5"/>
        <v>4.7403254148945226</v>
      </c>
      <c r="D10" s="10">
        <f t="shared" si="1"/>
        <v>4.7403256248905628</v>
      </c>
      <c r="E10" s="10">
        <f t="shared" si="6"/>
        <v>5</v>
      </c>
      <c r="F10" s="10">
        <f t="shared" si="2"/>
        <v>8.6934162482066313E-6</v>
      </c>
      <c r="G10" s="10">
        <f t="shared" si="3"/>
        <v>1.1899551282112952E-6</v>
      </c>
      <c r="H10" s="10">
        <f t="shared" si="4"/>
        <v>-10.75</v>
      </c>
      <c r="I10" s="10">
        <f t="shared" si="7"/>
        <v>2.0999604011251449E-7</v>
      </c>
      <c r="J10" s="10">
        <f t="shared" si="8"/>
        <v>4.4299918767154859E-6</v>
      </c>
    </row>
    <row r="11" spans="1:10" ht="15" x14ac:dyDescent="0.3">
      <c r="A11" s="12"/>
      <c r="B11" s="15">
        <v>9</v>
      </c>
      <c r="C11" s="10">
        <f t="shared" si="5"/>
        <v>4.7403256248905628</v>
      </c>
      <c r="D11" s="10">
        <f t="shared" si="1"/>
        <v>4.7403256536348248</v>
      </c>
      <c r="E11" s="10">
        <f t="shared" si="6"/>
        <v>5</v>
      </c>
      <c r="F11" s="10">
        <f t="shared" si="2"/>
        <v>1.1899551282112952E-6</v>
      </c>
      <c r="G11" s="10">
        <f t="shared" si="3"/>
        <v>1.6288106508000055E-7</v>
      </c>
      <c r="H11" s="10">
        <f t="shared" si="4"/>
        <v>-10.75</v>
      </c>
      <c r="I11" s="10">
        <f t="shared" si="7"/>
        <v>2.8744262081659144E-8</v>
      </c>
      <c r="J11" s="10">
        <f t="shared" si="8"/>
        <v>6.0637737113310742E-7</v>
      </c>
    </row>
    <row r="12" spans="1:10" ht="15" x14ac:dyDescent="0.3">
      <c r="A12" s="12"/>
      <c r="B12" s="15">
        <v>10</v>
      </c>
      <c r="C12" s="10">
        <f t="shared" si="5"/>
        <v>4.7403256536348248</v>
      </c>
      <c r="D12" s="10">
        <f t="shared" si="1"/>
        <v>4.7403256575693398</v>
      </c>
      <c r="E12" s="10">
        <f t="shared" si="6"/>
        <v>5</v>
      </c>
      <c r="F12" s="10">
        <f t="shared" si="2"/>
        <v>1.6288106508000055E-7</v>
      </c>
      <c r="G12" s="10">
        <f t="shared" si="3"/>
        <v>2.229512574558612E-8</v>
      </c>
      <c r="H12" s="10">
        <f t="shared" si="4"/>
        <v>-10.75</v>
      </c>
      <c r="I12" s="10">
        <f t="shared" si="7"/>
        <v>3.9345149360769938E-9</v>
      </c>
      <c r="J12" s="10">
        <f t="shared" si="8"/>
        <v>8.300094171366413E-8</v>
      </c>
    </row>
    <row r="13" spans="1:10" ht="15" x14ac:dyDescent="0.3">
      <c r="A13" s="12"/>
      <c r="B13" s="15">
        <v>11</v>
      </c>
      <c r="C13" s="10">
        <f t="shared" si="5"/>
        <v>4.7403256575693398</v>
      </c>
      <c r="D13" s="10">
        <f t="shared" si="1"/>
        <v>4.7403256581078956</v>
      </c>
      <c r="E13" s="10">
        <f t="shared" si="6"/>
        <v>5</v>
      </c>
      <c r="F13" s="10">
        <f t="shared" si="2"/>
        <v>2.229512574558612E-8</v>
      </c>
      <c r="G13" s="10">
        <f t="shared" si="3"/>
        <v>3.0518094717990607E-9</v>
      </c>
      <c r="H13" s="10">
        <f t="shared" si="4"/>
        <v>-10.75</v>
      </c>
      <c r="I13" s="10">
        <f t="shared" si="7"/>
        <v>5.3855586656936794E-10</v>
      </c>
      <c r="J13" s="10">
        <f t="shared" si="8"/>
        <v>1.136115755355789E-8</v>
      </c>
    </row>
    <row r="14" spans="1:10" ht="15" x14ac:dyDescent="0.3">
      <c r="A14" s="12"/>
      <c r="B14" s="15">
        <v>12</v>
      </c>
      <c r="C14" s="10">
        <f t="shared" si="5"/>
        <v>4.7403256581078956</v>
      </c>
      <c r="D14" s="10">
        <f t="shared" si="1"/>
        <v>4.7403256581816144</v>
      </c>
      <c r="E14" s="10">
        <f t="shared" si="6"/>
        <v>5</v>
      </c>
      <c r="F14" s="10">
        <f t="shared" si="2"/>
        <v>3.0518094717990607E-9</v>
      </c>
      <c r="G14" s="10">
        <f t="shared" si="3"/>
        <v>4.1768544178921729E-10</v>
      </c>
      <c r="H14" s="10">
        <f t="shared" si="4"/>
        <v>-10.75</v>
      </c>
      <c r="I14" s="10">
        <f t="shared" si="7"/>
        <v>7.3718808835110394E-11</v>
      </c>
      <c r="J14" s="10">
        <f t="shared" si="8"/>
        <v>1.5551422866459534E-9</v>
      </c>
    </row>
  </sheetData>
  <conditionalFormatting sqref="D4:D14">
    <cfRule type="expression" dxfId="11" priority="1">
      <formula>I4&lt;$I$4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5623-FA9E-43A4-ADE6-C84D2003D1FE}">
  <dimension ref="A1:J14"/>
  <sheetViews>
    <sheetView workbookViewId="0">
      <selection activeCell="F6" sqref="F6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9.33203125" bestFit="1" customWidth="1"/>
    <col min="4" max="4" width="10" bestFit="1" customWidth="1"/>
    <col min="5" max="5" width="7.77734375" bestFit="1" customWidth="1"/>
    <col min="6" max="7" width="9.33203125" bestFit="1" customWidth="1"/>
    <col min="8" max="8" width="12.33203125" bestFit="1" customWidth="1"/>
    <col min="9" max="10" width="9.33203125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/>
      <c r="J1" s="7">
        <v>2</v>
      </c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0.5</v>
      </c>
      <c r="D3" s="10">
        <f>E3-(H3*(C3-E3))/(F3-H3)</f>
        <v>0.79568610080636104</v>
      </c>
      <c r="E3" s="11">
        <v>1</v>
      </c>
      <c r="F3" s="10">
        <f>SIN(C3)-C3^2</f>
        <v>0.22942553860420301</v>
      </c>
      <c r="G3" s="10">
        <f t="shared" ref="G3:H3" si="0">SIN(D3)-D3^2</f>
        <v>8.1227531803532482E-2</v>
      </c>
      <c r="H3" s="10">
        <f t="shared" si="0"/>
        <v>-0.1585290151921035</v>
      </c>
      <c r="I3" s="10"/>
      <c r="J3" s="10"/>
    </row>
    <row r="4" spans="1:10" ht="15" x14ac:dyDescent="0.3">
      <c r="B4" s="3">
        <v>2</v>
      </c>
      <c r="C4" s="10">
        <f>IF(F3*G3&lt;0,C3,D3)</f>
        <v>0.79568610080636104</v>
      </c>
      <c r="D4" s="10">
        <f t="shared" ref="D4:D14" si="1">E4-(H4*(C4-E4))/(F4-H4)</f>
        <v>0.86490595716739338</v>
      </c>
      <c r="E4" s="10">
        <f>IF(F3*G3&lt;0,D3,E3)</f>
        <v>1</v>
      </c>
      <c r="F4" s="10">
        <f t="shared" ref="F4:F14" si="2">SIN(C4)-C4^2</f>
        <v>8.1227531803532482E-2</v>
      </c>
      <c r="G4" s="10">
        <f t="shared" ref="G4:G14" si="3">SIN(D4)-D4^2</f>
        <v>1.2971945568405863E-2</v>
      </c>
      <c r="H4" s="10">
        <f t="shared" ref="H4:H14" si="4">SIN(E4)-E4^2</f>
        <v>-0.1585290151921035</v>
      </c>
      <c r="I4" s="10">
        <f>ABS(D4-D3)</f>
        <v>6.9219856361032339E-2</v>
      </c>
      <c r="J4" s="10">
        <f>ABS(I4/D4)*100</f>
        <v>8.0031656375371192</v>
      </c>
    </row>
    <row r="5" spans="1:10" ht="15" x14ac:dyDescent="0.3">
      <c r="B5" s="3">
        <v>3</v>
      </c>
      <c r="C5" s="10">
        <f t="shared" ref="C5:C14" si="5">IF(F4*G4&lt;0,C4,D4)</f>
        <v>0.86490595716739338</v>
      </c>
      <c r="D5" s="10">
        <f t="shared" si="1"/>
        <v>0.87512416563963413</v>
      </c>
      <c r="E5" s="10">
        <f t="shared" ref="E5:E14" si="6">IF(F4*G4&lt;0,D4,E4)</f>
        <v>1</v>
      </c>
      <c r="F5" s="10">
        <f t="shared" si="2"/>
        <v>1.2971945568405863E-2</v>
      </c>
      <c r="G5" s="10">
        <f t="shared" si="3"/>
        <v>1.7807808176042439E-3</v>
      </c>
      <c r="H5" s="10">
        <f t="shared" si="4"/>
        <v>-0.1585290151921035</v>
      </c>
      <c r="I5" s="10">
        <f t="shared" ref="I5:I14" si="7">ABS(D5-D4)</f>
        <v>1.0218208472240753E-2</v>
      </c>
      <c r="J5" s="10">
        <f t="shared" ref="J5:J14" si="8">ABS(I5/D5)*100</f>
        <v>1.1676295631457274</v>
      </c>
    </row>
    <row r="6" spans="1:10" ht="15" x14ac:dyDescent="0.3">
      <c r="B6" s="3">
        <v>4</v>
      </c>
      <c r="C6" s="10">
        <f t="shared" si="5"/>
        <v>0.87512416563963413</v>
      </c>
      <c r="D6" s="10">
        <f t="shared" si="1"/>
        <v>0.87651133283681404</v>
      </c>
      <c r="E6" s="10">
        <f t="shared" si="6"/>
        <v>1</v>
      </c>
      <c r="F6" s="10">
        <f t="shared" si="2"/>
        <v>1.7807808176042439E-3</v>
      </c>
      <c r="G6" s="10">
        <f t="shared" si="3"/>
        <v>2.3926829267073568E-4</v>
      </c>
      <c r="H6" s="10">
        <f t="shared" si="4"/>
        <v>-0.1585290151921035</v>
      </c>
      <c r="I6" s="10">
        <f t="shared" si="7"/>
        <v>1.387167197179906E-3</v>
      </c>
      <c r="J6" s="10">
        <f t="shared" si="8"/>
        <v>0.15826004128096813</v>
      </c>
    </row>
    <row r="7" spans="1:10" ht="15" x14ac:dyDescent="0.3">
      <c r="B7" s="3">
        <v>5</v>
      </c>
      <c r="C7" s="10">
        <f t="shared" si="5"/>
        <v>0.87651133283681404</v>
      </c>
      <c r="D7" s="10">
        <f t="shared" si="1"/>
        <v>0.87669743375009346</v>
      </c>
      <c r="E7" s="10">
        <f t="shared" si="6"/>
        <v>1</v>
      </c>
      <c r="F7" s="10">
        <f t="shared" si="2"/>
        <v>2.3926829267073568E-4</v>
      </c>
      <c r="G7" s="10">
        <f t="shared" si="3"/>
        <v>3.205531616345958E-5</v>
      </c>
      <c r="H7" s="10">
        <f t="shared" si="4"/>
        <v>-0.1585290151921035</v>
      </c>
      <c r="I7" s="10">
        <f t="shared" si="7"/>
        <v>1.8610091327941891E-4</v>
      </c>
      <c r="J7" s="10">
        <f t="shared" si="8"/>
        <v>2.1227496068212264E-2</v>
      </c>
    </row>
    <row r="8" spans="1:10" ht="15" x14ac:dyDescent="0.3">
      <c r="B8" s="3">
        <v>6</v>
      </c>
      <c r="C8" s="10">
        <f t="shared" si="5"/>
        <v>0.87669743375009346</v>
      </c>
      <c r="D8" s="10">
        <f t="shared" si="1"/>
        <v>0.87672236107135992</v>
      </c>
      <c r="E8" s="10">
        <f t="shared" si="6"/>
        <v>1</v>
      </c>
      <c r="F8" s="10">
        <f t="shared" si="2"/>
        <v>3.205531616345958E-5</v>
      </c>
      <c r="G8" s="10">
        <f t="shared" si="3"/>
        <v>4.2928537632436203E-6</v>
      </c>
      <c r="H8" s="10">
        <f t="shared" si="4"/>
        <v>-0.1585290151921035</v>
      </c>
      <c r="I8" s="10">
        <f t="shared" si="7"/>
        <v>2.4927321266465796E-5</v>
      </c>
      <c r="J8" s="10">
        <f t="shared" si="8"/>
        <v>2.8432400464845522E-3</v>
      </c>
    </row>
    <row r="9" spans="1:10" ht="15" x14ac:dyDescent="0.3">
      <c r="B9" s="3">
        <v>7</v>
      </c>
      <c r="C9" s="10">
        <f t="shared" si="5"/>
        <v>0.87672236107135992</v>
      </c>
      <c r="D9" s="10">
        <f t="shared" si="1"/>
        <v>0.87672569925235622</v>
      </c>
      <c r="E9" s="10">
        <f t="shared" si="6"/>
        <v>1</v>
      </c>
      <c r="F9" s="10">
        <f t="shared" si="2"/>
        <v>4.2928537632436203E-6</v>
      </c>
      <c r="G9" s="10">
        <f t="shared" si="3"/>
        <v>5.7486981452914421E-7</v>
      </c>
      <c r="H9" s="10">
        <f t="shared" si="4"/>
        <v>-0.1585290151921035</v>
      </c>
      <c r="I9" s="10">
        <f t="shared" si="7"/>
        <v>3.3381809962929054E-6</v>
      </c>
      <c r="J9" s="10">
        <f t="shared" si="8"/>
        <v>3.8075546309861792E-4</v>
      </c>
    </row>
    <row r="10" spans="1:10" ht="15" x14ac:dyDescent="0.3">
      <c r="B10" s="3">
        <v>8</v>
      </c>
      <c r="C10" s="10">
        <f t="shared" si="5"/>
        <v>0.87672569925235622</v>
      </c>
      <c r="D10" s="10">
        <f t="shared" si="1"/>
        <v>0.87672614627725787</v>
      </c>
      <c r="E10" s="10">
        <f t="shared" si="6"/>
        <v>1</v>
      </c>
      <c r="F10" s="10">
        <f t="shared" si="2"/>
        <v>5.7486981452914421E-7</v>
      </c>
      <c r="G10" s="10">
        <f t="shared" si="3"/>
        <v>7.698212356466172E-8</v>
      </c>
      <c r="H10" s="10">
        <f t="shared" si="4"/>
        <v>-0.1585290151921035</v>
      </c>
      <c r="I10" s="10">
        <f t="shared" si="7"/>
        <v>4.4702490165082764E-7</v>
      </c>
      <c r="J10" s="10">
        <f t="shared" si="8"/>
        <v>5.0987974243608271E-5</v>
      </c>
    </row>
    <row r="11" spans="1:10" ht="15" x14ac:dyDescent="0.3">
      <c r="B11" s="3">
        <v>9</v>
      </c>
      <c r="C11" s="10">
        <f t="shared" si="5"/>
        <v>0.87672614627725787</v>
      </c>
      <c r="D11" s="10">
        <f t="shared" si="1"/>
        <v>0.87672620613934948</v>
      </c>
      <c r="E11" s="10">
        <f t="shared" si="6"/>
        <v>1</v>
      </c>
      <c r="F11" s="10">
        <f t="shared" si="2"/>
        <v>7.698212356466172E-8</v>
      </c>
      <c r="G11" s="10">
        <f t="shared" si="3"/>
        <v>1.0308841447148609E-8</v>
      </c>
      <c r="H11" s="10">
        <f t="shared" si="4"/>
        <v>-0.1585290151921035</v>
      </c>
      <c r="I11" s="10">
        <f t="shared" si="7"/>
        <v>5.9862091617013391E-8</v>
      </c>
      <c r="J11" s="10">
        <f t="shared" si="8"/>
        <v>6.8279117468856334E-6</v>
      </c>
    </row>
    <row r="12" spans="1:10" ht="15" x14ac:dyDescent="0.3">
      <c r="B12" s="3">
        <v>10</v>
      </c>
      <c r="C12" s="10">
        <f t="shared" si="5"/>
        <v>0.87672620613934948</v>
      </c>
      <c r="D12" s="10">
        <f t="shared" si="1"/>
        <v>0.87672621415561014</v>
      </c>
      <c r="E12" s="10">
        <f t="shared" si="6"/>
        <v>1</v>
      </c>
      <c r="F12" s="10">
        <f t="shared" si="2"/>
        <v>1.0308841447148609E-8</v>
      </c>
      <c r="G12" s="10">
        <f t="shared" si="3"/>
        <v>1.3804790643945353E-9</v>
      </c>
      <c r="H12" s="10">
        <f t="shared" si="4"/>
        <v>-0.1585290151921035</v>
      </c>
      <c r="I12" s="10">
        <f t="shared" si="7"/>
        <v>8.0162606552747206E-9</v>
      </c>
      <c r="J12" s="10">
        <f t="shared" si="8"/>
        <v>9.1434024965197574E-7</v>
      </c>
    </row>
    <row r="13" spans="1:10" ht="15" x14ac:dyDescent="0.3">
      <c r="B13" s="3">
        <v>11</v>
      </c>
      <c r="C13" s="10">
        <f t="shared" si="5"/>
        <v>0.87672621415561014</v>
      </c>
      <c r="D13" s="10">
        <f t="shared" si="1"/>
        <v>0.87672621522908478</v>
      </c>
      <c r="E13" s="10">
        <f t="shared" si="6"/>
        <v>1</v>
      </c>
      <c r="F13" s="10">
        <f t="shared" si="2"/>
        <v>1.3804790643945353E-9</v>
      </c>
      <c r="G13" s="10">
        <f t="shared" si="3"/>
        <v>1.8486279174112497E-10</v>
      </c>
      <c r="H13" s="10">
        <f t="shared" si="4"/>
        <v>-0.1585290151921035</v>
      </c>
      <c r="I13" s="10">
        <f t="shared" si="7"/>
        <v>1.0734746425100639E-9</v>
      </c>
      <c r="J13" s="10">
        <f t="shared" si="8"/>
        <v>1.2244126203407407E-7</v>
      </c>
    </row>
    <row r="14" spans="1:10" ht="15" x14ac:dyDescent="0.3">
      <c r="B14" s="3">
        <v>12</v>
      </c>
      <c r="C14" s="10">
        <f t="shared" si="5"/>
        <v>0.87672621522908478</v>
      </c>
      <c r="D14" s="10">
        <f t="shared" si="1"/>
        <v>0.87672621537283602</v>
      </c>
      <c r="E14" s="10">
        <f t="shared" si="6"/>
        <v>1</v>
      </c>
      <c r="F14" s="10">
        <f t="shared" si="2"/>
        <v>1.8486279174112497E-10</v>
      </c>
      <c r="G14" s="10">
        <f t="shared" si="3"/>
        <v>2.475530891388189E-11</v>
      </c>
      <c r="H14" s="10">
        <f t="shared" si="4"/>
        <v>-0.1585290151921035</v>
      </c>
      <c r="I14" s="10">
        <f t="shared" si="7"/>
        <v>1.4375123313925542E-10</v>
      </c>
      <c r="J14" s="10">
        <f t="shared" si="8"/>
        <v>1.6396365321199374E-8</v>
      </c>
    </row>
  </sheetData>
  <conditionalFormatting sqref="D4:D14">
    <cfRule type="expression" dxfId="10" priority="1">
      <formula>J4&lt;$J$1</formula>
    </cfRule>
    <cfRule type="expression" dxfId="9" priority="2">
      <formula>I4&lt;$I$1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458C-86CF-4129-AC6A-A0D366CF1359}">
  <dimension ref="A1:J14"/>
  <sheetViews>
    <sheetView workbookViewId="0">
      <selection activeCell="C4" sqref="C4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7.77734375" bestFit="1" customWidth="1"/>
    <col min="4" max="4" width="10.109375" bestFit="1" customWidth="1"/>
    <col min="5" max="5" width="9.44140625" bestFit="1" customWidth="1"/>
    <col min="6" max="6" width="8.5546875" bestFit="1" customWidth="1"/>
    <col min="7" max="7" width="9.44140625" bestFit="1" customWidth="1"/>
    <col min="8" max="8" width="12.44140625" bestFit="1" customWidth="1"/>
    <col min="9" max="10" width="9.44140625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>
        <v>1E-3</v>
      </c>
      <c r="J1" s="7"/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1.3</v>
      </c>
      <c r="D3" s="10">
        <f>E3-(H3*(C3-E3))/(F3-H3)</f>
        <v>1.4385583117748433</v>
      </c>
      <c r="E3" s="11">
        <v>1.9</v>
      </c>
      <c r="F3" s="10">
        <f>LN(C3^2)-0.7</f>
        <v>-0.17527147106501773</v>
      </c>
      <c r="G3" s="10">
        <f t="shared" ref="G3:H3" si="0">LN(D3^2)-0.7</f>
        <v>2.7282879403007776E-2</v>
      </c>
      <c r="H3" s="10">
        <f t="shared" si="0"/>
        <v>0.58370777234478965</v>
      </c>
      <c r="I3" s="10"/>
      <c r="J3" s="10"/>
    </row>
    <row r="4" spans="1:10" ht="15" x14ac:dyDescent="0.3">
      <c r="B4" s="3">
        <v>2</v>
      </c>
      <c r="C4" s="10">
        <f>IF(F3*G3&lt;0,C3,D3)</f>
        <v>1.3</v>
      </c>
      <c r="D4" s="10">
        <f t="shared" ref="D4:D14" si="1">E4-(H4*(C4-E4))/(F4-H4)</f>
        <v>1.4346492057944755</v>
      </c>
      <c r="E4" s="10">
        <v>1.8</v>
      </c>
      <c r="F4" s="10">
        <f t="shared" ref="F4:F14" si="2">LN(C4^2)-0.7</f>
        <v>-0.17527147106501773</v>
      </c>
      <c r="G4" s="10">
        <f t="shared" ref="G4:G14" si="3">LN(D4^2)-0.7</f>
        <v>2.1840726870041682E-2</v>
      </c>
      <c r="H4" s="10">
        <f t="shared" ref="H4:H14" si="4">LN(E4^2)-0.7</f>
        <v>0.47557332980423817</v>
      </c>
      <c r="I4" s="10">
        <f>ABS(D4-D3)</f>
        <v>3.9091059803677553E-3</v>
      </c>
      <c r="J4" s="10">
        <f>ABS(I4/D4)*100</f>
        <v>0.27247817547168146</v>
      </c>
    </row>
    <row r="5" spans="1:10" ht="15" x14ac:dyDescent="0.3">
      <c r="B5" s="3">
        <v>3</v>
      </c>
      <c r="C5" s="10">
        <f t="shared" ref="C5:C14" si="5">IF(F4*G4&lt;0,C4,D4)</f>
        <v>1.3</v>
      </c>
      <c r="D5" s="10">
        <f t="shared" si="1"/>
        <v>1.4197295987999148</v>
      </c>
      <c r="E5" s="10">
        <f t="shared" ref="E5:E14" si="6">IF(F4*G4&lt;0,D4,E4)</f>
        <v>1.4346492057944755</v>
      </c>
      <c r="F5" s="10">
        <f t="shared" si="2"/>
        <v>-0.17527147106501773</v>
      </c>
      <c r="G5" s="10">
        <f t="shared" si="3"/>
        <v>9.3286019998761738E-4</v>
      </c>
      <c r="H5" s="10">
        <f t="shared" si="4"/>
        <v>2.1840726870041682E-2</v>
      </c>
      <c r="I5" s="10">
        <f t="shared" ref="I5:I14" si="7">ABS(D5-D4)</f>
        <v>1.4919606994560741E-2</v>
      </c>
      <c r="J5" s="10">
        <f t="shared" ref="J5:J14" si="8">ABS(I5/D5)*100</f>
        <v>1.0508766603987236</v>
      </c>
    </row>
    <row r="6" spans="1:10" ht="15" x14ac:dyDescent="0.3">
      <c r="B6" s="3">
        <v>4</v>
      </c>
      <c r="C6" s="10">
        <f t="shared" si="5"/>
        <v>1.3</v>
      </c>
      <c r="D6" s="10">
        <f t="shared" si="1"/>
        <v>1.4190957268815625</v>
      </c>
      <c r="E6" s="10">
        <f t="shared" si="6"/>
        <v>1.4197295987999148</v>
      </c>
      <c r="F6" s="10">
        <f t="shared" si="2"/>
        <v>-0.17527147106501773</v>
      </c>
      <c r="G6" s="10">
        <f t="shared" si="3"/>
        <v>3.9713414023423432E-5</v>
      </c>
      <c r="H6" s="10">
        <f t="shared" si="4"/>
        <v>9.3286019998761738E-4</v>
      </c>
      <c r="I6" s="10">
        <f t="shared" si="7"/>
        <v>6.3387191835229117E-4</v>
      </c>
      <c r="J6" s="10">
        <f t="shared" si="8"/>
        <v>4.466731217246446E-2</v>
      </c>
    </row>
    <row r="7" spans="1:10" ht="15" x14ac:dyDescent="0.3">
      <c r="B7" s="3">
        <v>5</v>
      </c>
      <c r="C7" s="10">
        <f t="shared" si="5"/>
        <v>1.3</v>
      </c>
      <c r="D7" s="10">
        <f t="shared" si="1"/>
        <v>1.419068748010111</v>
      </c>
      <c r="E7" s="10">
        <f t="shared" si="6"/>
        <v>1.4190957268815625</v>
      </c>
      <c r="F7" s="10">
        <f t="shared" si="2"/>
        <v>-0.17527147106501773</v>
      </c>
      <c r="G7" s="10">
        <f t="shared" si="3"/>
        <v>1.6904288284713687E-6</v>
      </c>
      <c r="H7" s="10">
        <f t="shared" si="4"/>
        <v>3.9713414023423432E-5</v>
      </c>
      <c r="I7" s="10">
        <f t="shared" si="7"/>
        <v>2.6978871451532882E-5</v>
      </c>
      <c r="J7" s="10">
        <f t="shared" si="8"/>
        <v>1.9011673317000325E-3</v>
      </c>
    </row>
    <row r="8" spans="1:10" ht="15" x14ac:dyDescent="0.3">
      <c r="B8" s="3">
        <v>6</v>
      </c>
      <c r="C8" s="10">
        <f t="shared" si="5"/>
        <v>1.3</v>
      </c>
      <c r="D8" s="10">
        <f t="shared" si="1"/>
        <v>1.419067599646936</v>
      </c>
      <c r="E8" s="10">
        <f t="shared" si="6"/>
        <v>1.419068748010111</v>
      </c>
      <c r="F8" s="10">
        <f t="shared" si="2"/>
        <v>-0.17527147106501773</v>
      </c>
      <c r="G8" s="10">
        <f t="shared" si="3"/>
        <v>7.1953837443849977E-8</v>
      </c>
      <c r="H8" s="10">
        <f t="shared" si="4"/>
        <v>1.6904288284713687E-6</v>
      </c>
      <c r="I8" s="10">
        <f t="shared" si="7"/>
        <v>1.1483631749964474E-6</v>
      </c>
      <c r="J8" s="10">
        <f t="shared" si="8"/>
        <v>8.0923782297767917E-5</v>
      </c>
    </row>
    <row r="9" spans="1:10" ht="15" x14ac:dyDescent="0.3">
      <c r="B9" s="3">
        <v>7</v>
      </c>
      <c r="C9" s="10">
        <f t="shared" si="5"/>
        <v>1.3</v>
      </c>
      <c r="D9" s="10">
        <f t="shared" si="1"/>
        <v>1.4190675507663786</v>
      </c>
      <c r="E9" s="10">
        <f t="shared" si="6"/>
        <v>1.419067599646936</v>
      </c>
      <c r="F9" s="10">
        <f t="shared" si="2"/>
        <v>-0.17527147106501773</v>
      </c>
      <c r="G9" s="10">
        <f t="shared" si="3"/>
        <v>3.0627455016585259E-9</v>
      </c>
      <c r="H9" s="10">
        <f t="shared" si="4"/>
        <v>7.1953837443849977E-8</v>
      </c>
      <c r="I9" s="10">
        <f t="shared" si="7"/>
        <v>4.8880557379504808E-8</v>
      </c>
      <c r="J9" s="10">
        <f t="shared" si="8"/>
        <v>3.4445546551400234E-6</v>
      </c>
    </row>
    <row r="10" spans="1:10" ht="15" x14ac:dyDescent="0.3">
      <c r="B10" s="3">
        <v>8</v>
      </c>
      <c r="C10" s="10">
        <f t="shared" si="5"/>
        <v>1.3</v>
      </c>
      <c r="D10" s="10">
        <f t="shared" si="1"/>
        <v>1.4190675486857571</v>
      </c>
      <c r="E10" s="10">
        <f t="shared" si="6"/>
        <v>1.4190675507663786</v>
      </c>
      <c r="F10" s="10">
        <f t="shared" si="2"/>
        <v>-0.17527147106501773</v>
      </c>
      <c r="G10" s="10">
        <f t="shared" si="3"/>
        <v>1.3036705048818931E-10</v>
      </c>
      <c r="H10" s="10">
        <f t="shared" si="4"/>
        <v>3.0627455016585259E-9</v>
      </c>
      <c r="I10" s="10">
        <f t="shared" si="7"/>
        <v>2.0806214529045519E-9</v>
      </c>
      <c r="J10" s="10">
        <f t="shared" si="8"/>
        <v>1.4661891569795113E-7</v>
      </c>
    </row>
    <row r="11" spans="1:10" ht="15" x14ac:dyDescent="0.3">
      <c r="B11" s="3">
        <v>9</v>
      </c>
      <c r="C11" s="10">
        <f t="shared" si="5"/>
        <v>1.3</v>
      </c>
      <c r="D11" s="10">
        <f t="shared" si="1"/>
        <v>1.4190675485971946</v>
      </c>
      <c r="E11" s="10">
        <f t="shared" si="6"/>
        <v>1.4190675486857571</v>
      </c>
      <c r="F11" s="10">
        <f t="shared" si="2"/>
        <v>-0.17527147106501773</v>
      </c>
      <c r="G11" s="10">
        <f t="shared" si="3"/>
        <v>5.5492277439839199E-12</v>
      </c>
      <c r="H11" s="10">
        <f t="shared" si="4"/>
        <v>1.3036705048818931E-10</v>
      </c>
      <c r="I11" s="10">
        <f t="shared" si="7"/>
        <v>8.8562490674348737E-11</v>
      </c>
      <c r="J11" s="10">
        <f t="shared" si="8"/>
        <v>6.2408932373865017E-9</v>
      </c>
    </row>
    <row r="12" spans="1:10" ht="15" x14ac:dyDescent="0.3">
      <c r="B12" s="3">
        <v>10</v>
      </c>
      <c r="C12" s="10">
        <f t="shared" si="5"/>
        <v>1.3</v>
      </c>
      <c r="D12" s="10">
        <f t="shared" si="1"/>
        <v>1.4190675485934248</v>
      </c>
      <c r="E12" s="10">
        <f t="shared" si="6"/>
        <v>1.4190675485971946</v>
      </c>
      <c r="F12" s="10">
        <f t="shared" si="2"/>
        <v>-0.17527147106501773</v>
      </c>
      <c r="G12" s="10">
        <f t="shared" si="3"/>
        <v>2.3603341503530828E-13</v>
      </c>
      <c r="H12" s="10">
        <f t="shared" si="4"/>
        <v>5.5492277439839199E-12</v>
      </c>
      <c r="I12" s="10">
        <f t="shared" si="7"/>
        <v>3.7698733024171815E-12</v>
      </c>
      <c r="J12" s="10">
        <f t="shared" si="8"/>
        <v>2.6565848159616275E-10</v>
      </c>
    </row>
    <row r="13" spans="1:10" ht="15" x14ac:dyDescent="0.3">
      <c r="B13" s="3">
        <v>11</v>
      </c>
      <c r="C13" s="10">
        <f t="shared" si="5"/>
        <v>1.3</v>
      </c>
      <c r="D13" s="10">
        <f t="shared" si="1"/>
        <v>1.4190675485932644</v>
      </c>
      <c r="E13" s="10">
        <f t="shared" si="6"/>
        <v>1.4190675485934248</v>
      </c>
      <c r="F13" s="10">
        <f t="shared" si="2"/>
        <v>-0.17527147106501773</v>
      </c>
      <c r="G13" s="10">
        <f t="shared" si="3"/>
        <v>1.021405182655144E-14</v>
      </c>
      <c r="H13" s="10">
        <f t="shared" si="4"/>
        <v>2.3603341503530828E-13</v>
      </c>
      <c r="I13" s="10">
        <f t="shared" si="7"/>
        <v>1.603162047558726E-13</v>
      </c>
      <c r="J13" s="10">
        <f t="shared" si="8"/>
        <v>1.1297292008036942E-11</v>
      </c>
    </row>
    <row r="14" spans="1:10" ht="15" x14ac:dyDescent="0.3">
      <c r="B14" s="3">
        <v>12</v>
      </c>
      <c r="C14" s="10">
        <f t="shared" si="5"/>
        <v>1.3</v>
      </c>
      <c r="D14" s="10">
        <f t="shared" si="1"/>
        <v>1.4190675485932576</v>
      </c>
      <c r="E14" s="10">
        <f t="shared" si="6"/>
        <v>1.4190675485932644</v>
      </c>
      <c r="F14" s="10">
        <f t="shared" si="2"/>
        <v>-0.17527147106501773</v>
      </c>
      <c r="G14" s="10">
        <f t="shared" si="3"/>
        <v>0</v>
      </c>
      <c r="H14" s="10">
        <f t="shared" si="4"/>
        <v>1.021405182655144E-14</v>
      </c>
      <c r="I14" s="10">
        <f t="shared" si="7"/>
        <v>6.8833827526759706E-15</v>
      </c>
      <c r="J14" s="10">
        <f t="shared" si="8"/>
        <v>4.8506378427859682E-13</v>
      </c>
    </row>
  </sheetData>
  <conditionalFormatting sqref="D4:D14">
    <cfRule type="expression" dxfId="8" priority="1">
      <formula>I4&lt;$I$1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5EB9-C76F-4D01-BF61-75973AA663DC}">
  <dimension ref="A1:J14"/>
  <sheetViews>
    <sheetView workbookViewId="0">
      <selection activeCell="E14" sqref="E14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7.77734375" bestFit="1" customWidth="1"/>
    <col min="4" max="5" width="11.21875" bestFit="1" customWidth="1"/>
    <col min="6" max="6" width="7.77734375" bestFit="1" customWidth="1"/>
    <col min="7" max="7" width="10.21875" bestFit="1" customWidth="1"/>
    <col min="8" max="8" width="12.44140625" bestFit="1" customWidth="1"/>
    <col min="9" max="9" width="11.21875" bestFit="1" customWidth="1"/>
    <col min="10" max="10" width="9.44140625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/>
      <c r="J1" s="7">
        <v>0.05</v>
      </c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2</v>
      </c>
      <c r="D3" s="10">
        <f>E3-(H3*(C3-E3))/(F3-H3)</f>
        <v>2.7500000000000004</v>
      </c>
      <c r="E3" s="11">
        <v>3</v>
      </c>
      <c r="F3" s="10">
        <f>(0.8-0.3*C3)/C3</f>
        <v>0.10000000000000003</v>
      </c>
      <c r="G3" s="10">
        <f t="shared" ref="G3:H3" si="0">(0.8-0.3*D3)/D3</f>
        <v>-9.0909090909090974E-3</v>
      </c>
      <c r="H3" s="10">
        <f t="shared" si="0"/>
        <v>-3.3333333333333291E-2</v>
      </c>
      <c r="I3" s="10"/>
      <c r="J3" s="10"/>
    </row>
    <row r="4" spans="1:10" ht="15" x14ac:dyDescent="0.3">
      <c r="B4" s="3">
        <v>2</v>
      </c>
      <c r="C4" s="10">
        <f>IF(F3*G3&lt;0,C3,D3)</f>
        <v>2</v>
      </c>
      <c r="D4" s="10">
        <f t="shared" ref="D4:D14" si="1">E4-(H4*(C4-E4))/(F4-H4)</f>
        <v>2.6875000000000004</v>
      </c>
      <c r="E4" s="10">
        <f>IF(F3*G3&lt;0,D3,E3)</f>
        <v>2.7500000000000004</v>
      </c>
      <c r="F4" s="10">
        <f t="shared" ref="F4:F14" si="2">(0.8-0.3*C4)/C4</f>
        <v>0.10000000000000003</v>
      </c>
      <c r="G4" s="10">
        <f t="shared" ref="G4:G14" si="3">(0.8-0.3*D4)/D4</f>
        <v>-2.3255813953488697E-3</v>
      </c>
      <c r="H4" s="10">
        <f t="shared" ref="H4:H14" si="4">(0.8-0.3*E4)/E4</f>
        <v>-9.0909090909090974E-3</v>
      </c>
      <c r="I4" s="10">
        <f>ABS(D4-D3)</f>
        <v>6.25E-2</v>
      </c>
      <c r="J4" s="10">
        <f>ABS(I4/D4)*100</f>
        <v>2.3255813953488369</v>
      </c>
    </row>
    <row r="5" spans="1:10" ht="15" x14ac:dyDescent="0.3">
      <c r="B5" s="3">
        <v>3</v>
      </c>
      <c r="C5" s="10">
        <f t="shared" ref="C5:C14" si="5">IF(F4*G4&lt;0,C4,D4)</f>
        <v>2</v>
      </c>
      <c r="D5" s="10">
        <f t="shared" si="1"/>
        <v>2.6718750000000004</v>
      </c>
      <c r="E5" s="10">
        <f t="shared" ref="E5:E14" si="6">IF(F4*G4&lt;0,D4,E4)</f>
        <v>2.6875000000000004</v>
      </c>
      <c r="F5" s="10">
        <f t="shared" si="2"/>
        <v>0.10000000000000003</v>
      </c>
      <c r="G5" s="10">
        <f t="shared" si="3"/>
        <v>-5.8479532163743515E-4</v>
      </c>
      <c r="H5" s="10">
        <f t="shared" si="4"/>
        <v>-2.3255813953488697E-3</v>
      </c>
      <c r="I5" s="10">
        <f t="shared" ref="I5:I14" si="7">ABS(D5-D4)</f>
        <v>1.5625E-2</v>
      </c>
      <c r="J5" s="10">
        <f t="shared" ref="J5:J14" si="8">ABS(I5/D5)*100</f>
        <v>0.58479532163742676</v>
      </c>
    </row>
    <row r="6" spans="1:10" ht="15" x14ac:dyDescent="0.3">
      <c r="B6" s="3">
        <v>4</v>
      </c>
      <c r="C6" s="10">
        <f t="shared" si="5"/>
        <v>2</v>
      </c>
      <c r="D6" s="10">
        <f t="shared" si="1"/>
        <v>2.6679687500000004</v>
      </c>
      <c r="E6" s="10">
        <f t="shared" si="6"/>
        <v>2.6718750000000004</v>
      </c>
      <c r="F6" s="10">
        <f t="shared" si="2"/>
        <v>0.10000000000000003</v>
      </c>
      <c r="G6" s="10">
        <f t="shared" si="3"/>
        <v>-1.4641288433385463E-4</v>
      </c>
      <c r="H6" s="10">
        <f t="shared" si="4"/>
        <v>-5.8479532163743515E-4</v>
      </c>
      <c r="I6" s="10">
        <f t="shared" si="7"/>
        <v>3.90625E-3</v>
      </c>
      <c r="J6" s="10">
        <f t="shared" si="8"/>
        <v>0.14641288433382135</v>
      </c>
    </row>
    <row r="7" spans="1:10" ht="15" x14ac:dyDescent="0.3">
      <c r="B7" s="3">
        <v>5</v>
      </c>
      <c r="C7" s="10">
        <f t="shared" si="5"/>
        <v>2</v>
      </c>
      <c r="D7" s="10">
        <f t="shared" si="1"/>
        <v>2.6669921875000004</v>
      </c>
      <c r="E7" s="10">
        <f t="shared" si="6"/>
        <v>2.6679687500000004</v>
      </c>
      <c r="F7" s="10">
        <f t="shared" si="2"/>
        <v>0.10000000000000003</v>
      </c>
      <c r="G7" s="10">
        <f t="shared" si="3"/>
        <v>-3.6616623947280381E-5</v>
      </c>
      <c r="H7" s="10">
        <f t="shared" si="4"/>
        <v>-1.4641288433385463E-4</v>
      </c>
      <c r="I7" s="10">
        <f t="shared" si="7"/>
        <v>9.765625E-4</v>
      </c>
      <c r="J7" s="10">
        <f t="shared" si="8"/>
        <v>3.6616623947272053E-2</v>
      </c>
    </row>
    <row r="8" spans="1:10" ht="15" x14ac:dyDescent="0.3">
      <c r="B8" s="3">
        <v>6</v>
      </c>
      <c r="C8" s="10">
        <f t="shared" si="5"/>
        <v>2</v>
      </c>
      <c r="D8" s="10">
        <f t="shared" si="1"/>
        <v>2.6667480468750004</v>
      </c>
      <c r="E8" s="10">
        <f t="shared" si="6"/>
        <v>2.6669921875000004</v>
      </c>
      <c r="F8" s="10">
        <f t="shared" si="2"/>
        <v>0.10000000000000003</v>
      </c>
      <c r="G8" s="10">
        <f t="shared" si="3"/>
        <v>-9.1549940492871716E-6</v>
      </c>
      <c r="H8" s="10">
        <f t="shared" si="4"/>
        <v>-3.6616623947280381E-5</v>
      </c>
      <c r="I8" s="10">
        <f t="shared" si="7"/>
        <v>2.44140625E-4</v>
      </c>
      <c r="J8" s="10">
        <f t="shared" si="8"/>
        <v>9.1549940492538662E-3</v>
      </c>
    </row>
    <row r="9" spans="1:10" ht="15" x14ac:dyDescent="0.3">
      <c r="B9" s="3">
        <v>7</v>
      </c>
      <c r="C9" s="10">
        <f t="shared" si="5"/>
        <v>2</v>
      </c>
      <c r="D9" s="10">
        <f t="shared" si="1"/>
        <v>2.66668701171875</v>
      </c>
      <c r="E9" s="10">
        <f t="shared" si="6"/>
        <v>2.6667480468750004</v>
      </c>
      <c r="F9" s="10">
        <f t="shared" si="2"/>
        <v>0.10000000000000003</v>
      </c>
      <c r="G9" s="10">
        <f t="shared" si="3"/>
        <v>-2.2888008971766451E-6</v>
      </c>
      <c r="H9" s="10">
        <f t="shared" si="4"/>
        <v>-9.1549940492871716E-6</v>
      </c>
      <c r="I9" s="10">
        <f t="shared" si="7"/>
        <v>6.1035156250444089E-5</v>
      </c>
      <c r="J9" s="10">
        <f t="shared" si="8"/>
        <v>2.2888008972266052E-3</v>
      </c>
    </row>
    <row r="10" spans="1:10" ht="15" x14ac:dyDescent="0.3">
      <c r="B10" s="3">
        <v>8</v>
      </c>
      <c r="C10" s="10">
        <f t="shared" si="5"/>
        <v>2</v>
      </c>
      <c r="D10" s="10">
        <f t="shared" si="1"/>
        <v>2.6666717529296875</v>
      </c>
      <c r="E10" s="10">
        <f t="shared" si="6"/>
        <v>2.66668701171875</v>
      </c>
      <c r="F10" s="10">
        <f t="shared" si="2"/>
        <v>0.10000000000000003</v>
      </c>
      <c r="G10" s="10">
        <f t="shared" si="3"/>
        <v>-5.7220349844386293E-7</v>
      </c>
      <c r="H10" s="10">
        <f t="shared" si="4"/>
        <v>-2.2888008971766451E-6</v>
      </c>
      <c r="I10" s="10">
        <f t="shared" si="7"/>
        <v>1.52587890625E-5</v>
      </c>
      <c r="J10" s="10">
        <f t="shared" si="8"/>
        <v>5.7220349845218954E-4</v>
      </c>
    </row>
    <row r="11" spans="1:10" ht="15" x14ac:dyDescent="0.3">
      <c r="B11" s="3">
        <v>9</v>
      </c>
      <c r="C11" s="10">
        <f t="shared" si="5"/>
        <v>2</v>
      </c>
      <c r="D11" s="10">
        <f t="shared" si="1"/>
        <v>2.6666679382324219</v>
      </c>
      <c r="E11" s="10">
        <f t="shared" si="6"/>
        <v>2.6666717529296875</v>
      </c>
      <c r="F11" s="10">
        <f t="shared" si="2"/>
        <v>0.10000000000000003</v>
      </c>
      <c r="G11" s="10">
        <f t="shared" si="3"/>
        <v>-1.4305107921556072E-7</v>
      </c>
      <c r="H11" s="10">
        <f t="shared" si="4"/>
        <v>-5.7220349844386293E-7</v>
      </c>
      <c r="I11" s="10">
        <f t="shared" si="7"/>
        <v>3.814697265625E-6</v>
      </c>
      <c r="J11" s="10">
        <f t="shared" si="8"/>
        <v>1.4305107924886739E-4</v>
      </c>
    </row>
    <row r="12" spans="1:10" ht="15" x14ac:dyDescent="0.3">
      <c r="B12" s="3">
        <v>10</v>
      </c>
      <c r="C12" s="10">
        <f t="shared" si="5"/>
        <v>2</v>
      </c>
      <c r="D12" s="10">
        <f t="shared" si="1"/>
        <v>2.6666669845581055</v>
      </c>
      <c r="E12" s="10">
        <f t="shared" si="6"/>
        <v>2.6666679382324219</v>
      </c>
      <c r="F12" s="10">
        <f t="shared" si="2"/>
        <v>0.10000000000000003</v>
      </c>
      <c r="G12" s="10">
        <f t="shared" si="3"/>
        <v>-3.57627825936518E-8</v>
      </c>
      <c r="H12" s="10">
        <f t="shared" si="4"/>
        <v>-1.4305107921556072E-7</v>
      </c>
      <c r="I12" s="10">
        <f t="shared" si="7"/>
        <v>9.5367431640625E-7</v>
      </c>
      <c r="J12" s="10">
        <f t="shared" si="8"/>
        <v>3.5762782601978469E-5</v>
      </c>
    </row>
    <row r="13" spans="1:10" ht="15" x14ac:dyDescent="0.3">
      <c r="B13" s="3">
        <v>11</v>
      </c>
      <c r="C13" s="10">
        <f t="shared" si="5"/>
        <v>2</v>
      </c>
      <c r="D13" s="10">
        <f t="shared" si="1"/>
        <v>2.6666667461395264</v>
      </c>
      <c r="E13" s="10">
        <f t="shared" si="6"/>
        <v>2.6666669845581055</v>
      </c>
      <c r="F13" s="10">
        <f t="shared" si="2"/>
        <v>0.10000000000000003</v>
      </c>
      <c r="G13" s="10">
        <f t="shared" si="3"/>
        <v>-8.9406964165483864E-9</v>
      </c>
      <c r="H13" s="10">
        <f t="shared" si="4"/>
        <v>-3.57627825936518E-8</v>
      </c>
      <c r="I13" s="10">
        <f t="shared" si="7"/>
        <v>2.384185791015625E-7</v>
      </c>
      <c r="J13" s="10">
        <f t="shared" si="8"/>
        <v>8.9406964498550763E-6</v>
      </c>
    </row>
    <row r="14" spans="1:10" ht="15" x14ac:dyDescent="0.3">
      <c r="B14" s="3">
        <v>12</v>
      </c>
      <c r="C14" s="10">
        <f t="shared" si="5"/>
        <v>2</v>
      </c>
      <c r="D14" s="10">
        <f t="shared" si="1"/>
        <v>2.6666666865348816</v>
      </c>
      <c r="E14" s="10">
        <f t="shared" si="6"/>
        <v>2.6666667461395264</v>
      </c>
      <c r="F14" s="10">
        <f t="shared" si="2"/>
        <v>0.10000000000000003</v>
      </c>
      <c r="G14" s="10">
        <f t="shared" si="3"/>
        <v>-2.2351741540971305E-9</v>
      </c>
      <c r="H14" s="10">
        <f t="shared" si="4"/>
        <v>-8.9406964165483864E-9</v>
      </c>
      <c r="I14" s="10">
        <f t="shared" si="7"/>
        <v>5.9604644775390625E-8</v>
      </c>
      <c r="J14" s="10">
        <f t="shared" si="8"/>
        <v>2.2351741624238031E-6</v>
      </c>
    </row>
  </sheetData>
  <conditionalFormatting sqref="D4:D14">
    <cfRule type="expression" dxfId="7" priority="1">
      <formula>J4&lt;$J$1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4B93-AFC4-4FD7-93CB-2146B32909AD}">
  <dimension ref="A1:J14"/>
  <sheetViews>
    <sheetView workbookViewId="0">
      <selection sqref="A1:J7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9.33203125" bestFit="1" customWidth="1"/>
    <col min="4" max="4" width="10" bestFit="1" customWidth="1"/>
    <col min="5" max="5" width="7.77734375" bestFit="1" customWidth="1"/>
    <col min="6" max="7" width="10.109375" bestFit="1" customWidth="1"/>
    <col min="8" max="8" width="12.33203125" bestFit="1" customWidth="1"/>
    <col min="9" max="10" width="9.33203125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>
        <v>1E-3</v>
      </c>
      <c r="J1" s="7">
        <v>0.01</v>
      </c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3.5</v>
      </c>
      <c r="D3" s="10">
        <f>E3-(H3*(C3-E3))/(F3-H3)</f>
        <v>4.21875</v>
      </c>
      <c r="E3" s="11">
        <v>4.5</v>
      </c>
      <c r="F3" s="10">
        <f>C3^2-18</f>
        <v>-5.75</v>
      </c>
      <c r="G3" s="10">
        <f t="shared" ref="G3:H3" si="0">D3^2-18</f>
        <v>-0.2021484375</v>
      </c>
      <c r="H3" s="10">
        <f t="shared" si="0"/>
        <v>2.25</v>
      </c>
      <c r="I3" s="10"/>
      <c r="J3" s="10"/>
    </row>
    <row r="4" spans="1:10" ht="15" x14ac:dyDescent="0.3">
      <c r="B4" s="3">
        <v>2</v>
      </c>
      <c r="C4" s="10">
        <f>IF(F3*G3&lt;0,C3,D3)</f>
        <v>4.21875</v>
      </c>
      <c r="D4" s="10">
        <f t="shared" ref="D4:D14" si="1">E4-(H4*(C4-E4))/(F4-H4)</f>
        <v>4.241935483870968</v>
      </c>
      <c r="E4" s="10">
        <f>IF(F3*G3&lt;0,D3,E3)</f>
        <v>4.5</v>
      </c>
      <c r="F4" s="10">
        <f t="shared" ref="F4:F14" si="2">C4^2-18</f>
        <v>-0.2021484375</v>
      </c>
      <c r="G4" s="10">
        <f t="shared" ref="G4:G14" si="3">D4^2-18</f>
        <v>-5.9833506763773414E-3</v>
      </c>
      <c r="H4" s="10">
        <f t="shared" ref="H4:H14" si="4">E4^2-18</f>
        <v>2.25</v>
      </c>
      <c r="I4" s="10">
        <f>ABS(D4-D3)</f>
        <v>2.3185483870967971E-2</v>
      </c>
      <c r="J4" s="10">
        <f>ABS(I4/D4)*100</f>
        <v>0.54657794676806626</v>
      </c>
    </row>
    <row r="5" spans="1:10" ht="15" x14ac:dyDescent="0.3">
      <c r="B5" s="3">
        <v>3</v>
      </c>
      <c r="C5" s="10">
        <f t="shared" ref="C5:C14" si="5">IF(F4*G4&lt;0,C4,D4)</f>
        <v>4.241935483870968</v>
      </c>
      <c r="D5" s="10">
        <f t="shared" si="1"/>
        <v>4.2426199261992616</v>
      </c>
      <c r="E5" s="10">
        <f t="shared" ref="E5:E14" si="6">IF(F4*G4&lt;0,D4,E4)</f>
        <v>4.5</v>
      </c>
      <c r="F5" s="10">
        <f t="shared" si="2"/>
        <v>-5.9833506763773414E-3</v>
      </c>
      <c r="G5" s="10">
        <f t="shared" si="3"/>
        <v>-1.7616181697022171E-4</v>
      </c>
      <c r="H5" s="10">
        <f t="shared" si="4"/>
        <v>2.25</v>
      </c>
      <c r="I5" s="10">
        <f t="shared" ref="I5:I14" si="7">ABS(D5-D4)</f>
        <v>6.8444232829367735E-4</v>
      </c>
      <c r="J5" s="10">
        <f t="shared" ref="J5:J14" si="8">ABS(I5/D5)*100</f>
        <v>1.6132539331818796E-2</v>
      </c>
    </row>
    <row r="6" spans="1:10" ht="15" x14ac:dyDescent="0.3">
      <c r="B6" s="3">
        <v>4</v>
      </c>
      <c r="C6" s="10">
        <f t="shared" si="5"/>
        <v>4.2426199261992616</v>
      </c>
      <c r="D6" s="10">
        <f t="shared" si="1"/>
        <v>4.2426400759734095</v>
      </c>
      <c r="E6" s="10">
        <f t="shared" si="6"/>
        <v>4.5</v>
      </c>
      <c r="F6" s="10">
        <f t="shared" si="2"/>
        <v>-1.7616181697022171E-4</v>
      </c>
      <c r="G6" s="10">
        <f t="shared" si="3"/>
        <v>-5.1857443423841687E-6</v>
      </c>
      <c r="H6" s="10">
        <f t="shared" si="4"/>
        <v>2.25</v>
      </c>
      <c r="I6" s="10">
        <f t="shared" si="7"/>
        <v>2.0149774147881772E-5</v>
      </c>
      <c r="J6" s="10">
        <f t="shared" si="8"/>
        <v>4.7493479972511479E-4</v>
      </c>
    </row>
    <row r="7" spans="1:10" ht="15" x14ac:dyDescent="0.3">
      <c r="B7" s="3">
        <v>5</v>
      </c>
      <c r="C7" s="10">
        <f t="shared" si="5"/>
        <v>4.2426400759734095</v>
      </c>
      <c r="D7" s="10">
        <f t="shared" si="1"/>
        <v>4.2426406691288294</v>
      </c>
      <c r="E7" s="10">
        <f t="shared" si="6"/>
        <v>4.5</v>
      </c>
      <c r="F7" s="10">
        <f t="shared" si="2"/>
        <v>-5.1857443423841687E-6</v>
      </c>
      <c r="G7" s="10">
        <f t="shared" si="3"/>
        <v>-1.526540778229446E-7</v>
      </c>
      <c r="H7" s="10">
        <f t="shared" si="4"/>
        <v>2.25</v>
      </c>
      <c r="I7" s="10">
        <f t="shared" si="7"/>
        <v>5.9315541989235498E-7</v>
      </c>
      <c r="J7" s="10">
        <f t="shared" si="8"/>
        <v>1.398080738273203E-5</v>
      </c>
    </row>
    <row r="8" spans="1:10" ht="15" x14ac:dyDescent="0.3">
      <c r="B8" s="3">
        <v>6</v>
      </c>
      <c r="C8" s="10">
        <f t="shared" si="5"/>
        <v>4.2426406691288294</v>
      </c>
      <c r="D8" s="10">
        <f t="shared" si="1"/>
        <v>4.2426406865896951</v>
      </c>
      <c r="E8" s="10">
        <f t="shared" si="6"/>
        <v>4.5</v>
      </c>
      <c r="F8" s="10">
        <f t="shared" si="2"/>
        <v>-1.526540778229446E-7</v>
      </c>
      <c r="G8" s="10">
        <f t="shared" si="3"/>
        <v>-4.4937209509043896E-9</v>
      </c>
      <c r="H8" s="10">
        <f t="shared" si="4"/>
        <v>2.25</v>
      </c>
      <c r="I8" s="10">
        <f t="shared" si="7"/>
        <v>1.7460865642249246E-8</v>
      </c>
      <c r="J8" s="10">
        <f t="shared" si="8"/>
        <v>4.1155655008542755E-7</v>
      </c>
    </row>
    <row r="9" spans="1:10" ht="15" x14ac:dyDescent="0.3">
      <c r="B9" s="3">
        <v>7</v>
      </c>
      <c r="C9" s="10">
        <f t="shared" si="5"/>
        <v>4.2426406865896951</v>
      </c>
      <c r="D9" s="10">
        <f t="shared" si="1"/>
        <v>4.2426406871036955</v>
      </c>
      <c r="E9" s="10">
        <f t="shared" si="6"/>
        <v>4.5</v>
      </c>
      <c r="F9" s="10">
        <f t="shared" si="2"/>
        <v>-4.4937209509043896E-9</v>
      </c>
      <c r="G9" s="10">
        <f t="shared" si="3"/>
        <v>-1.3228174111645785E-10</v>
      </c>
      <c r="H9" s="10">
        <f t="shared" si="4"/>
        <v>2.25</v>
      </c>
      <c r="I9" s="10">
        <f t="shared" si="7"/>
        <v>5.1400039779991857E-10</v>
      </c>
      <c r="J9" s="10">
        <f t="shared" si="8"/>
        <v>1.2115105560608032E-8</v>
      </c>
    </row>
    <row r="10" spans="1:10" ht="15" x14ac:dyDescent="0.3">
      <c r="B10" s="3">
        <v>8</v>
      </c>
      <c r="C10" s="10">
        <f t="shared" si="5"/>
        <v>4.2426406871036955</v>
      </c>
      <c r="D10" s="10">
        <f t="shared" si="1"/>
        <v>4.2426406871188265</v>
      </c>
      <c r="E10" s="10">
        <f t="shared" si="6"/>
        <v>4.5</v>
      </c>
      <c r="F10" s="10">
        <f t="shared" si="2"/>
        <v>-1.3228174111645785E-10</v>
      </c>
      <c r="G10" s="10">
        <f t="shared" si="3"/>
        <v>-3.8902214782865485E-12</v>
      </c>
      <c r="H10" s="10">
        <f t="shared" si="4"/>
        <v>2.25</v>
      </c>
      <c r="I10" s="10">
        <f t="shared" si="7"/>
        <v>1.5131007558011333E-11</v>
      </c>
      <c r="J10" s="10">
        <f t="shared" si="8"/>
        <v>3.5664126834852914E-10</v>
      </c>
    </row>
    <row r="11" spans="1:10" ht="15" x14ac:dyDescent="0.3">
      <c r="B11" s="3">
        <v>9</v>
      </c>
      <c r="C11" s="10">
        <f t="shared" si="5"/>
        <v>4.2426406871188265</v>
      </c>
      <c r="D11" s="10">
        <f t="shared" si="1"/>
        <v>4.2426406871192714</v>
      </c>
      <c r="E11" s="10">
        <f t="shared" si="6"/>
        <v>4.5</v>
      </c>
      <c r="F11" s="10">
        <f t="shared" si="2"/>
        <v>-3.8902214782865485E-12</v>
      </c>
      <c r="G11" s="10">
        <f t="shared" si="3"/>
        <v>-1.1723955140041653E-13</v>
      </c>
      <c r="H11" s="10">
        <f t="shared" si="4"/>
        <v>2.25</v>
      </c>
      <c r="I11" s="10">
        <f t="shared" si="7"/>
        <v>4.4497738826976274E-13</v>
      </c>
      <c r="J11" s="10">
        <f t="shared" si="8"/>
        <v>1.0488217624007652E-11</v>
      </c>
    </row>
    <row r="12" spans="1:10" ht="15" x14ac:dyDescent="0.3">
      <c r="B12" s="3">
        <v>10</v>
      </c>
      <c r="C12" s="10">
        <f t="shared" si="5"/>
        <v>4.2426406871192714</v>
      </c>
      <c r="D12" s="10">
        <f t="shared" si="1"/>
        <v>4.2426406871192848</v>
      </c>
      <c r="E12" s="10">
        <f t="shared" si="6"/>
        <v>4.5</v>
      </c>
      <c r="F12" s="10">
        <f t="shared" si="2"/>
        <v>-1.1723955140041653E-13</v>
      </c>
      <c r="G12" s="10">
        <f t="shared" si="3"/>
        <v>0</v>
      </c>
      <c r="H12" s="10">
        <f t="shared" si="4"/>
        <v>2.25</v>
      </c>
      <c r="I12" s="10">
        <f t="shared" si="7"/>
        <v>1.3322676295501878E-14</v>
      </c>
      <c r="J12" s="10">
        <f t="shared" si="8"/>
        <v>3.1401849173675502E-13</v>
      </c>
    </row>
    <row r="13" spans="1:10" ht="15" x14ac:dyDescent="0.3">
      <c r="B13" s="3">
        <v>11</v>
      </c>
      <c r="C13" s="10">
        <f t="shared" si="5"/>
        <v>4.2426406871192848</v>
      </c>
      <c r="D13" s="10">
        <f t="shared" si="1"/>
        <v>4.2426406871192848</v>
      </c>
      <c r="E13" s="10">
        <f t="shared" si="6"/>
        <v>4.5</v>
      </c>
      <c r="F13" s="10">
        <f t="shared" si="2"/>
        <v>0</v>
      </c>
      <c r="G13" s="10">
        <f t="shared" si="3"/>
        <v>0</v>
      </c>
      <c r="H13" s="10">
        <f t="shared" si="4"/>
        <v>2.25</v>
      </c>
      <c r="I13" s="10">
        <f t="shared" si="7"/>
        <v>0</v>
      </c>
      <c r="J13" s="10">
        <f t="shared" si="8"/>
        <v>0</v>
      </c>
    </row>
    <row r="14" spans="1:10" ht="15" x14ac:dyDescent="0.3">
      <c r="B14" s="3">
        <v>12</v>
      </c>
      <c r="C14" s="10">
        <f t="shared" si="5"/>
        <v>4.2426406871192848</v>
      </c>
      <c r="D14" s="10">
        <f t="shared" si="1"/>
        <v>4.2426406871192848</v>
      </c>
      <c r="E14" s="10">
        <f t="shared" si="6"/>
        <v>4.5</v>
      </c>
      <c r="F14" s="10">
        <f t="shared" si="2"/>
        <v>0</v>
      </c>
      <c r="G14" s="10">
        <f t="shared" si="3"/>
        <v>0</v>
      </c>
      <c r="H14" s="10">
        <f t="shared" si="4"/>
        <v>2.25</v>
      </c>
      <c r="I14" s="10">
        <f t="shared" si="7"/>
        <v>0</v>
      </c>
      <c r="J14" s="10">
        <f t="shared" si="8"/>
        <v>0</v>
      </c>
    </row>
  </sheetData>
  <conditionalFormatting sqref="D4:D14">
    <cfRule type="expression" dxfId="6" priority="1">
      <formula>J4&lt;$J$1</formula>
    </cfRule>
    <cfRule type="expression" dxfId="5" priority="2">
      <formula>I4&lt;$I$1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2154-777A-4BE8-B82D-27ABF74BC52A}">
  <dimension ref="A1:J14"/>
  <sheetViews>
    <sheetView zoomScale="98" zoomScaleNormal="100" zoomScaleSheetLayoutView="100" workbookViewId="0">
      <selection activeCell="J9" sqref="A1:J9"/>
    </sheetView>
  </sheetViews>
  <sheetFormatPr baseColWidth="10" defaultColWidth="8.88671875" defaultRowHeight="14.4" x14ac:dyDescent="0.3"/>
  <cols>
    <col min="1" max="1" width="12.88671875" bestFit="1" customWidth="1"/>
    <col min="2" max="2" width="3.5546875" bestFit="1" customWidth="1"/>
    <col min="3" max="3" width="9.6640625" bestFit="1" customWidth="1"/>
    <col min="4" max="4" width="10.33203125" bestFit="1" customWidth="1"/>
    <col min="5" max="5" width="7.88671875" bestFit="1" customWidth="1"/>
    <col min="6" max="7" width="10.44140625" bestFit="1" customWidth="1"/>
    <col min="8" max="8" width="12.6640625" bestFit="1" customWidth="1"/>
    <col min="9" max="9" width="9.6640625" bestFit="1" customWidth="1"/>
    <col min="10" max="10" width="10.88671875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/>
      <c r="J1" s="7">
        <v>1</v>
      </c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0</v>
      </c>
      <c r="D3" s="10">
        <f>E3-(H3*(C3-E3))/(F3-H3)</f>
        <v>3.0037474521529761</v>
      </c>
      <c r="E3" s="11">
        <v>4</v>
      </c>
      <c r="F3" s="10">
        <f>C3^2*ABS(COS(SQRT(C3)))-5</f>
        <v>-5</v>
      </c>
      <c r="G3" s="10">
        <f t="shared" ref="G3:H3" si="0">D3^2*ABS(COS(SQRT(D3)))-5</f>
        <v>-3.5417488071912748</v>
      </c>
      <c r="H3" s="10">
        <f t="shared" si="0"/>
        <v>1.6583493847542785</v>
      </c>
      <c r="I3" s="10"/>
      <c r="J3" s="10"/>
    </row>
    <row r="4" spans="1:10" ht="15" x14ac:dyDescent="0.3">
      <c r="B4" s="3">
        <v>2</v>
      </c>
      <c r="C4" s="10">
        <f>IF(F3*G3&lt;0,C3,D3)</f>
        <v>3.0037474521529761</v>
      </c>
      <c r="D4" s="10">
        <f t="shared" ref="D4:D14" si="1">E4-(H4*(C4-E4))/(F4-H4)</f>
        <v>3.6822877686538709</v>
      </c>
      <c r="E4" s="10">
        <f>IF(F3*G3&lt;0,D3,E3)</f>
        <v>4</v>
      </c>
      <c r="F4" s="10">
        <f t="shared" ref="F4:F14" si="2">C4^2*ABS(COS(SQRT(C4)))-5</f>
        <v>-3.5417488071912748</v>
      </c>
      <c r="G4" s="10">
        <f t="shared" ref="G4:G14" si="3">D4^2*ABS(COS(SQRT(D4)))-5</f>
        <v>-0.37436025988644062</v>
      </c>
      <c r="H4" s="10">
        <f t="shared" ref="H4:H14" si="4">E4^2*ABS(COS(SQRT(E4)))-5</f>
        <v>1.6583493847542785</v>
      </c>
      <c r="I4" s="10">
        <f>ABS(D4-D3)</f>
        <v>0.67854031650089475</v>
      </c>
      <c r="J4" s="10">
        <f>ABS(I4/D4)*100</f>
        <v>18.427139841624811</v>
      </c>
    </row>
    <row r="5" spans="1:10" ht="15" x14ac:dyDescent="0.3">
      <c r="B5" s="3">
        <v>3</v>
      </c>
      <c r="C5" s="10">
        <f t="shared" ref="C5:C14" si="5">IF(F4*G4&lt;0,C4,D4)</f>
        <v>3.6822877686538709</v>
      </c>
      <c r="D5" s="10">
        <f t="shared" si="1"/>
        <v>3.7408002245815646</v>
      </c>
      <c r="E5" s="10">
        <f t="shared" ref="E5:E14" si="6">IF(F4*G4&lt;0,D4,E4)</f>
        <v>4</v>
      </c>
      <c r="F5" s="10">
        <f t="shared" si="2"/>
        <v>-0.37436025988644062</v>
      </c>
      <c r="G5" s="10">
        <f t="shared" si="3"/>
        <v>-2.6986212816060728E-2</v>
      </c>
      <c r="H5" s="10">
        <f t="shared" si="4"/>
        <v>1.6583493847542785</v>
      </c>
      <c r="I5" s="10">
        <f t="shared" ref="I5:I14" si="7">ABS(D5-D4)</f>
        <v>5.8512455927693718E-2</v>
      </c>
      <c r="J5" s="10">
        <f t="shared" ref="J5:J14" si="8">ABS(I5/D5)*100</f>
        <v>1.5641694935537156</v>
      </c>
    </row>
    <row r="6" spans="1:10" ht="15" x14ac:dyDescent="0.3">
      <c r="B6" s="3">
        <v>4</v>
      </c>
      <c r="C6" s="10">
        <f t="shared" si="5"/>
        <v>3.7408002245815646</v>
      </c>
      <c r="D6" s="10">
        <f t="shared" si="1"/>
        <v>3.7449506266210166</v>
      </c>
      <c r="E6" s="10">
        <f t="shared" si="6"/>
        <v>4</v>
      </c>
      <c r="F6" s="10">
        <f t="shared" si="2"/>
        <v>-2.6986212816060728E-2</v>
      </c>
      <c r="G6" s="10">
        <f t="shared" si="3"/>
        <v>-1.886359367422763E-3</v>
      </c>
      <c r="H6" s="10">
        <f t="shared" si="4"/>
        <v>1.6583493847542785</v>
      </c>
      <c r="I6" s="10">
        <f t="shared" si="7"/>
        <v>4.1504020394520502E-3</v>
      </c>
      <c r="J6" s="10">
        <f t="shared" si="8"/>
        <v>0.11082661570886619</v>
      </c>
    </row>
    <row r="7" spans="1:10" ht="15" x14ac:dyDescent="0.3">
      <c r="B7" s="3">
        <v>5</v>
      </c>
      <c r="C7" s="10">
        <f t="shared" si="5"/>
        <v>3.7449506266210166</v>
      </c>
      <c r="D7" s="10">
        <f t="shared" si="1"/>
        <v>3.7452404136445354</v>
      </c>
      <c r="E7" s="10">
        <f t="shared" si="6"/>
        <v>4</v>
      </c>
      <c r="F7" s="10">
        <f t="shared" si="2"/>
        <v>-1.886359367422763E-3</v>
      </c>
      <c r="G7" s="10">
        <f t="shared" si="3"/>
        <v>-1.3157221568782518E-4</v>
      </c>
      <c r="H7" s="10">
        <f t="shared" si="4"/>
        <v>1.6583493847542785</v>
      </c>
      <c r="I7" s="10">
        <f t="shared" si="7"/>
        <v>2.8978702351878383E-4</v>
      </c>
      <c r="J7" s="10">
        <f t="shared" si="8"/>
        <v>7.7374745413683289E-3</v>
      </c>
    </row>
    <row r="8" spans="1:10" ht="15" x14ac:dyDescent="0.3">
      <c r="B8" s="3">
        <v>6</v>
      </c>
      <c r="C8" s="10">
        <f t="shared" si="5"/>
        <v>3.7452404136445354</v>
      </c>
      <c r="D8" s="10">
        <f t="shared" si="1"/>
        <v>3.7452606244784938</v>
      </c>
      <c r="E8" s="10">
        <f t="shared" si="6"/>
        <v>4</v>
      </c>
      <c r="F8" s="10">
        <f t="shared" si="2"/>
        <v>-1.3157221568782518E-4</v>
      </c>
      <c r="G8" s="10">
        <f t="shared" si="3"/>
        <v>-9.1756776479101632E-6</v>
      </c>
      <c r="H8" s="10">
        <f t="shared" si="4"/>
        <v>1.6583493847542785</v>
      </c>
      <c r="I8" s="10">
        <f t="shared" si="7"/>
        <v>2.0210833958422825E-5</v>
      </c>
      <c r="J8" s="10">
        <f t="shared" si="8"/>
        <v>5.3963758426657071E-4</v>
      </c>
    </row>
    <row r="9" spans="1:10" ht="15" x14ac:dyDescent="0.3">
      <c r="B9" s="3">
        <v>7</v>
      </c>
      <c r="C9" s="10">
        <f t="shared" si="5"/>
        <v>3.7452606244784938</v>
      </c>
      <c r="D9" s="10">
        <f t="shared" si="1"/>
        <v>3.7452620339483453</v>
      </c>
      <c r="E9" s="10">
        <f t="shared" si="6"/>
        <v>4</v>
      </c>
      <c r="F9" s="10">
        <f t="shared" si="2"/>
        <v>-9.1756776479101632E-6</v>
      </c>
      <c r="G9" s="10">
        <f t="shared" si="3"/>
        <v>-6.3989323706437062E-7</v>
      </c>
      <c r="H9" s="10">
        <f t="shared" si="4"/>
        <v>1.6583493847542785</v>
      </c>
      <c r="I9" s="10">
        <f t="shared" si="7"/>
        <v>1.4094698514988124E-6</v>
      </c>
      <c r="J9" s="10">
        <f t="shared" si="8"/>
        <v>3.7633410926202019E-5</v>
      </c>
    </row>
    <row r="10" spans="1:10" ht="15" x14ac:dyDescent="0.3">
      <c r="B10" s="3">
        <v>8</v>
      </c>
      <c r="C10" s="10">
        <f t="shared" si="5"/>
        <v>3.7452620339483453</v>
      </c>
      <c r="D10" s="10">
        <f t="shared" si="1"/>
        <v>3.7452621322418898</v>
      </c>
      <c r="E10" s="10">
        <f t="shared" si="6"/>
        <v>4</v>
      </c>
      <c r="F10" s="10">
        <f t="shared" si="2"/>
        <v>-6.3989323706437062E-7</v>
      </c>
      <c r="G10" s="10">
        <f t="shared" si="3"/>
        <v>-4.4624830053408004E-8</v>
      </c>
      <c r="H10" s="10">
        <f t="shared" si="4"/>
        <v>1.6583493847542785</v>
      </c>
      <c r="I10" s="10">
        <f t="shared" si="7"/>
        <v>9.8293544414929102E-8</v>
      </c>
      <c r="J10" s="10">
        <f t="shared" si="8"/>
        <v>2.6244770310934475E-6</v>
      </c>
    </row>
    <row r="11" spans="1:10" ht="15" x14ac:dyDescent="0.3">
      <c r="B11" s="3">
        <v>9</v>
      </c>
      <c r="C11" s="10">
        <f t="shared" si="5"/>
        <v>3.7452621322418898</v>
      </c>
      <c r="D11" s="10">
        <f t="shared" si="1"/>
        <v>3.745262139096678</v>
      </c>
      <c r="E11" s="10">
        <f t="shared" si="6"/>
        <v>4</v>
      </c>
      <c r="F11" s="10">
        <f t="shared" si="2"/>
        <v>-4.4624830053408004E-8</v>
      </c>
      <c r="G11" s="10">
        <f t="shared" si="3"/>
        <v>-3.1120430676878641E-9</v>
      </c>
      <c r="H11" s="10">
        <f t="shared" si="4"/>
        <v>1.6583493847542785</v>
      </c>
      <c r="I11" s="10">
        <f t="shared" si="7"/>
        <v>6.8547882925429349E-9</v>
      </c>
      <c r="J11" s="10">
        <f t="shared" si="8"/>
        <v>1.8302559441663663E-7</v>
      </c>
    </row>
    <row r="12" spans="1:10" ht="15" x14ac:dyDescent="0.3">
      <c r="B12" s="3">
        <v>10</v>
      </c>
      <c r="C12" s="10">
        <f t="shared" si="5"/>
        <v>3.745262139096678</v>
      </c>
      <c r="D12" s="10">
        <f t="shared" si="1"/>
        <v>3.7452621395747165</v>
      </c>
      <c r="E12" s="10">
        <f t="shared" si="6"/>
        <v>4</v>
      </c>
      <c r="F12" s="10">
        <f t="shared" si="2"/>
        <v>-3.1120430676878641E-9</v>
      </c>
      <c r="G12" s="10">
        <f t="shared" si="3"/>
        <v>-2.170272850321453E-10</v>
      </c>
      <c r="H12" s="10">
        <f t="shared" si="4"/>
        <v>1.6583493847542785</v>
      </c>
      <c r="I12" s="10">
        <f t="shared" si="7"/>
        <v>4.7803849767547035E-10</v>
      </c>
      <c r="J12" s="10">
        <f t="shared" si="8"/>
        <v>1.2763819456700374E-8</v>
      </c>
    </row>
    <row r="13" spans="1:10" ht="15" x14ac:dyDescent="0.3">
      <c r="B13" s="3">
        <v>11</v>
      </c>
      <c r="C13" s="10">
        <f t="shared" si="5"/>
        <v>3.7452621395747165</v>
      </c>
      <c r="D13" s="10">
        <f t="shared" si="1"/>
        <v>3.7452621396080539</v>
      </c>
      <c r="E13" s="10">
        <f t="shared" si="6"/>
        <v>4</v>
      </c>
      <c r="F13" s="10">
        <f t="shared" si="2"/>
        <v>-2.170272850321453E-10</v>
      </c>
      <c r="G13" s="10">
        <f t="shared" si="3"/>
        <v>-1.5135448450109834E-11</v>
      </c>
      <c r="H13" s="10">
        <f t="shared" si="4"/>
        <v>1.6583493847542785</v>
      </c>
      <c r="I13" s="10">
        <f t="shared" si="7"/>
        <v>3.3337332894234351E-11</v>
      </c>
      <c r="J13" s="10">
        <f t="shared" si="8"/>
        <v>8.9012014784426121E-10</v>
      </c>
    </row>
    <row r="14" spans="1:10" ht="15" x14ac:dyDescent="0.3">
      <c r="B14" s="3">
        <v>12</v>
      </c>
      <c r="C14" s="10">
        <f t="shared" si="5"/>
        <v>3.7452621396080539</v>
      </c>
      <c r="D14" s="10">
        <f t="shared" si="1"/>
        <v>3.7452621396103787</v>
      </c>
      <c r="E14" s="10">
        <f t="shared" si="6"/>
        <v>4</v>
      </c>
      <c r="F14" s="10">
        <f t="shared" si="2"/>
        <v>-1.5135448450109834E-11</v>
      </c>
      <c r="G14" s="10">
        <f t="shared" si="3"/>
        <v>-1.0560441410234489E-12</v>
      </c>
      <c r="H14" s="10">
        <f t="shared" si="4"/>
        <v>1.6583493847542785</v>
      </c>
      <c r="I14" s="10">
        <f t="shared" si="7"/>
        <v>2.3248070135650778E-12</v>
      </c>
      <c r="J14" s="10">
        <f t="shared" si="8"/>
        <v>6.20732789029002E-11</v>
      </c>
    </row>
  </sheetData>
  <conditionalFormatting sqref="D4:D14">
    <cfRule type="expression" dxfId="4" priority="1">
      <formula>J4&lt;$J$1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5EC5-02B7-41C8-BB10-C9019653177E}">
  <dimension ref="A1:J14"/>
  <sheetViews>
    <sheetView workbookViewId="0">
      <selection sqref="A1:J11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8.5546875" bestFit="1" customWidth="1"/>
    <col min="4" max="4" width="9.21875" bestFit="1" customWidth="1"/>
    <col min="5" max="5" width="8.5546875" bestFit="1" customWidth="1"/>
    <col min="6" max="6" width="11.44140625" bestFit="1" customWidth="1"/>
    <col min="7" max="7" width="11" bestFit="1" customWidth="1"/>
    <col min="8" max="8" width="12" bestFit="1" customWidth="1"/>
    <col min="9" max="10" width="7.77734375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/>
      <c r="J1" s="7">
        <v>1</v>
      </c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5.2</v>
      </c>
      <c r="D3" s="10">
        <f>E3-(H3*(C3-E3))/(F3-H3)</f>
        <v>5.4744336569579639</v>
      </c>
      <c r="E3" s="11">
        <v>5.7</v>
      </c>
      <c r="F3" s="10">
        <f>C3^4-8*C3^3-35*C3^2+450*(C3)-1001</f>
        <v>-1.1024000000002161</v>
      </c>
      <c r="G3" s="10">
        <f t="shared" ref="G3:H3" si="0">D3^4-8*D3^3-35*D3^2+450*(D3)-1001</f>
        <v>-0.79330432277652108</v>
      </c>
      <c r="H3" s="10">
        <f t="shared" si="0"/>
        <v>0.90609999999992397</v>
      </c>
      <c r="I3" s="10"/>
      <c r="J3" s="10"/>
    </row>
    <row r="4" spans="1:10" ht="15" x14ac:dyDescent="0.3">
      <c r="B4" s="3">
        <v>2</v>
      </c>
      <c r="C4" s="10">
        <f>IF(F3*G3&lt;0,C3,D3)</f>
        <v>5.4744336569579639</v>
      </c>
      <c r="D4" s="10">
        <f t="shared" ref="D4:D14" si="1">E4-(H4*(C4-E4))/(F4-H4)</f>
        <v>5.5797309970964113</v>
      </c>
      <c r="E4" s="10">
        <f>IF(F3*G3&lt;0,D3,E3)</f>
        <v>5.7</v>
      </c>
      <c r="F4" s="10">
        <f t="shared" ref="F4:F14" si="2">C4^4-8*C4^3-35*C4^2+450*(C4)-1001</f>
        <v>-0.79330432277652108</v>
      </c>
      <c r="G4" s="10">
        <f t="shared" ref="G4:G14" si="3">D4^4-8*D4^3-35*D4^2+450*(D4)-1001</f>
        <v>-0.2293972038053198</v>
      </c>
      <c r="H4" s="10">
        <f t="shared" ref="H4:H14" si="4">E4^4-8*E4^3-35*E4^2+450*(E4)-1001</f>
        <v>0.90609999999992397</v>
      </c>
      <c r="I4" s="10">
        <f>ABS(D4-D3)</f>
        <v>0.10529734013844738</v>
      </c>
      <c r="J4" s="10">
        <f>ABS(I4/D4)*100</f>
        <v>1.8871400824384217</v>
      </c>
    </row>
    <row r="5" spans="1:10" ht="15" x14ac:dyDescent="0.3">
      <c r="B5" s="3">
        <v>3</v>
      </c>
      <c r="C5" s="10">
        <f t="shared" ref="C5:C14" si="5">IF(F4*G4&lt;0,C4,D4)</f>
        <v>5.5797309970964113</v>
      </c>
      <c r="D5" s="10">
        <f t="shared" si="1"/>
        <v>5.604028170949487</v>
      </c>
      <c r="E5" s="10">
        <f t="shared" ref="E5:E14" si="6">IF(F4*G4&lt;0,D4,E4)</f>
        <v>5.7</v>
      </c>
      <c r="F5" s="10">
        <f t="shared" si="2"/>
        <v>-0.2293972038053198</v>
      </c>
      <c r="G5" s="10">
        <f t="shared" si="3"/>
        <v>-4.6578246234957987E-2</v>
      </c>
      <c r="H5" s="10">
        <f t="shared" si="4"/>
        <v>0.90609999999992397</v>
      </c>
      <c r="I5" s="10">
        <f t="shared" ref="I5:I14" si="7">ABS(D5-D4)</f>
        <v>2.4297173853075726E-2</v>
      </c>
      <c r="J5" s="10">
        <f t="shared" ref="J5:J14" si="8">ABS(I5/D5)*100</f>
        <v>0.4335662332860663</v>
      </c>
    </row>
    <row r="6" spans="1:10" ht="15" x14ac:dyDescent="0.3">
      <c r="B6" s="3">
        <v>4</v>
      </c>
      <c r="C6" s="10">
        <f t="shared" si="5"/>
        <v>5.604028170949487</v>
      </c>
      <c r="D6" s="10">
        <f t="shared" si="1"/>
        <v>5.6087204156845809</v>
      </c>
      <c r="E6" s="10">
        <f t="shared" si="6"/>
        <v>5.7</v>
      </c>
      <c r="F6" s="10">
        <f t="shared" si="2"/>
        <v>-4.6578246234957987E-2</v>
      </c>
      <c r="G6" s="10">
        <f t="shared" si="3"/>
        <v>-8.735296157283301E-3</v>
      </c>
      <c r="H6" s="10">
        <f t="shared" si="4"/>
        <v>0.90609999999992397</v>
      </c>
      <c r="I6" s="10">
        <f t="shared" si="7"/>
        <v>4.6922447350938867E-3</v>
      </c>
      <c r="J6" s="10">
        <f t="shared" si="8"/>
        <v>8.3659808072661213E-2</v>
      </c>
    </row>
    <row r="7" spans="1:10" ht="15" x14ac:dyDescent="0.3">
      <c r="B7" s="3">
        <v>5</v>
      </c>
      <c r="C7" s="10">
        <f t="shared" si="5"/>
        <v>5.6087204156845809</v>
      </c>
      <c r="D7" s="10">
        <f t="shared" si="1"/>
        <v>5.6095919979305418</v>
      </c>
      <c r="E7" s="10">
        <f t="shared" si="6"/>
        <v>5.7</v>
      </c>
      <c r="F7" s="10">
        <f t="shared" si="2"/>
        <v>-8.735296157283301E-3</v>
      </c>
      <c r="G7" s="10">
        <f t="shared" si="3"/>
        <v>-1.6134508398408798E-3</v>
      </c>
      <c r="H7" s="10">
        <f t="shared" si="4"/>
        <v>0.90609999999992397</v>
      </c>
      <c r="I7" s="10">
        <f t="shared" si="7"/>
        <v>8.7158224596084466E-4</v>
      </c>
      <c r="J7" s="10">
        <f t="shared" si="8"/>
        <v>1.553735541341302E-2</v>
      </c>
    </row>
    <row r="8" spans="1:10" ht="15" x14ac:dyDescent="0.3">
      <c r="B8" s="3">
        <v>6</v>
      </c>
      <c r="C8" s="10">
        <f t="shared" si="5"/>
        <v>5.6095919979305418</v>
      </c>
      <c r="D8" s="10">
        <f t="shared" si="1"/>
        <v>5.6097526971762477</v>
      </c>
      <c r="E8" s="10">
        <f t="shared" si="6"/>
        <v>5.7</v>
      </c>
      <c r="F8" s="10">
        <f t="shared" si="2"/>
        <v>-1.6134508398408798E-3</v>
      </c>
      <c r="G8" s="10">
        <f t="shared" si="3"/>
        <v>-2.9717107418036903E-4</v>
      </c>
      <c r="H8" s="10">
        <f t="shared" si="4"/>
        <v>0.90609999999992397</v>
      </c>
      <c r="I8" s="10">
        <f t="shared" si="7"/>
        <v>1.6069924570594196E-4</v>
      </c>
      <c r="J8" s="10">
        <f t="shared" si="8"/>
        <v>2.8646404642192571E-3</v>
      </c>
    </row>
    <row r="9" spans="1:10" ht="15" x14ac:dyDescent="0.3">
      <c r="B9" s="3">
        <v>7</v>
      </c>
      <c r="C9" s="10">
        <f t="shared" si="5"/>
        <v>5.6097526971762477</v>
      </c>
      <c r="D9" s="10">
        <f t="shared" si="1"/>
        <v>5.6097822856268493</v>
      </c>
      <c r="E9" s="10">
        <f t="shared" si="6"/>
        <v>5.7</v>
      </c>
      <c r="F9" s="10">
        <f t="shared" si="2"/>
        <v>-2.9717107418036903E-4</v>
      </c>
      <c r="G9" s="10">
        <f t="shared" si="3"/>
        <v>-5.4705513775843428E-5</v>
      </c>
      <c r="H9" s="10">
        <f t="shared" si="4"/>
        <v>0.90609999999992397</v>
      </c>
      <c r="I9" s="10">
        <f t="shared" si="7"/>
        <v>2.9588450601636396E-5</v>
      </c>
      <c r="J9" s="10">
        <f t="shared" si="8"/>
        <v>5.2744383106358139E-4</v>
      </c>
    </row>
    <row r="10" spans="1:10" ht="15" x14ac:dyDescent="0.3">
      <c r="B10" s="3">
        <v>8</v>
      </c>
      <c r="C10" s="10">
        <f t="shared" si="5"/>
        <v>5.6097822856268493</v>
      </c>
      <c r="D10" s="10">
        <f t="shared" si="1"/>
        <v>5.6097877321652678</v>
      </c>
      <c r="E10" s="10">
        <f t="shared" si="6"/>
        <v>5.7</v>
      </c>
      <c r="F10" s="10">
        <f t="shared" si="2"/>
        <v>-5.4705513775843428E-5</v>
      </c>
      <c r="G10" s="10">
        <f t="shared" si="3"/>
        <v>-1.0069641575682908E-5</v>
      </c>
      <c r="H10" s="10">
        <f t="shared" si="4"/>
        <v>0.90609999999992397</v>
      </c>
      <c r="I10" s="10">
        <f t="shared" si="7"/>
        <v>5.446538418496516E-6</v>
      </c>
      <c r="J10" s="10">
        <f t="shared" si="8"/>
        <v>9.7089919949506877E-5</v>
      </c>
    </row>
    <row r="11" spans="1:10" ht="15" x14ac:dyDescent="0.3">
      <c r="B11" s="3">
        <v>9</v>
      </c>
      <c r="C11" s="10">
        <f t="shared" si="5"/>
        <v>5.6097877321652678</v>
      </c>
      <c r="D11" s="10">
        <f t="shared" si="1"/>
        <v>5.6097887346982196</v>
      </c>
      <c r="E11" s="10">
        <f t="shared" si="6"/>
        <v>5.7</v>
      </c>
      <c r="F11" s="10">
        <f t="shared" si="2"/>
        <v>-1.0069641575682908E-5</v>
      </c>
      <c r="G11" s="10">
        <f t="shared" si="3"/>
        <v>-1.8534858554630773E-6</v>
      </c>
      <c r="H11" s="10">
        <f t="shared" si="4"/>
        <v>0.90609999999992397</v>
      </c>
      <c r="I11" s="10">
        <f t="shared" si="7"/>
        <v>1.0025329517659998E-6</v>
      </c>
      <c r="J11" s="10">
        <f t="shared" si="8"/>
        <v>1.7871135602042086E-5</v>
      </c>
    </row>
    <row r="12" spans="1:10" ht="15" x14ac:dyDescent="0.3">
      <c r="B12" s="3">
        <v>10</v>
      </c>
      <c r="C12" s="10">
        <f t="shared" si="5"/>
        <v>5.6097887346982196</v>
      </c>
      <c r="D12" s="10">
        <f t="shared" si="1"/>
        <v>5.6097889192307901</v>
      </c>
      <c r="E12" s="10">
        <f t="shared" si="6"/>
        <v>5.7</v>
      </c>
      <c r="F12" s="10">
        <f t="shared" si="2"/>
        <v>-1.8534858554630773E-6</v>
      </c>
      <c r="G12" s="10">
        <f t="shared" si="3"/>
        <v>-3.411641955608502E-7</v>
      </c>
      <c r="H12" s="10">
        <f t="shared" si="4"/>
        <v>0.90609999999992397</v>
      </c>
      <c r="I12" s="10">
        <f t="shared" si="7"/>
        <v>1.8453257055739414E-7</v>
      </c>
      <c r="J12" s="10">
        <f t="shared" si="8"/>
        <v>3.2894744029459331E-6</v>
      </c>
    </row>
    <row r="13" spans="1:10" ht="15" x14ac:dyDescent="0.3">
      <c r="B13" s="3">
        <v>11</v>
      </c>
      <c r="C13" s="10">
        <f t="shared" si="5"/>
        <v>5.6097889192307901</v>
      </c>
      <c r="D13" s="10">
        <f t="shared" si="1"/>
        <v>5.609788953196996</v>
      </c>
      <c r="E13" s="10">
        <f t="shared" si="6"/>
        <v>5.7</v>
      </c>
      <c r="F13" s="10">
        <f t="shared" si="2"/>
        <v>-3.411641955608502E-7</v>
      </c>
      <c r="G13" s="10">
        <f t="shared" si="3"/>
        <v>-6.2796516431262717E-8</v>
      </c>
      <c r="H13" s="10">
        <f t="shared" si="4"/>
        <v>0.90609999999992397</v>
      </c>
      <c r="I13" s="10">
        <f t="shared" si="7"/>
        <v>3.3966205847946185E-8</v>
      </c>
      <c r="J13" s="10">
        <f t="shared" si="8"/>
        <v>6.0548099280257202E-7</v>
      </c>
    </row>
    <row r="14" spans="1:10" ht="15" x14ac:dyDescent="0.3">
      <c r="B14" s="3">
        <v>12</v>
      </c>
      <c r="C14" s="10">
        <f t="shared" si="5"/>
        <v>5.609788953196996</v>
      </c>
      <c r="D14" s="10">
        <f t="shared" si="1"/>
        <v>5.6097889594489985</v>
      </c>
      <c r="E14" s="10">
        <f t="shared" si="6"/>
        <v>5.7</v>
      </c>
      <c r="F14" s="10">
        <f t="shared" si="2"/>
        <v>-6.2796516431262717E-8</v>
      </c>
      <c r="G14" s="10">
        <f t="shared" si="3"/>
        <v>-1.1558995538507588E-8</v>
      </c>
      <c r="H14" s="10">
        <f t="shared" si="4"/>
        <v>0.90609999999992397</v>
      </c>
      <c r="I14" s="10">
        <f t="shared" si="7"/>
        <v>6.2520024712853228E-9</v>
      </c>
      <c r="J14" s="10">
        <f t="shared" si="8"/>
        <v>1.1144808684388376E-7</v>
      </c>
    </row>
  </sheetData>
  <conditionalFormatting sqref="D4:D14">
    <cfRule type="expression" dxfId="3" priority="1">
      <formula>J4&lt;$J$1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C056-90F9-4018-A77F-B05A24B88FB7}">
  <dimension ref="A1:J14"/>
  <sheetViews>
    <sheetView workbookViewId="0">
      <selection activeCell="F17" sqref="F17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7.77734375" bestFit="1" customWidth="1"/>
    <col min="4" max="4" width="8.44140625" bestFit="1" customWidth="1"/>
    <col min="5" max="5" width="7.77734375" bestFit="1" customWidth="1"/>
    <col min="6" max="6" width="9.77734375" bestFit="1" customWidth="1"/>
    <col min="7" max="7" width="8.5546875" bestFit="1" customWidth="1"/>
    <col min="8" max="8" width="12" bestFit="1" customWidth="1"/>
    <col min="9" max="10" width="7.77734375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>
        <v>0.01</v>
      </c>
      <c r="J1" s="7">
        <v>0.1</v>
      </c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3</v>
      </c>
      <c r="D3" s="10">
        <f>E3-(H3*(C3-E3))/(F3-H3)</f>
        <v>3.4249936337661762</v>
      </c>
      <c r="E3" s="11">
        <v>3.9</v>
      </c>
      <c r="F3" s="10">
        <f>C3^3.5-80</f>
        <v>-33.234628195640305</v>
      </c>
      <c r="G3" s="10">
        <f t="shared" ref="G3:H3" si="0">D3^3.5-80</f>
        <v>-5.645169141627477</v>
      </c>
      <c r="H3" s="10">
        <f t="shared" si="0"/>
        <v>37.145638706270205</v>
      </c>
      <c r="I3" s="10"/>
      <c r="J3" s="10"/>
    </row>
    <row r="4" spans="1:10" ht="15" x14ac:dyDescent="0.3">
      <c r="B4" s="3">
        <v>2</v>
      </c>
      <c r="C4" s="10">
        <f>IF(F3*G3&lt;0,C3,D3)</f>
        <v>3.4249936337661762</v>
      </c>
      <c r="D4" s="10">
        <f t="shared" ref="D4:D14" si="1">E4-(H4*(C4-E4))/(F4-H4)</f>
        <v>3.4876587577870009</v>
      </c>
      <c r="E4" s="10">
        <f>IF(F3*G3&lt;0,D3,E3)</f>
        <v>3.9</v>
      </c>
      <c r="F4" s="10">
        <f t="shared" ref="F4:F14" si="2">C4^3.5-80</f>
        <v>-5.645169141627477</v>
      </c>
      <c r="G4" s="10">
        <f t="shared" ref="G4:G14" si="3">D4^3.5-80</f>
        <v>-0.77377734091228945</v>
      </c>
      <c r="H4" s="10">
        <f t="shared" ref="H4:H14" si="4">E4^3.5-80</f>
        <v>37.145638706270205</v>
      </c>
      <c r="I4" s="10">
        <f>ABS(D4-D3)</f>
        <v>6.2665124020824692E-2</v>
      </c>
      <c r="J4" s="10">
        <f>ABS(I4/D4)*100</f>
        <v>1.7967676419291416</v>
      </c>
    </row>
    <row r="5" spans="1:10" ht="15" x14ac:dyDescent="0.3">
      <c r="B5" s="3">
        <v>3</v>
      </c>
      <c r="C5" s="10">
        <f t="shared" ref="C5:C14" si="5">IF(F4*G4&lt;0,C4,D4)</f>
        <v>3.4876587577870009</v>
      </c>
      <c r="D5" s="10">
        <f t="shared" si="1"/>
        <v>3.4960729250714087</v>
      </c>
      <c r="E5" s="10">
        <f t="shared" ref="E5:E14" si="6">IF(F4*G4&lt;0,D4,E4)</f>
        <v>3.9</v>
      </c>
      <c r="F5" s="10">
        <f t="shared" si="2"/>
        <v>-0.77377734091228945</v>
      </c>
      <c r="G5" s="10">
        <f t="shared" si="3"/>
        <v>-0.10277589730102932</v>
      </c>
      <c r="H5" s="10">
        <f t="shared" si="4"/>
        <v>37.145638706270205</v>
      </c>
      <c r="I5" s="10">
        <f>ABS(D5-D4)</f>
        <v>8.414167284407803E-3</v>
      </c>
      <c r="J5" s="10">
        <f t="shared" ref="J5:J14" si="7">ABS(I5/D5)*100</f>
        <v>0.24067482185703951</v>
      </c>
    </row>
    <row r="6" spans="1:10" ht="15" x14ac:dyDescent="0.3">
      <c r="B6" s="3">
        <v>4</v>
      </c>
      <c r="C6" s="10">
        <f t="shared" si="5"/>
        <v>3.4960729250714087</v>
      </c>
      <c r="D6" s="10">
        <f t="shared" si="1"/>
        <v>3.497187441434368</v>
      </c>
      <c r="E6" s="10">
        <f t="shared" si="6"/>
        <v>3.9</v>
      </c>
      <c r="F6" s="10">
        <f t="shared" si="2"/>
        <v>-0.10277589730102932</v>
      </c>
      <c r="G6" s="10">
        <f t="shared" si="3"/>
        <v>-1.3593579430889235E-2</v>
      </c>
      <c r="H6" s="10">
        <f t="shared" si="4"/>
        <v>37.145638706270205</v>
      </c>
      <c r="I6" s="10">
        <f t="shared" ref="I6:I14" si="8">ABS(D6-D5)</f>
        <v>1.1145163629593391E-3</v>
      </c>
      <c r="J6" s="10">
        <f t="shared" si="7"/>
        <v>3.1868934154190523E-2</v>
      </c>
    </row>
    <row r="7" spans="1:10" ht="15" x14ac:dyDescent="0.3">
      <c r="B7" s="3">
        <v>5</v>
      </c>
      <c r="C7" s="10">
        <f t="shared" si="5"/>
        <v>3.497187441434368</v>
      </c>
      <c r="D7" s="10">
        <f t="shared" si="1"/>
        <v>3.497334798206126</v>
      </c>
      <c r="E7" s="10">
        <f t="shared" si="6"/>
        <v>3.9</v>
      </c>
      <c r="F7" s="10">
        <f t="shared" si="2"/>
        <v>-1.3593579430889235E-2</v>
      </c>
      <c r="G7" s="10">
        <f t="shared" si="3"/>
        <v>-1.7969403496778114E-3</v>
      </c>
      <c r="H7" s="10">
        <f t="shared" si="4"/>
        <v>37.145638706270205</v>
      </c>
      <c r="I7" s="10">
        <f t="shared" si="8"/>
        <v>1.4735677175803374E-4</v>
      </c>
      <c r="J7" s="10">
        <f t="shared" si="7"/>
        <v>4.213401926335931E-3</v>
      </c>
    </row>
    <row r="8" spans="1:10" ht="15" x14ac:dyDescent="0.3">
      <c r="B8" s="3">
        <v>6</v>
      </c>
      <c r="C8" s="10">
        <f t="shared" si="5"/>
        <v>3.497334798206126</v>
      </c>
      <c r="D8" s="10">
        <f t="shared" si="1"/>
        <v>3.4973542764106353</v>
      </c>
      <c r="E8" s="10">
        <f t="shared" si="6"/>
        <v>3.9</v>
      </c>
      <c r="F8" s="10">
        <f t="shared" si="2"/>
        <v>-1.7969403496778114E-3</v>
      </c>
      <c r="G8" s="10">
        <f t="shared" si="3"/>
        <v>-2.3752066539373118E-4</v>
      </c>
      <c r="H8" s="10">
        <f t="shared" si="4"/>
        <v>37.145638706270205</v>
      </c>
      <c r="I8" s="10">
        <f t="shared" si="8"/>
        <v>1.9478204509315589E-5</v>
      </c>
      <c r="J8" s="10">
        <f t="shared" si="7"/>
        <v>5.5694113234951528E-4</v>
      </c>
    </row>
    <row r="9" spans="1:10" ht="15" x14ac:dyDescent="0.3">
      <c r="B9" s="3">
        <v>7</v>
      </c>
      <c r="C9" s="10">
        <f t="shared" si="5"/>
        <v>3.4973542764106353</v>
      </c>
      <c r="D9" s="10">
        <f t="shared" si="1"/>
        <v>3.4973568510350592</v>
      </c>
      <c r="E9" s="10">
        <f t="shared" si="6"/>
        <v>3.9</v>
      </c>
      <c r="F9" s="10">
        <f t="shared" si="2"/>
        <v>-2.3752066539373118E-4</v>
      </c>
      <c r="G9" s="10">
        <f t="shared" si="3"/>
        <v>-3.1395319041394032E-5</v>
      </c>
      <c r="H9" s="10">
        <f t="shared" si="4"/>
        <v>37.145638706270205</v>
      </c>
      <c r="I9" s="10">
        <f t="shared" si="8"/>
        <v>2.5746244238789018E-6</v>
      </c>
      <c r="J9" s="10">
        <f t="shared" si="7"/>
        <v>7.3616291775228186E-5</v>
      </c>
    </row>
    <row r="10" spans="1:10" ht="15" x14ac:dyDescent="0.3">
      <c r="B10" s="3">
        <v>8</v>
      </c>
      <c r="C10" s="10">
        <f t="shared" si="5"/>
        <v>3.4973568510350592</v>
      </c>
      <c r="D10" s="10">
        <f t="shared" si="1"/>
        <v>3.4973571913468664</v>
      </c>
      <c r="E10" s="10">
        <f t="shared" si="6"/>
        <v>3.9</v>
      </c>
      <c r="F10" s="10">
        <f t="shared" si="2"/>
        <v>-3.1395319041394032E-5</v>
      </c>
      <c r="G10" s="10">
        <f t="shared" si="3"/>
        <v>-4.1498064007328139E-6</v>
      </c>
      <c r="H10" s="10">
        <f t="shared" si="4"/>
        <v>37.145638706270205</v>
      </c>
      <c r="I10" s="10">
        <f t="shared" si="8"/>
        <v>3.4031180717875031E-7</v>
      </c>
      <c r="J10" s="10">
        <f t="shared" si="7"/>
        <v>9.7305419080655284E-6</v>
      </c>
    </row>
    <row r="11" spans="1:10" ht="15" x14ac:dyDescent="0.3">
      <c r="B11" s="3">
        <v>9</v>
      </c>
      <c r="C11" s="10">
        <f t="shared" si="5"/>
        <v>3.4973571913468664</v>
      </c>
      <c r="D11" s="10">
        <f t="shared" si="1"/>
        <v>3.4973572363289849</v>
      </c>
      <c r="E11" s="10">
        <f t="shared" si="6"/>
        <v>3.9</v>
      </c>
      <c r="F11" s="10">
        <f t="shared" si="2"/>
        <v>-4.1498064007328139E-6</v>
      </c>
      <c r="G11" s="10">
        <f t="shared" si="3"/>
        <v>-5.4851777520070755E-7</v>
      </c>
      <c r="H11" s="10">
        <f t="shared" si="4"/>
        <v>37.145638706270205</v>
      </c>
      <c r="I11" s="10">
        <f t="shared" si="8"/>
        <v>4.4982118474479194E-8</v>
      </c>
      <c r="J11" s="10">
        <f t="shared" si="7"/>
        <v>1.286174543658996E-6</v>
      </c>
    </row>
    <row r="12" spans="1:10" ht="15" x14ac:dyDescent="0.3">
      <c r="B12" s="3">
        <v>10</v>
      </c>
      <c r="C12" s="10">
        <f t="shared" si="5"/>
        <v>3.4973572363289849</v>
      </c>
      <c r="D12" s="10">
        <f t="shared" si="1"/>
        <v>3.4973572422746817</v>
      </c>
      <c r="E12" s="10">
        <f t="shared" si="6"/>
        <v>3.9</v>
      </c>
      <c r="F12" s="10">
        <f t="shared" si="2"/>
        <v>-5.4851777520070755E-7</v>
      </c>
      <c r="G12" s="10">
        <f t="shared" si="3"/>
        <v>-7.2502601256019261E-8</v>
      </c>
      <c r="H12" s="10">
        <f t="shared" si="4"/>
        <v>37.145638706270205</v>
      </c>
      <c r="I12" s="10">
        <f t="shared" si="8"/>
        <v>5.9456968237725505E-9</v>
      </c>
      <c r="J12" s="10">
        <f t="shared" si="7"/>
        <v>1.7000541871740469E-7</v>
      </c>
    </row>
    <row r="13" spans="1:10" ht="15" x14ac:dyDescent="0.3">
      <c r="B13" s="3">
        <v>11</v>
      </c>
      <c r="C13" s="10">
        <f t="shared" si="5"/>
        <v>3.4973572422746817</v>
      </c>
      <c r="D13" s="10">
        <f t="shared" si="1"/>
        <v>3.4973572430605788</v>
      </c>
      <c r="E13" s="10">
        <f t="shared" si="6"/>
        <v>3.9</v>
      </c>
      <c r="F13" s="10">
        <f t="shared" si="2"/>
        <v>-7.2502601256019261E-8</v>
      </c>
      <c r="G13" s="10">
        <f t="shared" si="3"/>
        <v>-9.5833314617266296E-9</v>
      </c>
      <c r="H13" s="10">
        <f t="shared" si="4"/>
        <v>37.145638706270205</v>
      </c>
      <c r="I13" s="10">
        <f t="shared" si="8"/>
        <v>7.8589712515508836E-10</v>
      </c>
      <c r="J13" s="10">
        <f t="shared" si="7"/>
        <v>2.2471170959571188E-8</v>
      </c>
    </row>
    <row r="14" spans="1:10" ht="15" x14ac:dyDescent="0.3">
      <c r="B14" s="3">
        <v>12</v>
      </c>
      <c r="C14" s="10">
        <f t="shared" si="5"/>
        <v>3.4973572430605788</v>
      </c>
      <c r="D14" s="10">
        <f t="shared" si="1"/>
        <v>3.497357243164458</v>
      </c>
      <c r="E14" s="10">
        <f t="shared" si="6"/>
        <v>3.9</v>
      </c>
      <c r="F14" s="10">
        <f t="shared" si="2"/>
        <v>-9.5833314617266296E-9</v>
      </c>
      <c r="G14" s="10">
        <f t="shared" si="3"/>
        <v>-1.266712956748961E-9</v>
      </c>
      <c r="H14" s="10">
        <f t="shared" si="4"/>
        <v>37.145638706270205</v>
      </c>
      <c r="I14" s="10">
        <f t="shared" si="8"/>
        <v>1.038791275220774E-10</v>
      </c>
      <c r="J14" s="10">
        <f t="shared" si="7"/>
        <v>2.970217804461008E-9</v>
      </c>
    </row>
  </sheetData>
  <conditionalFormatting sqref="D4:D14">
    <cfRule type="expression" dxfId="2" priority="1">
      <formula>J4&lt;$J$1</formula>
    </cfRule>
    <cfRule type="expression" dxfId="1" priority="2">
      <formula>I4&lt;$I$1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A4F9-5D7A-4288-8D11-8F0226D092A8}">
  <dimension ref="A1:J17"/>
  <sheetViews>
    <sheetView tabSelected="1" workbookViewId="0">
      <selection activeCell="A18" sqref="A18:XFD18"/>
    </sheetView>
  </sheetViews>
  <sheetFormatPr baseColWidth="10" defaultRowHeight="14.4" x14ac:dyDescent="0.3"/>
  <cols>
    <col min="1" max="1" width="12.6640625" bestFit="1" customWidth="1"/>
    <col min="2" max="2" width="3.44140625" bestFit="1" customWidth="1"/>
    <col min="3" max="3" width="7.77734375" bestFit="1" customWidth="1"/>
    <col min="4" max="4" width="8.44140625" bestFit="1" customWidth="1"/>
    <col min="5" max="5" width="7.77734375" bestFit="1" customWidth="1"/>
    <col min="6" max="6" width="9" bestFit="1" customWidth="1"/>
    <col min="7" max="7" width="7.77734375" bestFit="1" customWidth="1"/>
    <col min="8" max="8" width="12" bestFit="1" customWidth="1"/>
    <col min="9" max="9" width="7.77734375" bestFit="1" customWidth="1"/>
    <col min="10" max="10" width="9" bestFit="1" customWidth="1"/>
  </cols>
  <sheetData>
    <row r="1" spans="1:10" ht="15.6" x14ac:dyDescent="0.3">
      <c r="A1" s="2" t="s">
        <v>12</v>
      </c>
      <c r="B1" s="1"/>
      <c r="C1" s="1"/>
      <c r="D1" s="1"/>
      <c r="E1" s="1"/>
      <c r="F1" s="1"/>
      <c r="G1" s="1"/>
      <c r="H1" s="8" t="s">
        <v>11</v>
      </c>
      <c r="I1" s="6"/>
      <c r="J1" s="7">
        <v>5</v>
      </c>
    </row>
    <row r="2" spans="1:10" ht="15.6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ht="15.6" x14ac:dyDescent="0.3">
      <c r="A3" s="1"/>
      <c r="B3" s="3">
        <v>1</v>
      </c>
      <c r="C3" s="11">
        <v>0</v>
      </c>
      <c r="D3" s="10">
        <f>E3-(H3*(C3-E3))/(F3-H3)</f>
        <v>0.2983008781977855</v>
      </c>
      <c r="E3" s="11">
        <v>1.2</v>
      </c>
      <c r="F3" s="10">
        <f>-12*C3^5-6*C3^3+10</f>
        <v>10</v>
      </c>
      <c r="G3" s="10">
        <f t="shared" ref="G3:H3" si="0">-12*D3^5-6*D3^3+10</f>
        <v>9.812393488967432</v>
      </c>
      <c r="H3" s="10">
        <f t="shared" si="0"/>
        <v>-30.22784</v>
      </c>
      <c r="I3" s="10"/>
      <c r="J3" s="10"/>
    </row>
    <row r="4" spans="1:10" ht="15" x14ac:dyDescent="0.3">
      <c r="B4" s="3">
        <v>2</v>
      </c>
      <c r="C4" s="10">
        <f>IF(F3*G3&lt;0,C3,D3)</f>
        <v>0.2983008781977855</v>
      </c>
      <c r="D4" s="10">
        <f t="shared" ref="D4:D14" si="1">E4-(H4*(C4-E4))/(F4-H4)</f>
        <v>0.51927427971947249</v>
      </c>
      <c r="E4" s="10">
        <f>IF(F3*G3&lt;0,D3,E3)</f>
        <v>1.2</v>
      </c>
      <c r="F4" s="10">
        <f t="shared" ref="F4:F14" si="2">-12*C4^5-6*C4^3+10</f>
        <v>9.812393488967432</v>
      </c>
      <c r="G4" s="10">
        <f t="shared" ref="G4:G14" si="3">-12*D4^5-6*D4^3+10</f>
        <v>8.7068092987338233</v>
      </c>
      <c r="H4" s="10">
        <f t="shared" ref="H4:H14" si="4">-12*E4^5-6*E4^3+10</f>
        <v>-30.22784</v>
      </c>
      <c r="I4" s="10">
        <f>ABS(D4-D3)</f>
        <v>0.22097340152168699</v>
      </c>
      <c r="J4" s="10">
        <f>ABS(I4/D4)*100</f>
        <v>42.554274330911099</v>
      </c>
    </row>
    <row r="5" spans="1:10" ht="15" x14ac:dyDescent="0.3">
      <c r="B5" s="3">
        <v>3</v>
      </c>
      <c r="C5" s="10">
        <f t="shared" ref="C5:C14" si="5">IF(F4*G4&lt;0,C4,D4)</f>
        <v>0.51927427971947249</v>
      </c>
      <c r="D5" s="10">
        <f t="shared" si="1"/>
        <v>0.67150241424689772</v>
      </c>
      <c r="E5" s="10">
        <f t="shared" ref="E5:E14" si="6">IF(F4*G4&lt;0,D4,E4)</f>
        <v>1.2</v>
      </c>
      <c r="F5" s="10">
        <f t="shared" si="2"/>
        <v>8.7068092987338233</v>
      </c>
      <c r="G5" s="10">
        <f t="shared" si="3"/>
        <v>6.5448579719568754</v>
      </c>
      <c r="H5" s="10">
        <f t="shared" si="4"/>
        <v>-30.22784</v>
      </c>
      <c r="I5" s="10">
        <f t="shared" ref="I5:I14" si="7">ABS(D5-D4)</f>
        <v>0.15222813452742523</v>
      </c>
      <c r="J5" s="10">
        <f t="shared" ref="J5:J14" si="8">ABS(I5/D5)*100</f>
        <v>22.66978216275691</v>
      </c>
    </row>
    <row r="6" spans="1:10" ht="15" x14ac:dyDescent="0.3">
      <c r="B6" s="3">
        <v>4</v>
      </c>
      <c r="C6" s="10">
        <f t="shared" si="5"/>
        <v>0.67150241424689772</v>
      </c>
      <c r="D6" s="10">
        <f t="shared" si="1"/>
        <v>0.76556517896201237</v>
      </c>
      <c r="E6" s="10">
        <f t="shared" si="6"/>
        <v>1.2</v>
      </c>
      <c r="F6" s="10">
        <f t="shared" si="2"/>
        <v>6.5448579719568754</v>
      </c>
      <c r="G6" s="10">
        <f t="shared" si="3"/>
        <v>4.152185422803357</v>
      </c>
      <c r="H6" s="10">
        <f t="shared" si="4"/>
        <v>-30.22784</v>
      </c>
      <c r="I6" s="10">
        <f t="shared" si="7"/>
        <v>9.4062764715114655E-2</v>
      </c>
      <c r="J6" s="10">
        <f t="shared" si="8"/>
        <v>12.286708865553313</v>
      </c>
    </row>
    <row r="7" spans="1:10" ht="15" x14ac:dyDescent="0.3">
      <c r="B7" s="3">
        <v>5</v>
      </c>
      <c r="C7" s="10">
        <f t="shared" si="5"/>
        <v>0.76556517896201237</v>
      </c>
      <c r="D7" s="10">
        <f>E7-(H7*(C7-E7))/(F7-H7)</f>
        <v>0.81803325915940706</v>
      </c>
      <c r="E7" s="10">
        <f t="shared" si="6"/>
        <v>1.2</v>
      </c>
      <c r="F7" s="10">
        <f t="shared" si="2"/>
        <v>4.152185422803357</v>
      </c>
      <c r="G7" s="10">
        <f t="shared" si="3"/>
        <v>2.319757757625112</v>
      </c>
      <c r="H7" s="10">
        <f t="shared" si="4"/>
        <v>-30.22784</v>
      </c>
      <c r="I7" s="10">
        <f t="shared" si="7"/>
        <v>5.2468080197394684E-2</v>
      </c>
      <c r="J7" s="10">
        <f t="shared" si="8"/>
        <v>6.4139299484362935</v>
      </c>
    </row>
    <row r="8" spans="1:10" ht="15" x14ac:dyDescent="0.3">
      <c r="B8" s="3">
        <v>6</v>
      </c>
      <c r="C8" s="10">
        <f t="shared" si="5"/>
        <v>0.81803325915940706</v>
      </c>
      <c r="D8" s="10">
        <f t="shared" si="1"/>
        <v>0.8452570904485277</v>
      </c>
      <c r="E8" s="10">
        <f t="shared" si="6"/>
        <v>1.2</v>
      </c>
      <c r="F8" s="10">
        <f t="shared" si="2"/>
        <v>2.319757757625112</v>
      </c>
      <c r="G8" s="10">
        <f t="shared" si="3"/>
        <v>1.1990253995661782</v>
      </c>
      <c r="H8" s="10">
        <f t="shared" si="4"/>
        <v>-30.22784</v>
      </c>
      <c r="I8" s="10">
        <f t="shared" si="7"/>
        <v>2.7223831289120648E-2</v>
      </c>
      <c r="J8" s="10">
        <f t="shared" si="8"/>
        <v>3.2207752643251508</v>
      </c>
    </row>
    <row r="9" spans="1:10" ht="15" x14ac:dyDescent="0.3">
      <c r="B9" s="3">
        <v>7</v>
      </c>
      <c r="C9" s="10">
        <f t="shared" si="5"/>
        <v>0.8452570904485277</v>
      </c>
      <c r="D9" s="10">
        <f t="shared" si="1"/>
        <v>0.85879155382756056</v>
      </c>
      <c r="E9" s="10">
        <f t="shared" si="6"/>
        <v>1.2</v>
      </c>
      <c r="F9" s="10">
        <f t="shared" si="2"/>
        <v>1.1990253995661782</v>
      </c>
      <c r="G9" s="10">
        <f t="shared" si="3"/>
        <v>0.59415548391923245</v>
      </c>
      <c r="H9" s="10">
        <f t="shared" si="4"/>
        <v>-30.22784</v>
      </c>
      <c r="I9" s="10">
        <f t="shared" si="7"/>
        <v>1.3534463379032857E-2</v>
      </c>
      <c r="J9" s="10">
        <f t="shared" si="8"/>
        <v>1.5759893444120301</v>
      </c>
    </row>
    <row r="10" spans="1:10" ht="15" x14ac:dyDescent="0.3">
      <c r="B10" s="3">
        <v>8</v>
      </c>
      <c r="C10" s="10">
        <f t="shared" si="5"/>
        <v>0.85879155382756056</v>
      </c>
      <c r="D10" s="10">
        <f t="shared" si="1"/>
        <v>0.86536902768251212</v>
      </c>
      <c r="E10" s="10">
        <f t="shared" si="6"/>
        <v>1.2</v>
      </c>
      <c r="F10" s="10">
        <f t="shared" si="2"/>
        <v>0.59415548391923245</v>
      </c>
      <c r="G10" s="10">
        <f t="shared" si="3"/>
        <v>0.28818770956727136</v>
      </c>
      <c r="H10" s="10">
        <f t="shared" si="4"/>
        <v>-30.22784</v>
      </c>
      <c r="I10" s="10">
        <f t="shared" si="7"/>
        <v>6.5774738549515543E-3</v>
      </c>
      <c r="J10" s="10">
        <f t="shared" si="8"/>
        <v>0.76007733632046603</v>
      </c>
    </row>
    <row r="11" spans="1:10" ht="15" x14ac:dyDescent="0.3">
      <c r="B11" s="3">
        <v>9</v>
      </c>
      <c r="C11" s="10">
        <f t="shared" si="5"/>
        <v>0.86536902768251212</v>
      </c>
      <c r="D11" s="10">
        <f t="shared" si="1"/>
        <v>0.86852922056148929</v>
      </c>
      <c r="E11" s="10">
        <f t="shared" si="6"/>
        <v>1.2</v>
      </c>
      <c r="F11" s="10">
        <f t="shared" si="2"/>
        <v>0.28818770956727136</v>
      </c>
      <c r="G11" s="10">
        <f t="shared" si="3"/>
        <v>0.1383210023453092</v>
      </c>
      <c r="H11" s="10">
        <f t="shared" si="4"/>
        <v>-30.22784</v>
      </c>
      <c r="I11" s="10">
        <f t="shared" si="7"/>
        <v>3.1601928789771749E-3</v>
      </c>
      <c r="J11" s="10">
        <f t="shared" si="8"/>
        <v>0.36385567740992808</v>
      </c>
    </row>
    <row r="12" spans="1:10" ht="15" x14ac:dyDescent="0.3">
      <c r="B12" s="3">
        <v>10</v>
      </c>
      <c r="C12" s="10">
        <f t="shared" si="5"/>
        <v>0.86852922056148929</v>
      </c>
      <c r="D12" s="10">
        <f t="shared" si="1"/>
        <v>0.87003910422628894</v>
      </c>
      <c r="E12" s="10">
        <f t="shared" si="6"/>
        <v>1.2</v>
      </c>
      <c r="F12" s="10">
        <f t="shared" si="2"/>
        <v>0.1383210023453092</v>
      </c>
      <c r="G12" s="10">
        <f t="shared" si="3"/>
        <v>6.6053879947922667E-2</v>
      </c>
      <c r="H12" s="10">
        <f t="shared" si="4"/>
        <v>-30.22784</v>
      </c>
      <c r="I12" s="10">
        <f t="shared" si="7"/>
        <v>1.5098836647996494E-3</v>
      </c>
      <c r="J12" s="10">
        <f t="shared" si="8"/>
        <v>0.173542046267261</v>
      </c>
    </row>
    <row r="13" spans="1:10" ht="15" x14ac:dyDescent="0.3">
      <c r="B13" s="3">
        <v>11</v>
      </c>
      <c r="C13" s="10">
        <f t="shared" si="5"/>
        <v>0.87003910422628894</v>
      </c>
      <c r="D13" s="10">
        <f t="shared" si="1"/>
        <v>0.87075856265851681</v>
      </c>
      <c r="E13" s="10">
        <f t="shared" si="6"/>
        <v>1.2</v>
      </c>
      <c r="F13" s="10">
        <f t="shared" si="2"/>
        <v>6.6053879947922667E-2</v>
      </c>
      <c r="G13" s="10">
        <f t="shared" si="3"/>
        <v>3.1466895182349575E-2</v>
      </c>
      <c r="H13" s="10">
        <f t="shared" si="4"/>
        <v>-30.22784</v>
      </c>
      <c r="I13" s="10">
        <f t="shared" si="7"/>
        <v>7.1945843222787076E-4</v>
      </c>
      <c r="J13" s="10">
        <f t="shared" si="8"/>
        <v>8.2624330449451916E-2</v>
      </c>
    </row>
    <row r="14" spans="1:10" ht="15" x14ac:dyDescent="0.3">
      <c r="B14" s="3">
        <v>12</v>
      </c>
      <c r="C14" s="10">
        <f t="shared" si="5"/>
        <v>0.87075856265851681</v>
      </c>
      <c r="D14" s="10">
        <f t="shared" si="1"/>
        <v>0.87110094346169897</v>
      </c>
      <c r="E14" s="10">
        <f t="shared" si="6"/>
        <v>1.2</v>
      </c>
      <c r="F14" s="10">
        <f t="shared" si="2"/>
        <v>3.1466895182349575E-2</v>
      </c>
      <c r="G14" s="10">
        <f t="shared" si="3"/>
        <v>1.4972915885376636E-2</v>
      </c>
      <c r="H14" s="10">
        <f t="shared" si="4"/>
        <v>-30.22784</v>
      </c>
      <c r="I14" s="10">
        <f t="shared" si="7"/>
        <v>3.4238080318216291E-4</v>
      </c>
      <c r="J14" s="10">
        <f t="shared" si="8"/>
        <v>3.9304377495168775E-2</v>
      </c>
    </row>
    <row r="15" spans="1:10" ht="15" x14ac:dyDescent="0.3">
      <c r="B15" s="3">
        <v>13</v>
      </c>
      <c r="C15" s="10">
        <f t="shared" ref="C15:C17" si="9">IF(F14*G14&lt;0,C14,D14)</f>
        <v>0.87110094346169897</v>
      </c>
      <c r="D15" s="10">
        <f t="shared" ref="D15:D17" si="10">E15-(H15*(C15-E15))/(F15-H15)</f>
        <v>0.87126377811342348</v>
      </c>
      <c r="E15" s="10">
        <f t="shared" ref="E15:E17" si="11">IF(F14*G14&lt;0,D14,E14)</f>
        <v>1.2</v>
      </c>
      <c r="F15" s="10">
        <f t="shared" ref="F15:F17" si="12">-12*C15^5-6*C15^3+10</f>
        <v>1.4972915885376636E-2</v>
      </c>
      <c r="G15" s="10">
        <f t="shared" ref="G15:G17" si="13">-12*D15^5-6*D15^3+10</f>
        <v>7.1206452807395237E-3</v>
      </c>
      <c r="H15" s="10">
        <f t="shared" ref="H15:H17" si="14">-12*E15^5-6*E15^3+10</f>
        <v>-30.22784</v>
      </c>
      <c r="I15" s="10">
        <f t="shared" ref="I15:I17" si="15">ABS(D15-D14)</f>
        <v>1.6283465172450828E-4</v>
      </c>
      <c r="J15" s="10">
        <f t="shared" ref="J15:J17" si="16">ABS(I15/D15)*100</f>
        <v>1.8689477953175052E-2</v>
      </c>
    </row>
    <row r="16" spans="1:10" ht="15" x14ac:dyDescent="0.3">
      <c r="B16" s="3">
        <v>14</v>
      </c>
      <c r="C16" s="10">
        <f t="shared" si="9"/>
        <v>0.87126377811342348</v>
      </c>
      <c r="D16" s="10">
        <f t="shared" si="10"/>
        <v>0.8713411988864963</v>
      </c>
      <c r="E16" s="10">
        <f t="shared" si="11"/>
        <v>1.2</v>
      </c>
      <c r="F16" s="10">
        <f t="shared" si="12"/>
        <v>7.1206452807395237E-3</v>
      </c>
      <c r="G16" s="10">
        <f t="shared" si="13"/>
        <v>3.3854653610116969E-3</v>
      </c>
      <c r="H16" s="10">
        <f t="shared" si="14"/>
        <v>-30.22784</v>
      </c>
      <c r="I16" s="10">
        <f t="shared" si="15"/>
        <v>7.7420773072822691E-5</v>
      </c>
      <c r="J16" s="10">
        <f t="shared" si="16"/>
        <v>8.8852418744528767E-3</v>
      </c>
    </row>
    <row r="17" spans="2:10" ht="15" x14ac:dyDescent="0.3">
      <c r="B17" s="3">
        <v>15</v>
      </c>
      <c r="C17" s="10">
        <f t="shared" si="9"/>
        <v>0.8713411988864963</v>
      </c>
      <c r="D17" s="10">
        <f t="shared" si="10"/>
        <v>0.87137800397691634</v>
      </c>
      <c r="E17" s="10">
        <f t="shared" si="11"/>
        <v>1.2</v>
      </c>
      <c r="F17" s="10">
        <f t="shared" si="12"/>
        <v>3.3854653610116969E-3</v>
      </c>
      <c r="G17" s="10">
        <f t="shared" si="13"/>
        <v>1.6093971058523948E-3</v>
      </c>
      <c r="H17" s="10">
        <f t="shared" si="14"/>
        <v>-30.22784</v>
      </c>
      <c r="I17" s="10">
        <f t="shared" si="15"/>
        <v>3.6805090420033437E-5</v>
      </c>
      <c r="J17" s="10">
        <f t="shared" si="16"/>
        <v>4.2237800646857324E-3</v>
      </c>
    </row>
  </sheetData>
  <conditionalFormatting sqref="D4:D17">
    <cfRule type="expression" dxfId="0" priority="1">
      <formula>J4&lt;$J$1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bisección</vt:lpstr>
      <vt:lpstr>ejercicio 3</vt:lpstr>
      <vt:lpstr>Tarea E-1</vt:lpstr>
      <vt:lpstr>Tarea E-2</vt:lpstr>
      <vt:lpstr>Tarea E-3</vt:lpstr>
      <vt:lpstr>Tarea E-4</vt:lpstr>
      <vt:lpstr>Tarea E-5</vt:lpstr>
      <vt:lpstr>regla falsa (Tarea E-6)</vt:lpstr>
      <vt:lpstr>Tarea E-7</vt:lpstr>
      <vt:lpstr>Tarea E-8</vt:lpstr>
      <vt:lpstr>Tarea E-9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Muñoz</dc:creator>
  <cp:lastModifiedBy>Victoria Muñoz</cp:lastModifiedBy>
  <dcterms:created xsi:type="dcterms:W3CDTF">2024-02-02T11:38:20Z</dcterms:created>
  <dcterms:modified xsi:type="dcterms:W3CDTF">2024-02-18T02:57:43Z</dcterms:modified>
</cp:coreProperties>
</file>