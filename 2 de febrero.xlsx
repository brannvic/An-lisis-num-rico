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385" documentId="13_ncr:1_{5ED02434-9238-4C91-BD7D-D91D700CD9FA}" xr6:coauthVersionLast="47" xr6:coauthVersionMax="47" xr10:uidLastSave="{6D507CC2-67B0-415B-A03C-DD66BD9F4E8B}"/>
  <bookViews>
    <workbookView xWindow="11424" yWindow="0" windowWidth="11712" windowHeight="12336" firstSheet="6" activeTab="8" xr2:uid="{00000000-000D-0000-FFFF-FFFF00000000}"/>
  </bookViews>
  <sheets>
    <sheet name="Bisección" sheetId="1" r:id="rId1"/>
    <sheet name="Tarea E-1" sheetId="2" r:id="rId2"/>
    <sheet name="Tarea E-2" sheetId="3" r:id="rId3"/>
    <sheet name="Tarea E-3" sheetId="4" r:id="rId4"/>
    <sheet name="Tarea E-4" sheetId="5" r:id="rId5"/>
    <sheet name="Tarea E-5" sheetId="6" r:id="rId6"/>
    <sheet name="Tarea E-6" sheetId="8" r:id="rId7"/>
    <sheet name="Tarea E-7" sheetId="9" r:id="rId8"/>
    <sheet name="Tarea E-8" sheetId="10" r:id="rId9"/>
    <sheet name="Tarea E-9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8" l="1"/>
  <c r="F18" i="8" s="1"/>
  <c r="E18" i="8"/>
  <c r="H18" i="8" s="1"/>
  <c r="C17" i="8"/>
  <c r="D17" i="8"/>
  <c r="I17" i="8" s="1"/>
  <c r="J17" i="8" s="1"/>
  <c r="E17" i="8"/>
  <c r="H17" i="8" s="1"/>
  <c r="F17" i="8"/>
  <c r="C16" i="8"/>
  <c r="F16" i="8" s="1"/>
  <c r="D16" i="8"/>
  <c r="G16" i="8" s="1"/>
  <c r="E16" i="8"/>
  <c r="H16" i="8"/>
  <c r="C15" i="8"/>
  <c r="F15" i="8" s="1"/>
  <c r="E15" i="8"/>
  <c r="H15" i="8" s="1"/>
  <c r="D3" i="8"/>
  <c r="F3" i="2"/>
  <c r="C4" i="13"/>
  <c r="F4" i="13" s="1"/>
  <c r="H4" i="13"/>
  <c r="G3" i="13"/>
  <c r="H3" i="13"/>
  <c r="F3" i="13"/>
  <c r="D3" i="13"/>
  <c r="D18" i="8" l="1"/>
  <c r="G17" i="8"/>
  <c r="I16" i="8"/>
  <c r="J16" i="8" s="1"/>
  <c r="D15" i="8"/>
  <c r="E4" i="13"/>
  <c r="G18" i="8" l="1"/>
  <c r="I18" i="8"/>
  <c r="J18" i="8" s="1"/>
  <c r="G15" i="8"/>
  <c r="I15" i="8"/>
  <c r="J15" i="8" s="1"/>
  <c r="D4" i="13"/>
  <c r="I4" i="13" l="1"/>
  <c r="J4" i="13" s="1"/>
  <c r="G4" i="13"/>
  <c r="C5" i="13"/>
  <c r="F5" i="13" s="1"/>
  <c r="E5" i="13" l="1"/>
  <c r="H5" i="13" s="1"/>
  <c r="D5" i="13" l="1"/>
  <c r="G5" i="13" s="1"/>
  <c r="C6" i="13" s="1"/>
  <c r="F6" i="13" s="1"/>
  <c r="I5" i="13" l="1"/>
  <c r="J5" i="13" s="1"/>
  <c r="E6" i="13"/>
  <c r="H6" i="13" s="1"/>
  <c r="D6" i="13"/>
  <c r="I6" i="13" l="1"/>
  <c r="J6" i="13" s="1"/>
  <c r="G6" i="13"/>
  <c r="C7" i="13" l="1"/>
  <c r="F7" i="13" s="1"/>
  <c r="E7" i="13"/>
  <c r="H7" i="13" s="1"/>
  <c r="D7" i="13" l="1"/>
  <c r="G7" i="13" s="1"/>
  <c r="I7" i="13" l="1"/>
  <c r="J7" i="13" s="1"/>
  <c r="C8" i="13"/>
  <c r="F8" i="13" s="1"/>
  <c r="E8" i="13" l="1"/>
  <c r="H8" i="13" s="1"/>
  <c r="D8" i="13" l="1"/>
  <c r="G8" i="13" s="1"/>
  <c r="I8" i="13" l="1"/>
  <c r="J8" i="13" s="1"/>
  <c r="E9" i="13" l="1"/>
  <c r="H9" i="13" s="1"/>
  <c r="C9" i="13"/>
  <c r="F9" i="13" s="1"/>
  <c r="D9" i="13" l="1"/>
  <c r="G9" i="13" s="1"/>
  <c r="I9" i="13" l="1"/>
  <c r="J9" i="13" s="1"/>
  <c r="C10" i="13"/>
  <c r="F10" i="13" s="1"/>
  <c r="E10" i="13" l="1"/>
  <c r="H10" i="13" s="1"/>
  <c r="D10" i="13" l="1"/>
  <c r="G10" i="13" s="1"/>
  <c r="I10" i="13" l="1"/>
  <c r="J10" i="13" s="1"/>
  <c r="E11" i="13" l="1"/>
  <c r="H11" i="13" s="1"/>
  <c r="C11" i="13"/>
  <c r="F11" i="13" s="1"/>
  <c r="D11" i="13" l="1"/>
  <c r="G11" i="13" s="1"/>
  <c r="C12" i="13" l="1"/>
  <c r="F12" i="13" s="1"/>
  <c r="I11" i="13"/>
  <c r="J11" i="13" s="1"/>
  <c r="E12" i="13" l="1"/>
  <c r="H12" i="13" s="1"/>
  <c r="D12" i="13" l="1"/>
  <c r="I12" i="13" l="1"/>
  <c r="J12" i="13" s="1"/>
  <c r="G12" i="13"/>
  <c r="C13" i="13" l="1"/>
  <c r="F13" i="13" s="1"/>
  <c r="E13" i="13"/>
  <c r="H13" i="13" s="1"/>
  <c r="D13" i="13" l="1"/>
  <c r="G13" i="13" s="1"/>
  <c r="I13" i="13" l="1"/>
  <c r="J13" i="13" s="1"/>
  <c r="E14" i="13"/>
  <c r="H14" i="13" s="1"/>
  <c r="C14" i="13" l="1"/>
  <c r="F14" i="13" s="1"/>
  <c r="D14" i="13" l="1"/>
  <c r="G14" i="13" s="1"/>
  <c r="I14" i="13"/>
  <c r="J14" i="13" s="1"/>
  <c r="D5" i="5" l="1"/>
  <c r="D4" i="5"/>
  <c r="H3" i="10" l="1"/>
  <c r="F3" i="10"/>
  <c r="D3" i="10"/>
  <c r="G3" i="10" s="1"/>
  <c r="H3" i="9"/>
  <c r="F3" i="9"/>
  <c r="D3" i="9"/>
  <c r="G3" i="9" s="1"/>
  <c r="H3" i="8"/>
  <c r="F3" i="8"/>
  <c r="G3" i="8"/>
  <c r="H3" i="6"/>
  <c r="F3" i="6"/>
  <c r="D3" i="6"/>
  <c r="G3" i="6" s="1"/>
  <c r="F4" i="5"/>
  <c r="G4" i="5"/>
  <c r="H4" i="5"/>
  <c r="G3" i="5"/>
  <c r="H3" i="5"/>
  <c r="F3" i="5"/>
  <c r="D3" i="5"/>
  <c r="H3" i="4"/>
  <c r="F3" i="4"/>
  <c r="D3" i="4"/>
  <c r="G3" i="4" s="1"/>
  <c r="H3" i="3"/>
  <c r="F3" i="3"/>
  <c r="E4" i="10" l="1"/>
  <c r="H4" i="10" s="1"/>
  <c r="C4" i="10"/>
  <c r="F4" i="10" s="1"/>
  <c r="E4" i="9"/>
  <c r="H4" i="9" s="1"/>
  <c r="C4" i="9"/>
  <c r="F4" i="9" s="1"/>
  <c r="C4" i="8"/>
  <c r="F4" i="8" s="1"/>
  <c r="E4" i="8"/>
  <c r="H4" i="8" s="1"/>
  <c r="E4" i="6"/>
  <c r="H4" i="6" s="1"/>
  <c r="C4" i="6"/>
  <c r="E4" i="5"/>
  <c r="C4" i="5"/>
  <c r="E4" i="4"/>
  <c r="H4" i="4" s="1"/>
  <c r="C4" i="4"/>
  <c r="F4" i="4" s="1"/>
  <c r="D4" i="6" l="1"/>
  <c r="G4" i="6" s="1"/>
  <c r="F4" i="6"/>
  <c r="D4" i="10"/>
  <c r="G4" i="10" s="1"/>
  <c r="D4" i="9"/>
  <c r="G4" i="9" s="1"/>
  <c r="D4" i="8"/>
  <c r="G4" i="8" s="1"/>
  <c r="D4" i="4"/>
  <c r="G4" i="4" s="1"/>
  <c r="I4" i="10" l="1"/>
  <c r="J4" i="10" s="1"/>
  <c r="E5" i="10"/>
  <c r="H5" i="10" s="1"/>
  <c r="I4" i="9"/>
  <c r="J4" i="9" s="1"/>
  <c r="C5" i="9"/>
  <c r="E5" i="9"/>
  <c r="H5" i="9" s="1"/>
  <c r="E5" i="8"/>
  <c r="H5" i="8" s="1"/>
  <c r="I4" i="8"/>
  <c r="J4" i="8" s="1"/>
  <c r="I4" i="6"/>
  <c r="J4" i="6" s="1"/>
  <c r="E5" i="6"/>
  <c r="H5" i="6" s="1"/>
  <c r="I4" i="5"/>
  <c r="J4" i="5" s="1"/>
  <c r="E5" i="5"/>
  <c r="H5" i="5" s="1"/>
  <c r="I4" i="4"/>
  <c r="J4" i="4" s="1"/>
  <c r="C5" i="4"/>
  <c r="F5" i="4" l="1"/>
  <c r="F5" i="9"/>
  <c r="D5" i="9"/>
  <c r="G5" i="9" s="1"/>
  <c r="C5" i="10"/>
  <c r="C5" i="8"/>
  <c r="D5" i="8" s="1"/>
  <c r="C5" i="6"/>
  <c r="D5" i="6" s="1"/>
  <c r="C5" i="5"/>
  <c r="F5" i="5" s="1"/>
  <c r="E5" i="4"/>
  <c r="H5" i="4" s="1"/>
  <c r="F5" i="10" l="1"/>
  <c r="D5" i="10"/>
  <c r="G5" i="10" s="1"/>
  <c r="E6" i="10" s="1"/>
  <c r="H6" i="10" s="1"/>
  <c r="D5" i="4"/>
  <c r="G5" i="4" s="1"/>
  <c r="F5" i="6"/>
  <c r="G5" i="6"/>
  <c r="I5" i="9"/>
  <c r="J5" i="9" s="1"/>
  <c r="E6" i="9"/>
  <c r="H6" i="9" s="1"/>
  <c r="G5" i="8"/>
  <c r="F5" i="8"/>
  <c r="I5" i="5"/>
  <c r="J5" i="5" s="1"/>
  <c r="I5" i="10" l="1"/>
  <c r="J5" i="10" s="1"/>
  <c r="C6" i="8"/>
  <c r="I5" i="8"/>
  <c r="J5" i="8" s="1"/>
  <c r="C6" i="10"/>
  <c r="D6" i="10" s="1"/>
  <c r="C6" i="9"/>
  <c r="E6" i="8"/>
  <c r="H6" i="8" s="1"/>
  <c r="I5" i="6"/>
  <c r="J5" i="6" s="1"/>
  <c r="E6" i="6"/>
  <c r="H6" i="6" s="1"/>
  <c r="C6" i="6"/>
  <c r="D6" i="6" s="1"/>
  <c r="G5" i="5"/>
  <c r="C6" i="5" s="1"/>
  <c r="I5" i="4"/>
  <c r="J5" i="4" s="1"/>
  <c r="E6" i="5" l="1"/>
  <c r="H6" i="5" s="1"/>
  <c r="F6" i="5"/>
  <c r="F6" i="10"/>
  <c r="G6" i="10"/>
  <c r="F6" i="9"/>
  <c r="D6" i="9"/>
  <c r="F6" i="8"/>
  <c r="D6" i="8"/>
  <c r="G6" i="8" s="1"/>
  <c r="F6" i="6"/>
  <c r="G6" i="6"/>
  <c r="C6" i="4"/>
  <c r="E6" i="4"/>
  <c r="H6" i="4" s="1"/>
  <c r="E7" i="8" l="1"/>
  <c r="H7" i="8" s="1"/>
  <c r="D6" i="5"/>
  <c r="G6" i="5" s="1"/>
  <c r="F6" i="4"/>
  <c r="D6" i="4"/>
  <c r="G6" i="4" s="1"/>
  <c r="I6" i="10"/>
  <c r="J6" i="10" s="1"/>
  <c r="E7" i="10"/>
  <c r="H7" i="10" s="1"/>
  <c r="I6" i="9"/>
  <c r="J6" i="9" s="1"/>
  <c r="G6" i="9"/>
  <c r="E7" i="9" s="1"/>
  <c r="H7" i="9" s="1"/>
  <c r="I6" i="8"/>
  <c r="J6" i="8" s="1"/>
  <c r="C7" i="8"/>
  <c r="I6" i="6"/>
  <c r="J6" i="6" s="1"/>
  <c r="E7" i="6"/>
  <c r="H7" i="6" s="1"/>
  <c r="C7" i="9" l="1"/>
  <c r="F7" i="9" s="1"/>
  <c r="I6" i="5"/>
  <c r="J6" i="5" s="1"/>
  <c r="F7" i="8"/>
  <c r="D7" i="8"/>
  <c r="G7" i="8" s="1"/>
  <c r="C7" i="10"/>
  <c r="D7" i="10" s="1"/>
  <c r="C7" i="6"/>
  <c r="D7" i="6" s="1"/>
  <c r="C7" i="5"/>
  <c r="E7" i="5"/>
  <c r="H7" i="5" s="1"/>
  <c r="I6" i="4"/>
  <c r="J6" i="4" s="1"/>
  <c r="D7" i="9" l="1"/>
  <c r="F7" i="5"/>
  <c r="D7" i="5"/>
  <c r="I7" i="5" s="1"/>
  <c r="F7" i="6"/>
  <c r="G7" i="10"/>
  <c r="F7" i="10"/>
  <c r="I7" i="10"/>
  <c r="J7" i="10" s="1"/>
  <c r="I7" i="8"/>
  <c r="J7" i="8" s="1"/>
  <c r="E8" i="8"/>
  <c r="H8" i="8" s="1"/>
  <c r="C8" i="8"/>
  <c r="G7" i="6"/>
  <c r="G7" i="5"/>
  <c r="C7" i="4"/>
  <c r="E7" i="4"/>
  <c r="H7" i="4" s="1"/>
  <c r="G7" i="9" l="1"/>
  <c r="I7" i="9"/>
  <c r="J7" i="9" s="1"/>
  <c r="F7" i="4"/>
  <c r="D7" i="4"/>
  <c r="G7" i="4" s="1"/>
  <c r="E8" i="10"/>
  <c r="H8" i="10" s="1"/>
  <c r="F8" i="8"/>
  <c r="D8" i="8"/>
  <c r="G8" i="8" s="1"/>
  <c r="C8" i="10"/>
  <c r="D8" i="10" s="1"/>
  <c r="I7" i="6"/>
  <c r="J7" i="6" s="1"/>
  <c r="E8" i="6"/>
  <c r="H8" i="6" s="1"/>
  <c r="C8" i="6"/>
  <c r="D8" i="6" s="1"/>
  <c r="J7" i="5"/>
  <c r="E8" i="5"/>
  <c r="H8" i="5" s="1"/>
  <c r="E8" i="9" l="1"/>
  <c r="H8" i="9" s="1"/>
  <c r="C8" i="9"/>
  <c r="F8" i="10"/>
  <c r="F8" i="6"/>
  <c r="G8" i="6"/>
  <c r="I8" i="8"/>
  <c r="J8" i="8" s="1"/>
  <c r="E9" i="8"/>
  <c r="H9" i="8" s="1"/>
  <c r="C8" i="5"/>
  <c r="D8" i="5" s="1"/>
  <c r="I7" i="4"/>
  <c r="J7" i="4" s="1"/>
  <c r="D8" i="9" l="1"/>
  <c r="F8" i="9"/>
  <c r="I8" i="10"/>
  <c r="J8" i="10" s="1"/>
  <c r="G8" i="10"/>
  <c r="E9" i="10" s="1"/>
  <c r="H9" i="10" s="1"/>
  <c r="C9" i="8"/>
  <c r="I8" i="6"/>
  <c r="J8" i="6" s="1"/>
  <c r="C9" i="6"/>
  <c r="G8" i="5"/>
  <c r="C9" i="5" s="1"/>
  <c r="F8" i="5"/>
  <c r="I8" i="5"/>
  <c r="J8" i="5" s="1"/>
  <c r="C8" i="4"/>
  <c r="E8" i="4"/>
  <c r="H8" i="4" s="1"/>
  <c r="I8" i="9" l="1"/>
  <c r="J8" i="9" s="1"/>
  <c r="G8" i="9"/>
  <c r="E9" i="9" s="1"/>
  <c r="H9" i="9" s="1"/>
  <c r="F9" i="5"/>
  <c r="D9" i="5"/>
  <c r="F8" i="4"/>
  <c r="D8" i="4"/>
  <c r="G8" i="4" s="1"/>
  <c r="F9" i="8"/>
  <c r="D9" i="8"/>
  <c r="G9" i="8" s="1"/>
  <c r="F9" i="6"/>
  <c r="C9" i="10"/>
  <c r="D9" i="10" s="1"/>
  <c r="E9" i="6"/>
  <c r="H9" i="6" s="1"/>
  <c r="E9" i="5"/>
  <c r="H9" i="5" s="1"/>
  <c r="C9" i="9" l="1"/>
  <c r="D9" i="6"/>
  <c r="G9" i="6" s="1"/>
  <c r="F9" i="10"/>
  <c r="I9" i="8"/>
  <c r="J9" i="8" s="1"/>
  <c r="E10" i="8"/>
  <c r="H10" i="8" s="1"/>
  <c r="I8" i="4"/>
  <c r="J8" i="4" s="1"/>
  <c r="D9" i="9" l="1"/>
  <c r="F9" i="9"/>
  <c r="I9" i="10"/>
  <c r="J9" i="10" s="1"/>
  <c r="G9" i="10"/>
  <c r="E10" i="10" s="1"/>
  <c r="H10" i="10" s="1"/>
  <c r="C10" i="8"/>
  <c r="D10" i="8" s="1"/>
  <c r="I9" i="6"/>
  <c r="J9" i="6" s="1"/>
  <c r="I9" i="5"/>
  <c r="J9" i="5" s="1"/>
  <c r="G9" i="5"/>
  <c r="E10" i="5" s="1"/>
  <c r="H10" i="5" s="1"/>
  <c r="E9" i="4"/>
  <c r="H9" i="4" s="1"/>
  <c r="C9" i="4"/>
  <c r="G9" i="9" l="1"/>
  <c r="I9" i="9"/>
  <c r="J9" i="9" s="1"/>
  <c r="F9" i="4"/>
  <c r="D9" i="4"/>
  <c r="C10" i="10"/>
  <c r="D10" i="10" s="1"/>
  <c r="G10" i="8"/>
  <c r="F10" i="8"/>
  <c r="E10" i="6"/>
  <c r="H10" i="6" s="1"/>
  <c r="C10" i="6"/>
  <c r="C10" i="5"/>
  <c r="D10" i="6" l="1"/>
  <c r="C10" i="9"/>
  <c r="E10" i="9"/>
  <c r="H10" i="9" s="1"/>
  <c r="F10" i="5"/>
  <c r="D10" i="5"/>
  <c r="G10" i="5" s="1"/>
  <c r="F10" i="6"/>
  <c r="F10" i="10"/>
  <c r="I10" i="8"/>
  <c r="J10" i="8" s="1"/>
  <c r="E11" i="8"/>
  <c r="H11" i="8" s="1"/>
  <c r="C11" i="8"/>
  <c r="G10" i="6"/>
  <c r="I10" i="5"/>
  <c r="J10" i="5" s="1"/>
  <c r="E11" i="5"/>
  <c r="H11" i="5" s="1"/>
  <c r="I9" i="4"/>
  <c r="J9" i="4" s="1"/>
  <c r="G9" i="4"/>
  <c r="C10" i="4"/>
  <c r="E10" i="4"/>
  <c r="H10" i="4" s="1"/>
  <c r="F10" i="9" l="1"/>
  <c r="D10" i="9"/>
  <c r="F10" i="4"/>
  <c r="D10" i="4"/>
  <c r="F11" i="8"/>
  <c r="D11" i="8"/>
  <c r="G10" i="10"/>
  <c r="C11" i="10" s="1"/>
  <c r="I10" i="10"/>
  <c r="J10" i="10" s="1"/>
  <c r="I10" i="6"/>
  <c r="J10" i="6" s="1"/>
  <c r="C11" i="6"/>
  <c r="C11" i="5"/>
  <c r="G10" i="4"/>
  <c r="G10" i="9" l="1"/>
  <c r="E11" i="9" s="1"/>
  <c r="H11" i="9" s="1"/>
  <c r="I10" i="9"/>
  <c r="J10" i="9" s="1"/>
  <c r="F11" i="5"/>
  <c r="D11" i="5"/>
  <c r="F11" i="10"/>
  <c r="E11" i="10"/>
  <c r="H11" i="10" s="1"/>
  <c r="F11" i="6"/>
  <c r="I11" i="8"/>
  <c r="J11" i="8" s="1"/>
  <c r="G11" i="8"/>
  <c r="E12" i="8" s="1"/>
  <c r="H12" i="8" s="1"/>
  <c r="E11" i="6"/>
  <c r="H11" i="6" s="1"/>
  <c r="I11" i="5"/>
  <c r="J11" i="5" s="1"/>
  <c r="I10" i="4"/>
  <c r="J10" i="4" s="1"/>
  <c r="D11" i="10" l="1"/>
  <c r="C11" i="9"/>
  <c r="D11" i="9"/>
  <c r="F11" i="9"/>
  <c r="D11" i="6"/>
  <c r="G11" i="6" s="1"/>
  <c r="G11" i="10"/>
  <c r="E12" i="10" s="1"/>
  <c r="H12" i="10" s="1"/>
  <c r="I11" i="10"/>
  <c r="J11" i="10" s="1"/>
  <c r="C12" i="8"/>
  <c r="G11" i="5"/>
  <c r="C12" i="5" s="1"/>
  <c r="E12" i="5"/>
  <c r="H12" i="5" s="1"/>
  <c r="E11" i="4"/>
  <c r="H11" i="4" s="1"/>
  <c r="C11" i="4"/>
  <c r="G11" i="9" l="1"/>
  <c r="I11" i="9"/>
  <c r="J11" i="9" s="1"/>
  <c r="F12" i="5"/>
  <c r="D12" i="5"/>
  <c r="F11" i="4"/>
  <c r="D11" i="4"/>
  <c r="C12" i="10"/>
  <c r="D12" i="10" s="1"/>
  <c r="G12" i="10" s="1"/>
  <c r="F12" i="8"/>
  <c r="D12" i="8"/>
  <c r="I11" i="6"/>
  <c r="J11" i="6" s="1"/>
  <c r="G12" i="5"/>
  <c r="I11" i="4"/>
  <c r="J11" i="4" s="1"/>
  <c r="F12" i="10" l="1"/>
  <c r="C12" i="9"/>
  <c r="E12" i="9"/>
  <c r="H12" i="9" s="1"/>
  <c r="G12" i="8"/>
  <c r="I12" i="8"/>
  <c r="J12" i="8" s="1"/>
  <c r="I12" i="10"/>
  <c r="J12" i="10" s="1"/>
  <c r="E13" i="10"/>
  <c r="H13" i="10" s="1"/>
  <c r="E12" i="6"/>
  <c r="H12" i="6" s="1"/>
  <c r="C12" i="6"/>
  <c r="D12" i="6" s="1"/>
  <c r="I12" i="5"/>
  <c r="J12" i="5" s="1"/>
  <c r="G11" i="4"/>
  <c r="C12" i="4" s="1"/>
  <c r="F12" i="9" l="1"/>
  <c r="D12" i="9"/>
  <c r="F12" i="4"/>
  <c r="C13" i="8"/>
  <c r="E13" i="8"/>
  <c r="H13" i="8" s="1"/>
  <c r="F12" i="6"/>
  <c r="G12" i="6"/>
  <c r="C13" i="10"/>
  <c r="D13" i="10" s="1"/>
  <c r="E13" i="5"/>
  <c r="H13" i="5" s="1"/>
  <c r="C13" i="5"/>
  <c r="E12" i="4"/>
  <c r="H12" i="4" s="1"/>
  <c r="G12" i="9" l="1"/>
  <c r="E13" i="9" s="1"/>
  <c r="H13" i="9" s="1"/>
  <c r="I12" i="9"/>
  <c r="J12" i="9" s="1"/>
  <c r="C13" i="9"/>
  <c r="F13" i="5"/>
  <c r="D13" i="5"/>
  <c r="D12" i="4"/>
  <c r="F13" i="10"/>
  <c r="D13" i="8"/>
  <c r="F13" i="8"/>
  <c r="G13" i="10"/>
  <c r="I12" i="6"/>
  <c r="J12" i="6" s="1"/>
  <c r="C13" i="6"/>
  <c r="G13" i="5"/>
  <c r="F13" i="9" l="1"/>
  <c r="D13" i="9"/>
  <c r="G13" i="8"/>
  <c r="E14" i="8" s="1"/>
  <c r="H14" i="8" s="1"/>
  <c r="I13" i="8"/>
  <c r="J13" i="8" s="1"/>
  <c r="F13" i="6"/>
  <c r="I13" i="10"/>
  <c r="J13" i="10" s="1"/>
  <c r="E14" i="10"/>
  <c r="H14" i="10" s="1"/>
  <c r="E13" i="6"/>
  <c r="H13" i="6" s="1"/>
  <c r="I13" i="5"/>
  <c r="J13" i="5" s="1"/>
  <c r="E14" i="5"/>
  <c r="H14" i="5" s="1"/>
  <c r="G12" i="4"/>
  <c r="I12" i="4"/>
  <c r="J12" i="4" s="1"/>
  <c r="I13" i="9" l="1"/>
  <c r="J13" i="9" s="1"/>
  <c r="G13" i="9"/>
  <c r="D13" i="6"/>
  <c r="C14" i="8"/>
  <c r="D14" i="8" s="1"/>
  <c r="C14" i="10"/>
  <c r="D14" i="10" s="1"/>
  <c r="G13" i="6"/>
  <c r="C14" i="5"/>
  <c r="C13" i="4"/>
  <c r="E13" i="4"/>
  <c r="H13" i="4" s="1"/>
  <c r="D13" i="4" l="1"/>
  <c r="E14" i="9"/>
  <c r="H14" i="9" s="1"/>
  <c r="C14" i="9"/>
  <c r="F14" i="5"/>
  <c r="D14" i="5"/>
  <c r="F14" i="10"/>
  <c r="G14" i="10"/>
  <c r="F14" i="8"/>
  <c r="I13" i="6"/>
  <c r="J13" i="6" s="1"/>
  <c r="G14" i="5"/>
  <c r="F13" i="4"/>
  <c r="D14" i="9" l="1"/>
  <c r="F14" i="9"/>
  <c r="G14" i="8"/>
  <c r="I14" i="8"/>
  <c r="J14" i="8" s="1"/>
  <c r="I14" i="10"/>
  <c r="J14" i="10" s="1"/>
  <c r="E14" i="6"/>
  <c r="H14" i="6" s="1"/>
  <c r="C14" i="6"/>
  <c r="D14" i="6" s="1"/>
  <c r="I14" i="5"/>
  <c r="J14" i="5" s="1"/>
  <c r="G13" i="4"/>
  <c r="C14" i="4" s="1"/>
  <c r="I13" i="4"/>
  <c r="J13" i="4" s="1"/>
  <c r="I14" i="9" l="1"/>
  <c r="J14" i="9" s="1"/>
  <c r="G14" i="9"/>
  <c r="F14" i="6"/>
  <c r="G14" i="6"/>
  <c r="F14" i="4"/>
  <c r="E14" i="4"/>
  <c r="H14" i="4" s="1"/>
  <c r="C15" i="6" l="1"/>
  <c r="E15" i="6"/>
  <c r="H15" i="6" s="1"/>
  <c r="D14" i="4"/>
  <c r="G14" i="4" s="1"/>
  <c r="C15" i="4" s="1"/>
  <c r="I14" i="6"/>
  <c r="J14" i="6" s="1"/>
  <c r="F15" i="4" l="1"/>
  <c r="E15" i="4"/>
  <c r="H15" i="4" s="1"/>
  <c r="D15" i="6"/>
  <c r="F15" i="6"/>
  <c r="I14" i="4"/>
  <c r="J14" i="4" s="1"/>
  <c r="D15" i="4" l="1"/>
  <c r="G15" i="6"/>
  <c r="I15" i="6"/>
  <c r="J15" i="6" s="1"/>
  <c r="D3" i="3"/>
  <c r="G3" i="3" s="1"/>
  <c r="E4" i="3" s="1"/>
  <c r="H4" i="3" s="1"/>
  <c r="H3" i="2"/>
  <c r="D3" i="2"/>
  <c r="G3" i="2" s="1"/>
  <c r="D5" i="1"/>
  <c r="C5" i="1"/>
  <c r="E5" i="1"/>
  <c r="F5" i="1"/>
  <c r="H5" i="1"/>
  <c r="H3" i="1"/>
  <c r="H4" i="1"/>
  <c r="G4" i="1"/>
  <c r="F4" i="1"/>
  <c r="D4" i="1"/>
  <c r="I4" i="1" s="1"/>
  <c r="J4" i="1" s="1"/>
  <c r="E4" i="1"/>
  <c r="C4" i="1"/>
  <c r="G3" i="1"/>
  <c r="F3" i="1"/>
  <c r="D3" i="1"/>
  <c r="G15" i="4" l="1"/>
  <c r="I15" i="4"/>
  <c r="J15" i="4" s="1"/>
  <c r="C4" i="3"/>
  <c r="G5" i="1"/>
  <c r="C6" i="1" s="1"/>
  <c r="I5" i="1"/>
  <c r="J5" i="1" s="1"/>
  <c r="F4" i="3" l="1"/>
  <c r="D4" i="3"/>
  <c r="G4" i="3" s="1"/>
  <c r="F6" i="1"/>
  <c r="E6" i="1"/>
  <c r="H6" i="1" s="1"/>
  <c r="C5" i="3" l="1"/>
  <c r="I4" i="3"/>
  <c r="J4" i="3" s="1"/>
  <c r="E5" i="3"/>
  <c r="H5" i="3" s="1"/>
  <c r="D6" i="1"/>
  <c r="I6" i="1"/>
  <c r="J6" i="1" s="1"/>
  <c r="G6" i="1"/>
  <c r="F5" i="3" l="1"/>
  <c r="D5" i="3"/>
  <c r="G5" i="3" s="1"/>
  <c r="C7" i="1"/>
  <c r="E7" i="1"/>
  <c r="H7" i="1" s="1"/>
  <c r="I5" i="3" l="1"/>
  <c r="J5" i="3" s="1"/>
  <c r="D7" i="1"/>
  <c r="F7" i="1"/>
  <c r="C6" i="3" l="1"/>
  <c r="E6" i="3"/>
  <c r="H6" i="3" s="1"/>
  <c r="I7" i="1"/>
  <c r="J7" i="1" s="1"/>
  <c r="G7" i="1"/>
  <c r="C8" i="1"/>
  <c r="E8" i="1"/>
  <c r="H8" i="1" s="1"/>
  <c r="D6" i="3" l="1"/>
  <c r="G6" i="3" s="1"/>
  <c r="F6" i="3"/>
  <c r="D8" i="1"/>
  <c r="F8" i="1"/>
  <c r="I6" i="3" l="1"/>
  <c r="J6" i="3" s="1"/>
  <c r="C7" i="3"/>
  <c r="I8" i="1"/>
  <c r="J8" i="1" s="1"/>
  <c r="G8" i="1"/>
  <c r="E9" i="1" s="1"/>
  <c r="H9" i="1" s="1"/>
  <c r="F7" i="3" l="1"/>
  <c r="E7" i="3"/>
  <c r="H7" i="3" s="1"/>
  <c r="C9" i="1"/>
  <c r="D9" i="1" s="1"/>
  <c r="D7" i="3" l="1"/>
  <c r="G7" i="3"/>
  <c r="C8" i="3" s="1"/>
  <c r="F9" i="1"/>
  <c r="F8" i="3" l="1"/>
  <c r="I7" i="3"/>
  <c r="J7" i="3" s="1"/>
  <c r="E8" i="3"/>
  <c r="H8" i="3" s="1"/>
  <c r="G9" i="1"/>
  <c r="C10" i="1" s="1"/>
  <c r="I9" i="1"/>
  <c r="J9" i="1" s="1"/>
  <c r="D8" i="3" l="1"/>
  <c r="G8" i="3"/>
  <c r="E9" i="3" s="1"/>
  <c r="H9" i="3" s="1"/>
  <c r="F10" i="1"/>
  <c r="E10" i="1"/>
  <c r="H10" i="1" s="1"/>
  <c r="I8" i="3" l="1"/>
  <c r="J8" i="3" s="1"/>
  <c r="C9" i="3"/>
  <c r="D9" i="3" s="1"/>
  <c r="D10" i="1"/>
  <c r="I10" i="1"/>
  <c r="J10" i="1" s="1"/>
  <c r="G10" i="1"/>
  <c r="F9" i="3" l="1"/>
  <c r="G9" i="3"/>
  <c r="C11" i="1"/>
  <c r="E11" i="1"/>
  <c r="H11" i="1" s="1"/>
  <c r="I9" i="3" l="1"/>
  <c r="J9" i="3" s="1"/>
  <c r="E10" i="3"/>
  <c r="H10" i="3" s="1"/>
  <c r="D11" i="1"/>
  <c r="F11" i="1"/>
  <c r="C10" i="3" l="1"/>
  <c r="D10" i="3" s="1"/>
  <c r="G11" i="1"/>
  <c r="E12" i="1" s="1"/>
  <c r="H12" i="1" s="1"/>
  <c r="I11" i="1"/>
  <c r="J11" i="1" s="1"/>
  <c r="F10" i="3" l="1"/>
  <c r="G10" i="3"/>
  <c r="C11" i="3" s="1"/>
  <c r="C12" i="1"/>
  <c r="D12" i="1" s="1"/>
  <c r="I10" i="3" l="1"/>
  <c r="J10" i="3" s="1"/>
  <c r="F11" i="3"/>
  <c r="E11" i="3"/>
  <c r="H11" i="3" s="1"/>
  <c r="F12" i="1"/>
  <c r="D11" i="3" l="1"/>
  <c r="I11" i="3" s="1"/>
  <c r="J11" i="3" s="1"/>
  <c r="G11" i="3"/>
  <c r="I12" i="1"/>
  <c r="J12" i="1" s="1"/>
  <c r="G12" i="1"/>
  <c r="C13" i="1" s="1"/>
  <c r="E12" i="3" l="1"/>
  <c r="H12" i="3" s="1"/>
  <c r="C12" i="3"/>
  <c r="F13" i="1"/>
  <c r="E13" i="1"/>
  <c r="H13" i="1" s="1"/>
  <c r="D12" i="3" l="1"/>
  <c r="F12" i="3"/>
  <c r="G12" i="3"/>
  <c r="D13" i="1"/>
  <c r="I13" i="1"/>
  <c r="J13" i="1" s="1"/>
  <c r="G13" i="1"/>
  <c r="C13" i="3" l="1"/>
  <c r="I12" i="3"/>
  <c r="J12" i="3" s="1"/>
  <c r="E13" i="3"/>
  <c r="H13" i="3" s="1"/>
  <c r="C14" i="1"/>
  <c r="E14" i="1"/>
  <c r="H14" i="1" s="1"/>
  <c r="F13" i="3" l="1"/>
  <c r="D13" i="3"/>
  <c r="G13" i="3" s="1"/>
  <c r="D14" i="1"/>
  <c r="F14" i="1"/>
  <c r="I13" i="3" l="1"/>
  <c r="J13" i="3" s="1"/>
  <c r="E14" i="3"/>
  <c r="H14" i="3" s="1"/>
  <c r="C14" i="3"/>
  <c r="G14" i="1"/>
  <c r="I14" i="1"/>
  <c r="J14" i="1" s="1"/>
  <c r="D14" i="3" l="1"/>
  <c r="G14" i="3" s="1"/>
  <c r="F14" i="3"/>
  <c r="C4" i="2"/>
  <c r="F4" i="2" s="1"/>
  <c r="E4" i="2"/>
  <c r="H4" i="2" s="1"/>
  <c r="I14" i="3" l="1"/>
  <c r="J14" i="3" s="1"/>
  <c r="D4" i="2"/>
  <c r="G4" i="2" s="1"/>
  <c r="I4" i="2" l="1"/>
  <c r="J4" i="2" s="1"/>
  <c r="E5" i="2"/>
  <c r="H5" i="2" s="1"/>
  <c r="C5" i="2"/>
  <c r="F5" i="2" s="1"/>
  <c r="D5" i="2" l="1"/>
  <c r="G5" i="2" s="1"/>
  <c r="E6" i="2" l="1"/>
  <c r="H6" i="2" s="1"/>
  <c r="I5" i="2"/>
  <c r="J5" i="2" s="1"/>
  <c r="C6" i="2" l="1"/>
  <c r="F6" i="2" s="1"/>
  <c r="D6" i="2" l="1"/>
  <c r="G6" i="2" s="1"/>
  <c r="E7" i="2" s="1"/>
  <c r="H7" i="2" s="1"/>
  <c r="I6" i="2" l="1"/>
  <c r="J6" i="2" s="1"/>
  <c r="C7" i="2"/>
  <c r="F7" i="2" s="1"/>
  <c r="D7" i="2" l="1"/>
  <c r="G7" i="2" s="1"/>
  <c r="E8" i="2" l="1"/>
  <c r="H8" i="2" s="1"/>
  <c r="I7" i="2"/>
  <c r="J7" i="2" s="1"/>
  <c r="C8" i="2" l="1"/>
  <c r="F8" i="2" s="1"/>
  <c r="D8" i="2" l="1"/>
  <c r="G8" i="2" s="1"/>
  <c r="E9" i="2" l="1"/>
  <c r="H9" i="2" s="1"/>
  <c r="I8" i="2"/>
  <c r="J8" i="2" s="1"/>
  <c r="C9" i="2" l="1"/>
  <c r="F9" i="2" s="1"/>
  <c r="D9" i="2" l="1"/>
  <c r="G9" i="2" s="1"/>
  <c r="E10" i="2" s="1"/>
  <c r="H10" i="2" s="1"/>
  <c r="I9" i="2"/>
  <c r="J9" i="2" s="1"/>
  <c r="C10" i="2" l="1"/>
  <c r="F10" i="2" s="1"/>
  <c r="D10" i="2" l="1"/>
  <c r="G10" i="2" s="1"/>
  <c r="E11" i="2" l="1"/>
  <c r="H11" i="2" s="1"/>
  <c r="I10" i="2"/>
  <c r="J10" i="2" s="1"/>
  <c r="C11" i="2" l="1"/>
  <c r="D11" i="2" l="1"/>
  <c r="G11" i="2" s="1"/>
  <c r="F11" i="2"/>
  <c r="I11" i="2" l="1"/>
  <c r="J11" i="2" s="1"/>
  <c r="C12" i="2"/>
  <c r="F12" i="2" s="1"/>
  <c r="E12" i="2"/>
  <c r="H12" i="2" s="1"/>
  <c r="D12" i="2" l="1"/>
  <c r="I12" i="2" l="1"/>
  <c r="J12" i="2" s="1"/>
  <c r="G12" i="2"/>
  <c r="E13" i="2" s="1"/>
  <c r="H13" i="2" s="1"/>
  <c r="C13" i="2" l="1"/>
  <c r="F13" i="2" s="1"/>
  <c r="D13" i="2" l="1"/>
  <c r="G13" i="2" s="1"/>
  <c r="E14" i="2"/>
  <c r="H14" i="2" s="1"/>
  <c r="I13" i="2"/>
  <c r="J13" i="2" s="1"/>
  <c r="C14" i="2" l="1"/>
  <c r="F14" i="2" s="1"/>
  <c r="D14" i="2" l="1"/>
  <c r="G14" i="2" s="1"/>
  <c r="C15" i="2" s="1"/>
  <c r="F15" i="2" l="1"/>
  <c r="E15" i="2"/>
  <c r="H15" i="2" s="1"/>
  <c r="I14" i="2"/>
  <c r="J14" i="2" s="1"/>
  <c r="D15" i="2" l="1"/>
  <c r="I15" i="2" l="1"/>
  <c r="J15" i="2" s="1"/>
  <c r="G15" i="2"/>
</calcChain>
</file>

<file path=xl/sharedStrings.xml><?xml version="1.0" encoding="utf-8"?>
<sst xmlns="http://schemas.openxmlformats.org/spreadsheetml/2006/main" count="111" uniqueCount="13">
  <si>
    <t>Bisección</t>
  </si>
  <si>
    <t>tolerancia</t>
  </si>
  <si>
    <t>i</t>
  </si>
  <si>
    <t>xl</t>
  </si>
  <si>
    <t>xi</t>
  </si>
  <si>
    <t>xu</t>
  </si>
  <si>
    <t>fxl</t>
  </si>
  <si>
    <t>fxi</t>
  </si>
  <si>
    <t>fxu</t>
  </si>
  <si>
    <t>ea</t>
  </si>
  <si>
    <t>er%</t>
  </si>
  <si>
    <t>para que la condición sea válida debe existir un cambio de signo</t>
  </si>
  <si>
    <t>tolerancia: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</si>
</sst>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4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8" tint="0.39994506668294322"/>
        </patternFill>
      </fill>
    </dxf>
    <dxf>
      <font>
        <b/>
        <i val="0"/>
        <color rgb="FFC0000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7A0A-9778-0746-AC94-CB43EC352301}">
  <dimension ref="A1:K14"/>
  <sheetViews>
    <sheetView zoomScaleNormal="100" zoomScaleSheetLayoutView="100" workbookViewId="0">
      <selection activeCell="F17" sqref="F17"/>
    </sheetView>
  </sheetViews>
  <sheetFormatPr baseColWidth="10" defaultColWidth="8.88671875" defaultRowHeight="14.4" x14ac:dyDescent="0.3"/>
  <cols>
    <col min="1" max="1" width="10.33203125" bestFit="1" customWidth="1"/>
    <col min="2" max="2" width="3.44140625" bestFit="1" customWidth="1"/>
    <col min="3" max="3" width="12" bestFit="1" customWidth="1"/>
    <col min="4" max="5" width="14.44140625" bestFit="1" customWidth="1"/>
    <col min="6" max="7" width="15.33203125" bestFit="1" customWidth="1"/>
    <col min="8" max="10" width="14.44140625" bestFit="1" customWidth="1"/>
  </cols>
  <sheetData>
    <row r="1" spans="1:11" ht="15.6" x14ac:dyDescent="0.3">
      <c r="A1" s="2" t="s">
        <v>0</v>
      </c>
      <c r="B1" s="1"/>
      <c r="C1" s="1"/>
      <c r="D1" s="1"/>
      <c r="E1" s="1"/>
      <c r="F1" s="1"/>
      <c r="G1" s="1"/>
      <c r="H1" s="1" t="s">
        <v>1</v>
      </c>
      <c r="I1" s="8">
        <v>1E-3</v>
      </c>
      <c r="J1" s="7">
        <v>0.1</v>
      </c>
    </row>
    <row r="2" spans="1:11" ht="15.6" x14ac:dyDescent="0.3">
      <c r="A2" s="1"/>
      <c r="B2" s="5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1" ht="15.6" x14ac:dyDescent="0.3">
      <c r="A3" s="1"/>
      <c r="B3" s="3">
        <v>1</v>
      </c>
      <c r="C3" s="4">
        <v>0</v>
      </c>
      <c r="D3" s="3">
        <f>(C3+E3)/2</f>
        <v>1</v>
      </c>
      <c r="E3" s="4">
        <v>2</v>
      </c>
      <c r="F3" s="3">
        <f t="shared" ref="F3:H4" si="0">C3^2/(C3+1)-1</f>
        <v>-1</v>
      </c>
      <c r="G3" s="3">
        <f t="shared" si="0"/>
        <v>-0.5</v>
      </c>
      <c r="H3" s="3">
        <f t="shared" si="0"/>
        <v>0.33333333333333326</v>
      </c>
      <c r="I3" s="3"/>
      <c r="J3" s="3"/>
      <c r="K3" t="s">
        <v>11</v>
      </c>
    </row>
    <row r="4" spans="1:11" ht="15" x14ac:dyDescent="0.3">
      <c r="B4" s="3">
        <v>2</v>
      </c>
      <c r="C4" s="4">
        <f>IF(F3*G3&lt;0,C3,D3)</f>
        <v>1</v>
      </c>
      <c r="D4" s="3">
        <f>(C4+E4)/2</f>
        <v>1.5</v>
      </c>
      <c r="E4" s="4">
        <f>IF(F3*G3&lt;0,D3,E3)</f>
        <v>2</v>
      </c>
      <c r="F4" s="3">
        <f t="shared" si="0"/>
        <v>-0.5</v>
      </c>
      <c r="G4" s="3">
        <f t="shared" si="0"/>
        <v>-9.9999999999999978E-2</v>
      </c>
      <c r="H4" s="3">
        <f t="shared" si="0"/>
        <v>0.33333333333333326</v>
      </c>
      <c r="I4" s="3">
        <f>ABS(D4-D3)</f>
        <v>0.5</v>
      </c>
      <c r="J4" s="3">
        <f>ABS(I4/D4)*100</f>
        <v>33.333333333333329</v>
      </c>
    </row>
    <row r="5" spans="1:11" ht="15" x14ac:dyDescent="0.3">
      <c r="B5" s="3">
        <v>3</v>
      </c>
      <c r="C5" s="4">
        <f t="shared" ref="C5:C14" si="1">IF(F4*G4&lt;0,C4,D4)</f>
        <v>1.5</v>
      </c>
      <c r="D5" s="3">
        <f t="shared" ref="D5:D14" si="2">(C5+E5)/2</f>
        <v>1.75</v>
      </c>
      <c r="E5" s="4">
        <f t="shared" ref="E5:E14" si="3">IF(F4*G4&lt;0,D4,E4)</f>
        <v>2</v>
      </c>
      <c r="F5" s="3">
        <f t="shared" ref="F5:F14" si="4">C5^2/(C5+1)-1</f>
        <v>-9.9999999999999978E-2</v>
      </c>
      <c r="G5" s="3">
        <f t="shared" ref="G5:G14" si="5">D5^2/(D5+1)-1</f>
        <v>0.11363636363636354</v>
      </c>
      <c r="H5" s="3">
        <f t="shared" ref="H5:H14" si="6">E5^2/(E5+1)-1</f>
        <v>0.33333333333333326</v>
      </c>
      <c r="I5" s="3">
        <f t="shared" ref="I5:I14" si="7">ABS(D5-D4)</f>
        <v>0.25</v>
      </c>
      <c r="J5" s="3">
        <f t="shared" ref="J5:J14" si="8">ABS(I5/D5)*100</f>
        <v>14.285714285714285</v>
      </c>
    </row>
    <row r="6" spans="1:11" ht="15" x14ac:dyDescent="0.3">
      <c r="B6" s="3">
        <v>4</v>
      </c>
      <c r="C6" s="4">
        <f t="shared" si="1"/>
        <v>1.5</v>
      </c>
      <c r="D6" s="3">
        <f t="shared" si="2"/>
        <v>1.625</v>
      </c>
      <c r="E6" s="4">
        <f t="shared" si="3"/>
        <v>1.75</v>
      </c>
      <c r="F6" s="3">
        <f t="shared" si="4"/>
        <v>-9.9999999999999978E-2</v>
      </c>
      <c r="G6" s="3">
        <f t="shared" si="5"/>
        <v>5.9523809523809312E-3</v>
      </c>
      <c r="H6" s="3">
        <f t="shared" si="6"/>
        <v>0.11363636363636354</v>
      </c>
      <c r="I6" s="3">
        <f t="shared" si="7"/>
        <v>0.125</v>
      </c>
      <c r="J6" s="3">
        <f t="shared" si="8"/>
        <v>7.6923076923076925</v>
      </c>
    </row>
    <row r="7" spans="1:11" ht="15" x14ac:dyDescent="0.3">
      <c r="B7" s="3">
        <v>5</v>
      </c>
      <c r="C7" s="4">
        <f t="shared" si="1"/>
        <v>1.5</v>
      </c>
      <c r="D7" s="3">
        <f t="shared" si="2"/>
        <v>1.5625</v>
      </c>
      <c r="E7" s="4">
        <f t="shared" si="3"/>
        <v>1.625</v>
      </c>
      <c r="F7" s="3">
        <f t="shared" si="4"/>
        <v>-9.9999999999999978E-2</v>
      </c>
      <c r="G7" s="3">
        <f t="shared" si="5"/>
        <v>-4.7256097560975596E-2</v>
      </c>
      <c r="H7" s="3">
        <f t="shared" si="6"/>
        <v>5.9523809523809312E-3</v>
      </c>
      <c r="I7" s="3">
        <f t="shared" si="7"/>
        <v>6.25E-2</v>
      </c>
      <c r="J7" s="3">
        <f t="shared" si="8"/>
        <v>4</v>
      </c>
    </row>
    <row r="8" spans="1:11" ht="15" x14ac:dyDescent="0.3">
      <c r="B8" s="3">
        <v>6</v>
      </c>
      <c r="C8" s="4">
        <f t="shared" si="1"/>
        <v>1.5625</v>
      </c>
      <c r="D8" s="3">
        <f t="shared" si="2"/>
        <v>1.59375</v>
      </c>
      <c r="E8" s="4">
        <f t="shared" si="3"/>
        <v>1.625</v>
      </c>
      <c r="F8" s="3">
        <f t="shared" si="4"/>
        <v>-4.7256097560975596E-2</v>
      </c>
      <c r="G8" s="3">
        <f t="shared" si="5"/>
        <v>-2.0707831325301185E-2</v>
      </c>
      <c r="H8" s="3">
        <f t="shared" si="6"/>
        <v>5.9523809523809312E-3</v>
      </c>
      <c r="I8" s="3">
        <f t="shared" si="7"/>
        <v>3.125E-2</v>
      </c>
      <c r="J8" s="3">
        <f t="shared" si="8"/>
        <v>1.9607843137254901</v>
      </c>
    </row>
    <row r="9" spans="1:11" ht="15" x14ac:dyDescent="0.3">
      <c r="B9" s="3">
        <v>7</v>
      </c>
      <c r="C9" s="4">
        <f t="shared" si="1"/>
        <v>1.59375</v>
      </c>
      <c r="D9" s="3">
        <f t="shared" si="2"/>
        <v>1.609375</v>
      </c>
      <c r="E9" s="4">
        <f t="shared" si="3"/>
        <v>1.625</v>
      </c>
      <c r="F9" s="3">
        <f t="shared" si="4"/>
        <v>-2.0707831325301185E-2</v>
      </c>
      <c r="G9" s="3">
        <f t="shared" si="5"/>
        <v>-7.3914670658682402E-3</v>
      </c>
      <c r="H9" s="3">
        <f t="shared" si="6"/>
        <v>5.9523809523809312E-3</v>
      </c>
      <c r="I9" s="3">
        <f t="shared" si="7"/>
        <v>1.5625E-2</v>
      </c>
      <c r="J9" s="3">
        <f t="shared" si="8"/>
        <v>0.97087378640776689</v>
      </c>
    </row>
    <row r="10" spans="1:11" ht="15" x14ac:dyDescent="0.3">
      <c r="B10" s="3">
        <v>8</v>
      </c>
      <c r="C10" s="4">
        <f t="shared" si="1"/>
        <v>1.609375</v>
      </c>
      <c r="D10" s="3">
        <f t="shared" si="2"/>
        <v>1.6171875</v>
      </c>
      <c r="E10" s="4">
        <f t="shared" si="3"/>
        <v>1.625</v>
      </c>
      <c r="F10" s="3">
        <f t="shared" si="4"/>
        <v>-7.3914670658682402E-3</v>
      </c>
      <c r="G10" s="3">
        <f t="shared" si="5"/>
        <v>-7.2294776119408155E-4</v>
      </c>
      <c r="H10" s="3">
        <f t="shared" si="6"/>
        <v>5.9523809523809312E-3</v>
      </c>
      <c r="I10" s="3">
        <f t="shared" si="7"/>
        <v>7.8125E-3</v>
      </c>
      <c r="J10" s="3">
        <f t="shared" si="8"/>
        <v>0.48309178743961351</v>
      </c>
    </row>
    <row r="11" spans="1:11" ht="15" x14ac:dyDescent="0.3">
      <c r="B11" s="3">
        <v>9</v>
      </c>
      <c r="C11" s="4">
        <f t="shared" si="1"/>
        <v>1.6171875</v>
      </c>
      <c r="D11" s="3">
        <f t="shared" si="2"/>
        <v>1.62109375</v>
      </c>
      <c r="E11" s="4">
        <f t="shared" si="3"/>
        <v>1.625</v>
      </c>
      <c r="F11" s="3">
        <f t="shared" si="4"/>
        <v>-7.2294776119408155E-4</v>
      </c>
      <c r="G11" s="3">
        <f t="shared" si="5"/>
        <v>2.6138692250372575E-3</v>
      </c>
      <c r="H11" s="3">
        <f t="shared" si="6"/>
        <v>5.9523809523809312E-3</v>
      </c>
      <c r="I11" s="3">
        <f t="shared" si="7"/>
        <v>3.90625E-3</v>
      </c>
      <c r="J11" s="3">
        <f t="shared" si="8"/>
        <v>0.24096385542168677</v>
      </c>
    </row>
    <row r="12" spans="1:11" ht="15" x14ac:dyDescent="0.3">
      <c r="B12" s="3">
        <v>10</v>
      </c>
      <c r="C12" s="4">
        <f t="shared" si="1"/>
        <v>1.6171875</v>
      </c>
      <c r="D12" s="3">
        <f t="shared" si="2"/>
        <v>1.619140625</v>
      </c>
      <c r="E12" s="4">
        <f t="shared" si="3"/>
        <v>1.62109375</v>
      </c>
      <c r="F12" s="3">
        <f t="shared" si="4"/>
        <v>-7.2294776119408155E-4</v>
      </c>
      <c r="G12" s="3">
        <f t="shared" si="5"/>
        <v>9.452484153615881E-4</v>
      </c>
      <c r="H12" s="3">
        <f t="shared" si="6"/>
        <v>2.6138692250372575E-3</v>
      </c>
      <c r="I12" s="3">
        <f t="shared" si="7"/>
        <v>1.953125E-3</v>
      </c>
      <c r="J12" s="3">
        <f t="shared" si="8"/>
        <v>0.12062726176115801</v>
      </c>
    </row>
    <row r="13" spans="1:11" ht="15" x14ac:dyDescent="0.3">
      <c r="B13" s="3">
        <v>11</v>
      </c>
      <c r="C13" s="4">
        <f t="shared" si="1"/>
        <v>1.6171875</v>
      </c>
      <c r="D13" s="3">
        <f t="shared" si="2"/>
        <v>1.6181640625</v>
      </c>
      <c r="E13" s="4">
        <f t="shared" si="3"/>
        <v>1.619140625</v>
      </c>
      <c r="F13" s="3">
        <f t="shared" si="4"/>
        <v>-7.2294776119408155E-4</v>
      </c>
      <c r="G13" s="3">
        <f t="shared" si="5"/>
        <v>1.1109718854895867E-4</v>
      </c>
      <c r="H13" s="3">
        <f t="shared" si="6"/>
        <v>9.452484153615881E-4</v>
      </c>
      <c r="I13" s="3">
        <f t="shared" si="7"/>
        <v>9.765625E-4</v>
      </c>
      <c r="J13" s="3">
        <f t="shared" si="8"/>
        <v>6.0350030175015092E-2</v>
      </c>
    </row>
    <row r="14" spans="1:11" ht="15" x14ac:dyDescent="0.3">
      <c r="B14" s="3">
        <v>12</v>
      </c>
      <c r="C14" s="4">
        <f t="shared" si="1"/>
        <v>1.6171875</v>
      </c>
      <c r="D14" s="3">
        <f t="shared" si="2"/>
        <v>1.61767578125</v>
      </c>
      <c r="E14" s="4">
        <f t="shared" si="3"/>
        <v>1.6181640625</v>
      </c>
      <c r="F14" s="3">
        <f t="shared" si="4"/>
        <v>-7.2294776119408155E-4</v>
      </c>
      <c r="G14" s="3">
        <f t="shared" si="5"/>
        <v>-3.059385783902302E-4</v>
      </c>
      <c r="H14" s="3">
        <f t="shared" si="6"/>
        <v>1.1109718854895867E-4</v>
      </c>
      <c r="I14" s="3">
        <f t="shared" si="7"/>
        <v>4.8828125E-4</v>
      </c>
      <c r="J14" s="3">
        <f t="shared" si="8"/>
        <v>3.0184123151222455E-2</v>
      </c>
    </row>
  </sheetData>
  <conditionalFormatting sqref="D4:D14">
    <cfRule type="expression" dxfId="11" priority="1">
      <formula>J4&lt;$J$1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DDF8-D495-43E9-B8EE-3008001401BD}">
  <dimension ref="A1:J15"/>
  <sheetViews>
    <sheetView workbookViewId="0">
      <selection sqref="A1:J15"/>
    </sheetView>
  </sheetViews>
  <sheetFormatPr baseColWidth="10" defaultColWidth="11.44140625" defaultRowHeight="14.4" x14ac:dyDescent="0.3"/>
  <cols>
    <col min="1" max="1" width="10.21875" bestFit="1" customWidth="1"/>
    <col min="2" max="2" width="3.44140625" bestFit="1" customWidth="1"/>
    <col min="3" max="3" width="8.5546875" bestFit="1" customWidth="1"/>
    <col min="4" max="4" width="9.21875" bestFit="1" customWidth="1"/>
    <col min="5" max="5" width="8.5546875" bestFit="1" customWidth="1"/>
    <col min="6" max="6" width="9" bestFit="1" customWidth="1"/>
    <col min="7" max="7" width="9.77734375" bestFit="1" customWidth="1"/>
    <col min="8" max="8" width="12" bestFit="1" customWidth="1"/>
    <col min="9" max="9" width="7.77734375" bestFit="1" customWidth="1"/>
    <col min="10" max="10" width="10.21875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>
        <v>1</v>
      </c>
      <c r="J1" s="11"/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4.5</v>
      </c>
      <c r="D3" s="12">
        <f>(C3+E3)/2</f>
        <v>4.75</v>
      </c>
      <c r="E3" s="13">
        <v>5</v>
      </c>
      <c r="F3" s="12">
        <f>-12-21*C3+18*C3^2-2.75*C3^3</f>
        <v>7.40625</v>
      </c>
      <c r="G3" s="12">
        <f t="shared" ref="G3:H3" si="0">-12-21*D3+18*D3^2-2.75*D3^3</f>
        <v>-0.34765625</v>
      </c>
      <c r="H3" s="12">
        <f t="shared" si="0"/>
        <v>-10.75</v>
      </c>
      <c r="I3" s="12"/>
      <c r="J3" s="12"/>
    </row>
    <row r="4" spans="1:10" ht="15" x14ac:dyDescent="0.3">
      <c r="B4" s="3">
        <v>2</v>
      </c>
      <c r="C4" s="12">
        <f>IF(F3*G3&lt;0,C3,D3)</f>
        <v>4.5</v>
      </c>
      <c r="D4" s="12">
        <f>(C4+E4)/2</f>
        <v>4.625</v>
      </c>
      <c r="E4" s="12">
        <f>IF(F3*G3&lt;0,D3,E3)</f>
        <v>4.75</v>
      </c>
      <c r="F4" s="12">
        <f t="shared" ref="F4:F14" si="1">-12-21*C4+18*C4^2-2.75*C4^3</f>
        <v>7.40625</v>
      </c>
      <c r="G4" s="12">
        <f t="shared" ref="G4:G14" si="2">-12-21*D4+18*D4^2-2.75*D4^3</f>
        <v>3.84423828125</v>
      </c>
      <c r="H4" s="12">
        <f t="shared" ref="H4:H14" si="3">-12-21*E4+18*E4^2-2.75*E4^3</f>
        <v>-0.34765625</v>
      </c>
      <c r="I4" s="12">
        <f>ABS(D4-D3)</f>
        <v>0.125</v>
      </c>
      <c r="J4" s="12">
        <f>ABS(I4/D4)*100</f>
        <v>2.7027027027027026</v>
      </c>
    </row>
    <row r="5" spans="1:10" ht="15" x14ac:dyDescent="0.3">
      <c r="B5" s="3">
        <v>3</v>
      </c>
      <c r="C5" s="12">
        <f t="shared" ref="C5:C14" si="4">IF(F4*G4&lt;0,C4,D4)</f>
        <v>4.625</v>
      </c>
      <c r="D5" s="12">
        <f t="shared" ref="D5:D14" si="5">(C5+E5)/2</f>
        <v>4.6875</v>
      </c>
      <c r="E5" s="12">
        <f t="shared" ref="E5:E14" si="6">IF(F4*G4&lt;0,D4,E4)</f>
        <v>4.75</v>
      </c>
      <c r="F5" s="12">
        <f t="shared" si="1"/>
        <v>3.84423828125</v>
      </c>
      <c r="G5" s="12">
        <f t="shared" si="2"/>
        <v>1.82904052734375</v>
      </c>
      <c r="H5" s="12">
        <f t="shared" si="3"/>
        <v>-0.34765625</v>
      </c>
      <c r="I5" s="12">
        <f t="shared" ref="I5:I14" si="7">ABS(D5-D4)</f>
        <v>6.25E-2</v>
      </c>
      <c r="J5" s="12">
        <f t="shared" ref="J5:J14" si="8">ABS(I5/D5)*100</f>
        <v>1.3333333333333335</v>
      </c>
    </row>
    <row r="6" spans="1:10" ht="15" x14ac:dyDescent="0.3">
      <c r="B6" s="3">
        <v>4</v>
      </c>
      <c r="C6" s="12">
        <f t="shared" si="4"/>
        <v>4.6875</v>
      </c>
      <c r="D6" s="12">
        <f t="shared" si="5"/>
        <v>4.71875</v>
      </c>
      <c r="E6" s="12">
        <f t="shared" si="6"/>
        <v>4.75</v>
      </c>
      <c r="F6" s="12">
        <f t="shared" si="1"/>
        <v>1.82904052734375</v>
      </c>
      <c r="G6" s="12">
        <f t="shared" si="2"/>
        <v>0.76113128662109375</v>
      </c>
      <c r="H6" s="12">
        <f t="shared" si="3"/>
        <v>-0.34765625</v>
      </c>
      <c r="I6" s="12">
        <f t="shared" si="7"/>
        <v>3.125E-2</v>
      </c>
      <c r="J6" s="12">
        <f t="shared" si="8"/>
        <v>0.66225165562913912</v>
      </c>
    </row>
    <row r="7" spans="1:10" ht="15" x14ac:dyDescent="0.3">
      <c r="B7" s="3">
        <v>5</v>
      </c>
      <c r="C7" s="12">
        <f t="shared" si="4"/>
        <v>4.71875</v>
      </c>
      <c r="D7" s="12">
        <f t="shared" si="5"/>
        <v>4.734375</v>
      </c>
      <c r="E7" s="12">
        <f t="shared" si="6"/>
        <v>4.75</v>
      </c>
      <c r="F7" s="12">
        <f t="shared" si="1"/>
        <v>0.76113128662109375</v>
      </c>
      <c r="G7" s="12">
        <f t="shared" si="2"/>
        <v>0.21187877655029297</v>
      </c>
      <c r="H7" s="12">
        <f t="shared" si="3"/>
        <v>-0.34765625</v>
      </c>
      <c r="I7" s="12">
        <f t="shared" si="7"/>
        <v>1.5625E-2</v>
      </c>
      <c r="J7" s="12">
        <f t="shared" si="8"/>
        <v>0.33003300330033003</v>
      </c>
    </row>
    <row r="8" spans="1:10" ht="15" x14ac:dyDescent="0.3">
      <c r="B8" s="3">
        <v>6</v>
      </c>
      <c r="C8" s="12">
        <f t="shared" si="4"/>
        <v>4.734375</v>
      </c>
      <c r="D8" s="12">
        <f t="shared" si="5"/>
        <v>4.7421875</v>
      </c>
      <c r="E8" s="12">
        <f t="shared" si="6"/>
        <v>4.75</v>
      </c>
      <c r="F8" s="12">
        <f t="shared" si="1"/>
        <v>0.21187877655029297</v>
      </c>
      <c r="G8" s="12">
        <f t="shared" si="2"/>
        <v>-6.6599488258361816E-2</v>
      </c>
      <c r="H8" s="12">
        <f t="shared" si="3"/>
        <v>-0.34765625</v>
      </c>
      <c r="I8" s="12">
        <f t="shared" si="7"/>
        <v>7.8125E-3</v>
      </c>
      <c r="J8" s="12">
        <f t="shared" si="8"/>
        <v>0.16474464579901155</v>
      </c>
    </row>
    <row r="9" spans="1:10" ht="15" x14ac:dyDescent="0.3">
      <c r="B9" s="3">
        <v>7</v>
      </c>
      <c r="C9" s="12">
        <f t="shared" si="4"/>
        <v>4.734375</v>
      </c>
      <c r="D9" s="12">
        <f t="shared" si="5"/>
        <v>4.73828125</v>
      </c>
      <c r="E9" s="12">
        <f t="shared" si="6"/>
        <v>4.7421875</v>
      </c>
      <c r="F9" s="12">
        <f t="shared" si="1"/>
        <v>0.21187877655029297</v>
      </c>
      <c r="G9" s="12">
        <f t="shared" si="2"/>
        <v>7.2961464524269104E-2</v>
      </c>
      <c r="H9" s="12">
        <f t="shared" si="3"/>
        <v>-6.6599488258361816E-2</v>
      </c>
      <c r="I9" s="12">
        <f t="shared" si="7"/>
        <v>3.90625E-3</v>
      </c>
      <c r="J9" s="12">
        <f t="shared" si="8"/>
        <v>8.244023083264633E-2</v>
      </c>
    </row>
    <row r="10" spans="1:10" ht="15" x14ac:dyDescent="0.3">
      <c r="B10" s="3">
        <v>8</v>
      </c>
      <c r="C10" s="12">
        <f t="shared" si="4"/>
        <v>4.73828125</v>
      </c>
      <c r="D10" s="12">
        <f t="shared" si="5"/>
        <v>4.740234375</v>
      </c>
      <c r="E10" s="12">
        <f t="shared" si="6"/>
        <v>4.7421875</v>
      </c>
      <c r="F10" s="12">
        <f t="shared" si="1"/>
        <v>7.2961464524269104E-2</v>
      </c>
      <c r="G10" s="12">
        <f t="shared" si="2"/>
        <v>3.2615046948194504E-3</v>
      </c>
      <c r="H10" s="12">
        <f t="shared" si="3"/>
        <v>-6.6599488258361816E-2</v>
      </c>
      <c r="I10" s="12">
        <f t="shared" si="7"/>
        <v>1.953125E-3</v>
      </c>
      <c r="J10" s="12">
        <f t="shared" si="8"/>
        <v>4.1203131437989288E-2</v>
      </c>
    </row>
    <row r="11" spans="1:10" ht="15" x14ac:dyDescent="0.3">
      <c r="B11" s="3">
        <v>9</v>
      </c>
      <c r="C11" s="12">
        <f t="shared" si="4"/>
        <v>4.740234375</v>
      </c>
      <c r="D11" s="12">
        <f t="shared" si="5"/>
        <v>4.7412109375</v>
      </c>
      <c r="E11" s="12">
        <f t="shared" si="6"/>
        <v>4.7421875</v>
      </c>
      <c r="F11" s="12">
        <f t="shared" si="1"/>
        <v>3.2615046948194504E-3</v>
      </c>
      <c r="G11" s="12">
        <f t="shared" si="2"/>
        <v>-3.1648854957893491E-2</v>
      </c>
      <c r="H11" s="12">
        <f t="shared" si="3"/>
        <v>-6.6599488258361816E-2</v>
      </c>
      <c r="I11" s="12">
        <f t="shared" si="7"/>
        <v>9.765625E-4</v>
      </c>
      <c r="J11" s="12">
        <f t="shared" si="8"/>
        <v>2.0597322348094749E-2</v>
      </c>
    </row>
    <row r="12" spans="1:10" ht="15" x14ac:dyDescent="0.3">
      <c r="B12" s="3">
        <v>10</v>
      </c>
      <c r="C12" s="12">
        <f t="shared" si="4"/>
        <v>4.740234375</v>
      </c>
      <c r="D12" s="12">
        <f t="shared" si="5"/>
        <v>4.74072265625</v>
      </c>
      <c r="E12" s="12">
        <f t="shared" si="6"/>
        <v>4.7412109375</v>
      </c>
      <c r="F12" s="12">
        <f t="shared" si="1"/>
        <v>3.2615046948194504E-3</v>
      </c>
      <c r="G12" s="12">
        <f t="shared" si="2"/>
        <v>-1.4188641885994002E-2</v>
      </c>
      <c r="H12" s="12">
        <f t="shared" si="3"/>
        <v>-3.1648854957893491E-2</v>
      </c>
      <c r="I12" s="12">
        <f t="shared" si="7"/>
        <v>4.8828125E-4</v>
      </c>
      <c r="J12" s="12">
        <f t="shared" si="8"/>
        <v>1.0299721907508497E-2</v>
      </c>
    </row>
    <row r="13" spans="1:10" ht="15" x14ac:dyDescent="0.3">
      <c r="B13" s="3">
        <v>11</v>
      </c>
      <c r="C13" s="12">
        <f t="shared" si="4"/>
        <v>4.740234375</v>
      </c>
      <c r="D13" s="12">
        <f t="shared" si="5"/>
        <v>4.740478515625</v>
      </c>
      <c r="E13" s="12">
        <f t="shared" si="6"/>
        <v>4.74072265625</v>
      </c>
      <c r="F13" s="12">
        <f t="shared" si="1"/>
        <v>3.2615046948194504E-3</v>
      </c>
      <c r="G13" s="12">
        <f t="shared" si="2"/>
        <v>-5.4623104042548221E-3</v>
      </c>
      <c r="H13" s="12">
        <f t="shared" si="3"/>
        <v>-1.4188641885994002E-2</v>
      </c>
      <c r="I13" s="12">
        <f t="shared" si="7"/>
        <v>2.44140625E-4</v>
      </c>
      <c r="J13" s="12">
        <f t="shared" si="8"/>
        <v>5.1501261780913634E-3</v>
      </c>
    </row>
    <row r="14" spans="1:10" ht="15" x14ac:dyDescent="0.3">
      <c r="B14" s="3">
        <v>12</v>
      </c>
      <c r="C14" s="12">
        <f t="shared" si="4"/>
        <v>4.740234375</v>
      </c>
      <c r="D14" s="12">
        <f t="shared" si="5"/>
        <v>4.7403564453125</v>
      </c>
      <c r="E14" s="12">
        <f t="shared" si="6"/>
        <v>4.740478515625</v>
      </c>
      <c r="F14" s="12">
        <f t="shared" si="1"/>
        <v>3.2615046948194504E-3</v>
      </c>
      <c r="G14" s="12">
        <f t="shared" si="2"/>
        <v>-1.100088321891235E-3</v>
      </c>
      <c r="H14" s="12">
        <f t="shared" si="3"/>
        <v>-5.4623104042548221E-3</v>
      </c>
      <c r="I14" s="12">
        <f t="shared" si="7"/>
        <v>1.220703125E-4</v>
      </c>
      <c r="J14" s="12">
        <f t="shared" si="8"/>
        <v>2.5751294002523627E-3</v>
      </c>
    </row>
    <row r="15" spans="1:10" ht="15" x14ac:dyDescent="0.3">
      <c r="B15" s="3">
        <v>13</v>
      </c>
      <c r="C15" s="12">
        <f t="shared" ref="C15" si="9">IF(F14*G14&lt;0,C14,D14)</f>
        <v>4.740234375</v>
      </c>
      <c r="D15" s="12">
        <f t="shared" ref="D15" si="10">(C15+E15)/2</f>
        <v>4.74029541015625</v>
      </c>
      <c r="E15" s="12">
        <f t="shared" ref="E15" si="11">IF(F14*G14&lt;0,D14,E14)</f>
        <v>4.7403564453125</v>
      </c>
      <c r="F15" s="12">
        <f t="shared" ref="F15" si="12">-12-21*C15+18*C15^2-2.75*C15^3</f>
        <v>3.2615046948194504E-3</v>
      </c>
      <c r="G15" s="12">
        <f t="shared" ref="G15" si="13">-12-21*D15+18*D15^2-2.75*D15^3</f>
        <v>1.0807868177948876E-3</v>
      </c>
      <c r="H15" s="12">
        <f t="shared" ref="H15" si="14">-12-21*E15+18*E15^2-2.75*E15^3</f>
        <v>-1.100088321891235E-3</v>
      </c>
      <c r="I15" s="12">
        <f t="shared" ref="I15" si="15">ABS(D15-D14)</f>
        <v>6.103515625E-5</v>
      </c>
      <c r="J15" s="12">
        <f t="shared" ref="J15" si="16">ABS(I15/D15)*100</f>
        <v>1.2875812785682096E-3</v>
      </c>
    </row>
  </sheetData>
  <conditionalFormatting sqref="D4:D15">
    <cfRule type="expression" dxfId="10" priority="3">
      <formula>I4&lt;$I$1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878C-A7A0-42FF-84F1-BEB556D70160}">
  <dimension ref="A1:J14"/>
  <sheetViews>
    <sheetView workbookViewId="0">
      <selection sqref="A1:J13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6" width="7.6640625" bestFit="1" customWidth="1"/>
    <col min="7" max="7" width="8.5546875" bestFit="1" customWidth="1"/>
    <col min="8" max="8" width="12" bestFit="1" customWidth="1"/>
    <col min="9" max="9" width="7.6640625" bestFit="1" customWidth="1"/>
    <col min="10" max="10" width="9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/>
      <c r="J1" s="11">
        <v>2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0.5</v>
      </c>
      <c r="D3" s="12">
        <f>(C3+E3)/2</f>
        <v>0.75</v>
      </c>
      <c r="E3" s="13">
        <v>1</v>
      </c>
      <c r="F3" s="12">
        <f>SIN(C3)-C3^2</f>
        <v>0.22942553860420301</v>
      </c>
      <c r="G3" s="12">
        <f t="shared" ref="G3:H3" si="0">SIN(D3)-D3^2</f>
        <v>0.11913876002333412</v>
      </c>
      <c r="H3" s="12">
        <f t="shared" si="0"/>
        <v>-0.1585290151921035</v>
      </c>
      <c r="I3" s="12"/>
      <c r="J3" s="12"/>
    </row>
    <row r="4" spans="1:10" ht="15" x14ac:dyDescent="0.3">
      <c r="B4" s="3">
        <v>2</v>
      </c>
      <c r="C4" s="12">
        <f>IF(F3*G3&lt;0,C3,D3)</f>
        <v>0.75</v>
      </c>
      <c r="D4" s="12">
        <f t="shared" ref="D4:D14" si="1">(C4+E4)/2</f>
        <v>0.875</v>
      </c>
      <c r="E4" s="12">
        <f>IF(F3*G3&lt;0,D3,E3)</f>
        <v>1</v>
      </c>
      <c r="F4" s="12">
        <f t="shared" ref="F4:F14" si="2">SIN(C4)-C4^2</f>
        <v>0.11913876002333412</v>
      </c>
      <c r="G4" s="12">
        <f t="shared" ref="G4:G14" si="3">SIN(D4)-D4^2</f>
        <v>1.9185022360270754E-3</v>
      </c>
      <c r="H4" s="12">
        <f t="shared" ref="H4:H14" si="4">SIN(E4)-E4^2</f>
        <v>-0.1585290151921035</v>
      </c>
      <c r="I4" s="12">
        <f>ABS(D4-D3)</f>
        <v>0.125</v>
      </c>
      <c r="J4" s="12">
        <f>ABS(I4/D4)*100</f>
        <v>14.285714285714285</v>
      </c>
    </row>
    <row r="5" spans="1:10" ht="15" x14ac:dyDescent="0.3">
      <c r="B5" s="3">
        <v>3</v>
      </c>
      <c r="C5" s="12">
        <f t="shared" ref="C5:C14" si="5">IF(F4*G4&lt;0,C4,D4)</f>
        <v>0.875</v>
      </c>
      <c r="D5" s="12">
        <f t="shared" si="1"/>
        <v>0.9375</v>
      </c>
      <c r="E5" s="12">
        <f t="shared" ref="E5:E14" si="6">IF(F4*G4&lt;0,D4,E4)</f>
        <v>1</v>
      </c>
      <c r="F5" s="12">
        <f t="shared" si="2"/>
        <v>1.9185022360270754E-3</v>
      </c>
      <c r="G5" s="12">
        <f t="shared" si="3"/>
        <v>-7.2825141739306987E-2</v>
      </c>
      <c r="H5" s="12">
        <f t="shared" si="4"/>
        <v>-0.1585290151921035</v>
      </c>
      <c r="I5" s="12">
        <f t="shared" ref="I5:I14" si="7">ABS(D5-D4)</f>
        <v>6.25E-2</v>
      </c>
      <c r="J5" s="12">
        <f t="shared" ref="J5:J14" si="8">ABS(I5/D5)*100</f>
        <v>6.666666666666667</v>
      </c>
    </row>
    <row r="6" spans="1:10" ht="15" x14ac:dyDescent="0.3">
      <c r="B6" s="3">
        <v>4</v>
      </c>
      <c r="C6" s="12">
        <f t="shared" si="5"/>
        <v>0.875</v>
      </c>
      <c r="D6" s="12">
        <f t="shared" si="1"/>
        <v>0.90625</v>
      </c>
      <c r="E6" s="12">
        <f t="shared" si="6"/>
        <v>0.9375</v>
      </c>
      <c r="F6" s="12">
        <f t="shared" si="2"/>
        <v>1.9185022360270754E-3</v>
      </c>
      <c r="G6" s="12">
        <f t="shared" si="3"/>
        <v>-3.409241516805106E-2</v>
      </c>
      <c r="H6" s="12">
        <f t="shared" si="4"/>
        <v>-7.2825141739306987E-2</v>
      </c>
      <c r="I6" s="12">
        <f t="shared" si="7"/>
        <v>3.125E-2</v>
      </c>
      <c r="J6" s="12">
        <f t="shared" si="8"/>
        <v>3.4482758620689653</v>
      </c>
    </row>
    <row r="7" spans="1:10" ht="15" x14ac:dyDescent="0.3">
      <c r="B7" s="3">
        <v>5</v>
      </c>
      <c r="C7" s="12">
        <f t="shared" si="5"/>
        <v>0.875</v>
      </c>
      <c r="D7" s="12">
        <f t="shared" si="1"/>
        <v>0.890625</v>
      </c>
      <c r="E7" s="12">
        <f t="shared" si="6"/>
        <v>0.90625</v>
      </c>
      <c r="F7" s="12">
        <f t="shared" si="2"/>
        <v>1.9185022360270754E-3</v>
      </c>
      <c r="G7" s="12">
        <f t="shared" si="3"/>
        <v>-1.5747912378999196E-2</v>
      </c>
      <c r="H7" s="12">
        <f t="shared" si="4"/>
        <v>-3.409241516805106E-2</v>
      </c>
      <c r="I7" s="12">
        <f t="shared" si="7"/>
        <v>1.5625E-2</v>
      </c>
      <c r="J7" s="12">
        <f t="shared" si="8"/>
        <v>1.7543859649122806</v>
      </c>
    </row>
    <row r="8" spans="1:10" ht="15" x14ac:dyDescent="0.3">
      <c r="B8" s="3">
        <v>6</v>
      </c>
      <c r="C8" s="12">
        <f t="shared" si="5"/>
        <v>0.875</v>
      </c>
      <c r="D8" s="12">
        <f t="shared" si="1"/>
        <v>0.8828125</v>
      </c>
      <c r="E8" s="12">
        <f t="shared" si="6"/>
        <v>0.890625</v>
      </c>
      <c r="F8" s="12">
        <f t="shared" si="2"/>
        <v>1.9185022360270754E-3</v>
      </c>
      <c r="G8" s="12">
        <f t="shared" si="3"/>
        <v>-6.8300943571755202E-3</v>
      </c>
      <c r="H8" s="12">
        <f t="shared" si="4"/>
        <v>-1.5747912378999196E-2</v>
      </c>
      <c r="I8" s="12">
        <f t="shared" si="7"/>
        <v>7.8125E-3</v>
      </c>
      <c r="J8" s="12">
        <f t="shared" si="8"/>
        <v>0.88495575221238942</v>
      </c>
    </row>
    <row r="9" spans="1:10" ht="15" x14ac:dyDescent="0.3">
      <c r="B9" s="3">
        <v>7</v>
      </c>
      <c r="C9" s="12">
        <f t="shared" si="5"/>
        <v>0.875</v>
      </c>
      <c r="D9" s="12">
        <f t="shared" si="1"/>
        <v>0.87890625</v>
      </c>
      <c r="E9" s="12">
        <f t="shared" si="6"/>
        <v>0.8828125</v>
      </c>
      <c r="F9" s="12">
        <f t="shared" si="2"/>
        <v>1.9185022360270754E-3</v>
      </c>
      <c r="G9" s="12">
        <f t="shared" si="3"/>
        <v>-2.43466232831413E-3</v>
      </c>
      <c r="H9" s="12">
        <f t="shared" si="4"/>
        <v>-6.8300943571755202E-3</v>
      </c>
      <c r="I9" s="12">
        <f t="shared" si="7"/>
        <v>3.90625E-3</v>
      </c>
      <c r="J9" s="12">
        <f t="shared" si="8"/>
        <v>0.44444444444444442</v>
      </c>
    </row>
    <row r="10" spans="1:10" ht="15" x14ac:dyDescent="0.3">
      <c r="B10" s="3">
        <v>8</v>
      </c>
      <c r="C10" s="12">
        <f t="shared" si="5"/>
        <v>0.875</v>
      </c>
      <c r="D10" s="12">
        <f t="shared" si="1"/>
        <v>0.876953125</v>
      </c>
      <c r="E10" s="12">
        <f t="shared" si="6"/>
        <v>0.87890625</v>
      </c>
      <c r="F10" s="12">
        <f t="shared" si="2"/>
        <v>1.9185022360270754E-3</v>
      </c>
      <c r="G10" s="12">
        <f t="shared" si="3"/>
        <v>-2.5279899118890725E-4</v>
      </c>
      <c r="H10" s="12">
        <f t="shared" si="4"/>
        <v>-2.43466232831413E-3</v>
      </c>
      <c r="I10" s="12">
        <f t="shared" si="7"/>
        <v>1.953125E-3</v>
      </c>
      <c r="J10" s="12">
        <f t="shared" si="8"/>
        <v>0.22271714922048996</v>
      </c>
    </row>
    <row r="11" spans="1:10" ht="15" x14ac:dyDescent="0.3">
      <c r="B11" s="3">
        <v>9</v>
      </c>
      <c r="C11" s="12">
        <f t="shared" si="5"/>
        <v>0.875</v>
      </c>
      <c r="D11" s="12">
        <f t="shared" si="1"/>
        <v>0.8759765625</v>
      </c>
      <c r="E11" s="12">
        <f t="shared" si="6"/>
        <v>0.876953125</v>
      </c>
      <c r="F11" s="12">
        <f t="shared" si="2"/>
        <v>1.9185022360270754E-3</v>
      </c>
      <c r="G11" s="12">
        <f t="shared" si="3"/>
        <v>8.3417158828158477E-4</v>
      </c>
      <c r="H11" s="12">
        <f t="shared" si="4"/>
        <v>-2.5279899118890725E-4</v>
      </c>
      <c r="I11" s="12">
        <f t="shared" si="7"/>
        <v>9.765625E-4</v>
      </c>
      <c r="J11" s="12">
        <f t="shared" si="8"/>
        <v>0.11148272017837235</v>
      </c>
    </row>
    <row r="12" spans="1:10" ht="15" x14ac:dyDescent="0.3">
      <c r="B12" s="3">
        <v>10</v>
      </c>
      <c r="C12" s="12">
        <f t="shared" si="5"/>
        <v>0.8759765625</v>
      </c>
      <c r="D12" s="12">
        <f t="shared" si="1"/>
        <v>0.87646484375</v>
      </c>
      <c r="E12" s="12">
        <f t="shared" si="6"/>
        <v>0.876953125</v>
      </c>
      <c r="F12" s="12">
        <f t="shared" si="2"/>
        <v>8.3417158828158477E-4</v>
      </c>
      <c r="G12" s="12">
        <f t="shared" si="3"/>
        <v>2.9101632727379645E-4</v>
      </c>
      <c r="H12" s="12">
        <f t="shared" si="4"/>
        <v>-2.5279899118890725E-4</v>
      </c>
      <c r="I12" s="12">
        <f t="shared" si="7"/>
        <v>4.8828125E-4</v>
      </c>
      <c r="J12" s="12">
        <f t="shared" si="8"/>
        <v>5.5710306406685242E-2</v>
      </c>
    </row>
    <row r="13" spans="1:10" ht="15" x14ac:dyDescent="0.3">
      <c r="B13" s="3">
        <v>11</v>
      </c>
      <c r="C13" s="12">
        <f t="shared" si="5"/>
        <v>0.87646484375</v>
      </c>
      <c r="D13" s="12">
        <f t="shared" si="1"/>
        <v>0.876708984375</v>
      </c>
      <c r="E13" s="12">
        <f t="shared" si="6"/>
        <v>0.876953125</v>
      </c>
      <c r="F13" s="12">
        <f t="shared" si="2"/>
        <v>2.9101632727379645E-4</v>
      </c>
      <c r="G13" s="12">
        <f t="shared" si="3"/>
        <v>1.9191179879696207E-5</v>
      </c>
      <c r="H13" s="12">
        <f t="shared" si="4"/>
        <v>-2.5279899118890725E-4</v>
      </c>
      <c r="I13" s="12">
        <f t="shared" si="7"/>
        <v>2.44140625E-4</v>
      </c>
      <c r="J13" s="12">
        <f t="shared" si="8"/>
        <v>2.7847396268448898E-2</v>
      </c>
    </row>
    <row r="14" spans="1:10" ht="15" x14ac:dyDescent="0.3">
      <c r="B14" s="3">
        <v>12</v>
      </c>
      <c r="C14" s="12">
        <f t="shared" si="5"/>
        <v>0.876708984375</v>
      </c>
      <c r="D14" s="12">
        <f t="shared" si="1"/>
        <v>0.8768310546875</v>
      </c>
      <c r="E14" s="12">
        <f t="shared" si="6"/>
        <v>0.876953125</v>
      </c>
      <c r="F14" s="12">
        <f t="shared" si="2"/>
        <v>1.9191179879696207E-5</v>
      </c>
      <c r="G14" s="12">
        <f t="shared" si="3"/>
        <v>-1.16783277113508E-4</v>
      </c>
      <c r="H14" s="12">
        <f t="shared" si="4"/>
        <v>-2.5279899118890725E-4</v>
      </c>
      <c r="I14" s="12">
        <f t="shared" si="7"/>
        <v>1.220703125E-4</v>
      </c>
      <c r="J14" s="12">
        <f t="shared" si="8"/>
        <v>1.3921759710427398E-2</v>
      </c>
    </row>
  </sheetData>
  <conditionalFormatting sqref="D4:D14">
    <cfRule type="expression" dxfId="9" priority="1">
      <formula>J4&lt;$J$1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2DAB-E02B-4CA8-A5F8-40D68D6026F6}">
  <dimension ref="A1:J15"/>
  <sheetViews>
    <sheetView workbookViewId="0">
      <selection sqref="A1:J15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5" width="7.6640625" bestFit="1" customWidth="1"/>
    <col min="6" max="7" width="8.5546875" bestFit="1" customWidth="1"/>
    <col min="8" max="8" width="12" bestFit="1" customWidth="1"/>
    <col min="9" max="9" width="7.6640625" bestFit="1" customWidth="1"/>
    <col min="10" max="10" width="9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>
        <v>1E-3</v>
      </c>
      <c r="J1" s="11"/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1</v>
      </c>
      <c r="D3" s="12">
        <f>(C3+E3)/2</f>
        <v>1.5</v>
      </c>
      <c r="E3" s="13">
        <v>2</v>
      </c>
      <c r="F3" s="12">
        <f>LN(C3^2)-0.7</f>
        <v>-0.7</v>
      </c>
      <c r="G3" s="12">
        <f t="shared" ref="G3:H3" si="0">LN(D3^2)-0.7</f>
        <v>0.11093021621632881</v>
      </c>
      <c r="H3" s="12">
        <f t="shared" si="0"/>
        <v>0.68629436111989062</v>
      </c>
      <c r="I3" s="12"/>
      <c r="J3" s="12"/>
    </row>
    <row r="4" spans="1:10" ht="15" x14ac:dyDescent="0.3">
      <c r="B4" s="3">
        <v>2</v>
      </c>
      <c r="C4" s="12">
        <f>IF(F3*G3&lt;0,C3,D3)</f>
        <v>1</v>
      </c>
      <c r="D4" s="12">
        <f t="shared" ref="D4:D14" si="1">(C4+E4)/2</f>
        <v>1.25</v>
      </c>
      <c r="E4" s="12">
        <f>IF(F3*G3&lt;0,D3,E3)</f>
        <v>1.5</v>
      </c>
      <c r="F4" s="12">
        <f t="shared" ref="F4:F14" si="2">LN(C4^2)-0.7</f>
        <v>-0.7</v>
      </c>
      <c r="G4" s="12">
        <f t="shared" ref="G4:G14" si="3">LN(D4^2)-0.7</f>
        <v>-0.25371289737158043</v>
      </c>
      <c r="H4" s="12">
        <f t="shared" ref="H4:H14" si="4">LN(E4^2)-0.7</f>
        <v>0.11093021621632881</v>
      </c>
      <c r="I4" s="12">
        <f>ABS(D4-D3)</f>
        <v>0.25</v>
      </c>
      <c r="J4" s="12">
        <f>ABS(I4/D4)*100</f>
        <v>20</v>
      </c>
    </row>
    <row r="5" spans="1:10" ht="15" x14ac:dyDescent="0.3">
      <c r="B5" s="3">
        <v>3</v>
      </c>
      <c r="C5" s="12">
        <f t="shared" ref="C5:C14" si="5">IF(F4*G4&lt;0,C4,D4)</f>
        <v>1.25</v>
      </c>
      <c r="D5" s="12">
        <f t="shared" si="1"/>
        <v>1.375</v>
      </c>
      <c r="E5" s="12">
        <f t="shared" ref="E5:E14" si="6">IF(F4*G4&lt;0,D4,E4)</f>
        <v>1.5</v>
      </c>
      <c r="F5" s="12">
        <f t="shared" si="2"/>
        <v>-0.25371289737158043</v>
      </c>
      <c r="G5" s="12">
        <f t="shared" si="3"/>
        <v>-6.3092537762930778E-2</v>
      </c>
      <c r="H5" s="12">
        <f t="shared" si="4"/>
        <v>0.11093021621632881</v>
      </c>
      <c r="I5" s="12">
        <f t="shared" ref="I5:I14" si="7">ABS(D5-D4)</f>
        <v>0.125</v>
      </c>
      <c r="J5" s="12">
        <f t="shared" ref="J5:J14" si="8">ABS(I5/D5)*100</f>
        <v>9.0909090909090917</v>
      </c>
    </row>
    <row r="6" spans="1:10" ht="15" x14ac:dyDescent="0.3">
      <c r="B6" s="3">
        <v>4</v>
      </c>
      <c r="C6" s="12">
        <f t="shared" si="5"/>
        <v>1.375</v>
      </c>
      <c r="D6" s="12">
        <f t="shared" si="1"/>
        <v>1.4375</v>
      </c>
      <c r="E6" s="12">
        <f t="shared" si="6"/>
        <v>1.5</v>
      </c>
      <c r="F6" s="12">
        <f t="shared" si="2"/>
        <v>-6.3092537762930778E-2</v>
      </c>
      <c r="G6" s="12">
        <f t="shared" si="3"/>
        <v>2.5810987378736994E-2</v>
      </c>
      <c r="H6" s="12">
        <f t="shared" si="4"/>
        <v>0.11093021621632881</v>
      </c>
      <c r="I6" s="12">
        <f t="shared" si="7"/>
        <v>6.25E-2</v>
      </c>
      <c r="J6" s="12">
        <f t="shared" si="8"/>
        <v>4.3478260869565215</v>
      </c>
    </row>
    <row r="7" spans="1:10" ht="15" x14ac:dyDescent="0.3">
      <c r="B7" s="3">
        <v>5</v>
      </c>
      <c r="C7" s="12">
        <f t="shared" si="5"/>
        <v>1.375</v>
      </c>
      <c r="D7" s="12">
        <f t="shared" si="1"/>
        <v>1.40625</v>
      </c>
      <c r="E7" s="12">
        <f t="shared" si="6"/>
        <v>1.4375</v>
      </c>
      <c r="F7" s="12">
        <f t="shared" si="2"/>
        <v>-6.3092537762930778E-2</v>
      </c>
      <c r="G7" s="12">
        <f t="shared" si="3"/>
        <v>-1.814682605881357E-2</v>
      </c>
      <c r="H7" s="12">
        <f t="shared" si="4"/>
        <v>2.5810987378736994E-2</v>
      </c>
      <c r="I7" s="12">
        <f t="shared" si="7"/>
        <v>3.125E-2</v>
      </c>
      <c r="J7" s="12">
        <f t="shared" si="8"/>
        <v>2.2222222222222223</v>
      </c>
    </row>
    <row r="8" spans="1:10" ht="15" x14ac:dyDescent="0.3">
      <c r="B8" s="3">
        <v>6</v>
      </c>
      <c r="C8" s="12">
        <f t="shared" si="5"/>
        <v>1.40625</v>
      </c>
      <c r="D8" s="12">
        <f t="shared" si="1"/>
        <v>1.421875</v>
      </c>
      <c r="E8" s="12">
        <f t="shared" si="6"/>
        <v>1.4375</v>
      </c>
      <c r="F8" s="12">
        <f t="shared" si="2"/>
        <v>-1.814682605881357E-2</v>
      </c>
      <c r="G8" s="12">
        <f t="shared" si="3"/>
        <v>3.9528463143564396E-3</v>
      </c>
      <c r="H8" s="12">
        <f t="shared" si="4"/>
        <v>2.5810987378736994E-2</v>
      </c>
      <c r="I8" s="12">
        <f t="shared" si="7"/>
        <v>1.5625E-2</v>
      </c>
      <c r="J8" s="12">
        <f t="shared" si="8"/>
        <v>1.098901098901099</v>
      </c>
    </row>
    <row r="9" spans="1:10" ht="15" x14ac:dyDescent="0.3">
      <c r="B9" s="3">
        <v>7</v>
      </c>
      <c r="C9" s="12">
        <f t="shared" si="5"/>
        <v>1.40625</v>
      </c>
      <c r="D9" s="12">
        <f t="shared" si="1"/>
        <v>1.4140625</v>
      </c>
      <c r="E9" s="12">
        <f t="shared" si="6"/>
        <v>1.421875</v>
      </c>
      <c r="F9" s="12">
        <f t="shared" si="2"/>
        <v>-1.814682605881357E-2</v>
      </c>
      <c r="G9" s="12">
        <f t="shared" si="3"/>
        <v>-7.0664653075828143E-3</v>
      </c>
      <c r="H9" s="12">
        <f t="shared" si="4"/>
        <v>3.9528463143564396E-3</v>
      </c>
      <c r="I9" s="12">
        <f t="shared" si="7"/>
        <v>7.8125E-3</v>
      </c>
      <c r="J9" s="12">
        <f t="shared" si="8"/>
        <v>0.55248618784530379</v>
      </c>
    </row>
    <row r="10" spans="1:10" ht="15" x14ac:dyDescent="0.3">
      <c r="B10" s="3">
        <v>8</v>
      </c>
      <c r="C10" s="12">
        <f t="shared" si="5"/>
        <v>1.4140625</v>
      </c>
      <c r="D10" s="12">
        <f t="shared" si="1"/>
        <v>1.41796875</v>
      </c>
      <c r="E10" s="12">
        <f t="shared" si="6"/>
        <v>1.421875</v>
      </c>
      <c r="F10" s="12">
        <f t="shared" si="2"/>
        <v>-7.0664653075828143E-3</v>
      </c>
      <c r="G10" s="12">
        <f t="shared" si="3"/>
        <v>-1.5492204294232925E-3</v>
      </c>
      <c r="H10" s="12">
        <f t="shared" si="4"/>
        <v>3.9528463143564396E-3</v>
      </c>
      <c r="I10" s="12">
        <f t="shared" si="7"/>
        <v>3.90625E-3</v>
      </c>
      <c r="J10" s="12">
        <f t="shared" si="8"/>
        <v>0.27548209366391185</v>
      </c>
    </row>
    <row r="11" spans="1:10" ht="15" x14ac:dyDescent="0.3">
      <c r="B11" s="3">
        <v>9</v>
      </c>
      <c r="C11" s="12">
        <f t="shared" si="5"/>
        <v>1.41796875</v>
      </c>
      <c r="D11" s="12">
        <f t="shared" si="1"/>
        <v>1.419921875</v>
      </c>
      <c r="E11" s="12">
        <f t="shared" si="6"/>
        <v>1.421875</v>
      </c>
      <c r="F11" s="12">
        <f t="shared" si="2"/>
        <v>-1.5492204294232925E-3</v>
      </c>
      <c r="G11" s="12">
        <f t="shared" si="3"/>
        <v>1.2037049880232464E-3</v>
      </c>
      <c r="H11" s="12">
        <f t="shared" si="4"/>
        <v>3.9528463143564396E-3</v>
      </c>
      <c r="I11" s="12">
        <f t="shared" si="7"/>
        <v>1.953125E-3</v>
      </c>
      <c r="J11" s="12">
        <f t="shared" si="8"/>
        <v>0.13755158184319119</v>
      </c>
    </row>
    <row r="12" spans="1:10" ht="15" x14ac:dyDescent="0.3">
      <c r="B12" s="3">
        <v>10</v>
      </c>
      <c r="C12" s="12">
        <f t="shared" si="5"/>
        <v>1.41796875</v>
      </c>
      <c r="D12" s="12">
        <f t="shared" si="1"/>
        <v>1.4189453125</v>
      </c>
      <c r="E12" s="12">
        <f t="shared" si="6"/>
        <v>1.419921875</v>
      </c>
      <c r="F12" s="12">
        <f t="shared" si="2"/>
        <v>-1.5492204294232925E-3</v>
      </c>
      <c r="G12" s="12">
        <f t="shared" si="3"/>
        <v>-1.722840583403551E-4</v>
      </c>
      <c r="H12" s="12">
        <f t="shared" si="4"/>
        <v>1.2037049880232464E-3</v>
      </c>
      <c r="I12" s="12">
        <f t="shared" si="7"/>
        <v>9.765625E-4</v>
      </c>
      <c r="J12" s="12">
        <f t="shared" si="8"/>
        <v>6.8823124569855468E-2</v>
      </c>
    </row>
    <row r="13" spans="1:10" ht="15" x14ac:dyDescent="0.3">
      <c r="B13" s="3">
        <v>11</v>
      </c>
      <c r="C13" s="12">
        <f t="shared" si="5"/>
        <v>1.4189453125</v>
      </c>
      <c r="D13" s="12">
        <f t="shared" si="1"/>
        <v>1.41943359375</v>
      </c>
      <c r="E13" s="12">
        <f t="shared" si="6"/>
        <v>1.419921875</v>
      </c>
      <c r="F13" s="12">
        <f t="shared" si="2"/>
        <v>-1.722840583403551E-4</v>
      </c>
      <c r="G13" s="12">
        <f t="shared" si="3"/>
        <v>5.1582879895506473E-4</v>
      </c>
      <c r="H13" s="12">
        <f t="shared" si="4"/>
        <v>1.2037049880232464E-3</v>
      </c>
      <c r="I13" s="12">
        <f t="shared" si="7"/>
        <v>4.8828125E-4</v>
      </c>
      <c r="J13" s="12">
        <f t="shared" si="8"/>
        <v>3.4399724802201583E-2</v>
      </c>
    </row>
    <row r="14" spans="1:10" ht="15" x14ac:dyDescent="0.3">
      <c r="B14" s="3">
        <v>12</v>
      </c>
      <c r="C14" s="12">
        <f t="shared" si="5"/>
        <v>1.4189453125</v>
      </c>
      <c r="D14" s="12">
        <f t="shared" si="1"/>
        <v>1.419189453125</v>
      </c>
      <c r="E14" s="12">
        <f t="shared" si="6"/>
        <v>1.41943359375</v>
      </c>
      <c r="F14" s="12">
        <f t="shared" si="2"/>
        <v>-1.722840583403551E-4</v>
      </c>
      <c r="G14" s="12">
        <f t="shared" si="3"/>
        <v>1.7180196401378467E-4</v>
      </c>
      <c r="H14" s="12">
        <f t="shared" si="4"/>
        <v>5.1582879895506473E-4</v>
      </c>
      <c r="I14" s="12">
        <f t="shared" si="7"/>
        <v>2.44140625E-4</v>
      </c>
      <c r="J14" s="12">
        <f t="shared" si="8"/>
        <v>1.7202821262687081E-2</v>
      </c>
    </row>
    <row r="15" spans="1:10" ht="15" x14ac:dyDescent="0.3">
      <c r="B15" s="3">
        <v>13</v>
      </c>
      <c r="C15" s="12">
        <f t="shared" ref="C15" si="9">IF(F14*G14&lt;0,C14,D14)</f>
        <v>1.4189453125</v>
      </c>
      <c r="D15" s="12">
        <f t="shared" ref="D15" si="10">(C15+E15)/2</f>
        <v>1.4190673828125</v>
      </c>
      <c r="E15" s="12">
        <f t="shared" ref="E15" si="11">IF(F14*G14&lt;0,D14,E14)</f>
        <v>1.419189453125</v>
      </c>
      <c r="F15" s="12">
        <f t="shared" ref="F15" si="12">LN(C15^2)-0.7</f>
        <v>-1.722840583403551E-4</v>
      </c>
      <c r="G15" s="12">
        <f t="shared" ref="G15" si="13">LN(D15^2)-0.7</f>
        <v>-2.336474639319519E-7</v>
      </c>
      <c r="H15" s="12">
        <f t="shared" ref="H15" si="14">LN(E15^2)-0.7</f>
        <v>1.7180196401378467E-4</v>
      </c>
      <c r="I15" s="12">
        <f t="shared" ref="I15" si="15">ABS(D15-D14)</f>
        <v>1.220703125E-4</v>
      </c>
      <c r="J15" s="12">
        <f t="shared" ref="J15" si="16">ABS(I15/D15)*100</f>
        <v>8.6021505376344086E-3</v>
      </c>
    </row>
  </sheetData>
  <conditionalFormatting sqref="D4:D15">
    <cfRule type="expression" dxfId="8" priority="1">
      <formula>I4&lt;$I$1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3CFB-AD07-4D7A-BF36-2F106E58BC6E}">
  <dimension ref="A1:J14"/>
  <sheetViews>
    <sheetView workbookViewId="0">
      <selection sqref="A1:J14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6" width="7.6640625" bestFit="1" customWidth="1"/>
    <col min="7" max="7" width="8.5546875" bestFit="1" customWidth="1"/>
    <col min="8" max="8" width="12" bestFit="1" customWidth="1"/>
    <col min="9" max="10" width="7.6640625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/>
      <c r="J1" s="11">
        <v>0.05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2</v>
      </c>
      <c r="D3" s="12">
        <f>(C3+E3)/2</f>
        <v>2.5</v>
      </c>
      <c r="E3" s="13">
        <v>3</v>
      </c>
      <c r="F3" s="12">
        <f>(0.8-0.3*C3)/C3</f>
        <v>0.10000000000000003</v>
      </c>
      <c r="G3" s="12">
        <f t="shared" ref="G3:H3" si="0">(0.8-0.3*D3)/D3</f>
        <v>2.0000000000000018E-2</v>
      </c>
      <c r="H3" s="12">
        <f t="shared" si="0"/>
        <v>-3.3333333333333291E-2</v>
      </c>
      <c r="I3" s="12"/>
      <c r="J3" s="12"/>
    </row>
    <row r="4" spans="1:10" ht="15" x14ac:dyDescent="0.3">
      <c r="B4" s="3">
        <v>2</v>
      </c>
      <c r="C4" s="12">
        <f>IF(F3*G3&lt;0,C3,D3)</f>
        <v>2.5</v>
      </c>
      <c r="D4" s="12">
        <f>(C4+E4)/2</f>
        <v>2.75</v>
      </c>
      <c r="E4" s="12">
        <f>IF(F3*G3&lt;0,D3,E3)</f>
        <v>3</v>
      </c>
      <c r="F4" s="12">
        <f t="shared" ref="F4:F14" si="1">(0.8-0.3*C4)/C4</f>
        <v>2.0000000000000018E-2</v>
      </c>
      <c r="G4" s="12">
        <f t="shared" ref="G4:G14" si="2">(0.8-0.3*D4)/D4</f>
        <v>-9.0909090909090592E-3</v>
      </c>
      <c r="H4" s="12">
        <f t="shared" ref="H4:H14" si="3">(0.8-0.3*E4)/E4</f>
        <v>-3.3333333333333291E-2</v>
      </c>
      <c r="I4" s="12">
        <f>ABS(D4-D3)</f>
        <v>0.25</v>
      </c>
      <c r="J4" s="12">
        <f>ABS(I4/D4)*100</f>
        <v>9.0909090909090917</v>
      </c>
    </row>
    <row r="5" spans="1:10" ht="15" x14ac:dyDescent="0.3">
      <c r="B5" s="3">
        <v>3</v>
      </c>
      <c r="C5" s="12">
        <f t="shared" ref="C5:C14" si="4">IF(F4*G4&lt;0,C4,D4)</f>
        <v>2.5</v>
      </c>
      <c r="D5" s="12">
        <f t="shared" ref="D5:D14" si="5">(C5+E5)/2</f>
        <v>2.625</v>
      </c>
      <c r="E5" s="12">
        <f t="shared" ref="E5:E14" si="6">IF(F4*G4&lt;0,D4,E4)</f>
        <v>2.75</v>
      </c>
      <c r="F5" s="12">
        <f t="shared" si="1"/>
        <v>2.0000000000000018E-2</v>
      </c>
      <c r="G5" s="12">
        <f t="shared" si="2"/>
        <v>4.7619047619047875E-3</v>
      </c>
      <c r="H5" s="12">
        <f t="shared" si="3"/>
        <v>-9.0909090909090592E-3</v>
      </c>
      <c r="I5" s="12">
        <f t="shared" ref="I5:I14" si="7">ABS(D5-D4)</f>
        <v>0.125</v>
      </c>
      <c r="J5" s="12">
        <f t="shared" ref="J5:J14" si="8">ABS(I5/D5)*100</f>
        <v>4.7619047619047619</v>
      </c>
    </row>
    <row r="6" spans="1:10" ht="15" x14ac:dyDescent="0.3">
      <c r="B6" s="3">
        <v>4</v>
      </c>
      <c r="C6" s="12">
        <f t="shared" si="4"/>
        <v>2.625</v>
      </c>
      <c r="D6" s="12">
        <f t="shared" si="5"/>
        <v>2.6875</v>
      </c>
      <c r="E6" s="12">
        <f t="shared" si="6"/>
        <v>2.75</v>
      </c>
      <c r="F6" s="12">
        <f t="shared" si="1"/>
        <v>4.7619047619047875E-3</v>
      </c>
      <c r="G6" s="12">
        <f t="shared" si="2"/>
        <v>-2.3255813953488289E-3</v>
      </c>
      <c r="H6" s="12">
        <f t="shared" si="3"/>
        <v>-9.0909090909090592E-3</v>
      </c>
      <c r="I6" s="12">
        <f t="shared" si="7"/>
        <v>6.25E-2</v>
      </c>
      <c r="J6" s="12">
        <f t="shared" si="8"/>
        <v>2.3255813953488373</v>
      </c>
    </row>
    <row r="7" spans="1:10" ht="15" x14ac:dyDescent="0.3">
      <c r="B7" s="3">
        <v>5</v>
      </c>
      <c r="C7" s="12">
        <f t="shared" si="4"/>
        <v>2.625</v>
      </c>
      <c r="D7" s="12">
        <f t="shared" si="5"/>
        <v>2.65625</v>
      </c>
      <c r="E7" s="12">
        <f t="shared" si="6"/>
        <v>2.6875</v>
      </c>
      <c r="F7" s="12">
        <f t="shared" si="1"/>
        <v>4.7619047619047875E-3</v>
      </c>
      <c r="G7" s="12">
        <f t="shared" si="2"/>
        <v>1.1764705882353109E-3</v>
      </c>
      <c r="H7" s="12">
        <f t="shared" si="3"/>
        <v>-2.3255813953488289E-3</v>
      </c>
      <c r="I7" s="12">
        <f t="shared" si="7"/>
        <v>3.125E-2</v>
      </c>
      <c r="J7" s="12">
        <f t="shared" si="8"/>
        <v>1.1764705882352942</v>
      </c>
    </row>
    <row r="8" spans="1:10" ht="15" x14ac:dyDescent="0.3">
      <c r="B8" s="3">
        <v>6</v>
      </c>
      <c r="C8" s="12">
        <f t="shared" si="4"/>
        <v>2.65625</v>
      </c>
      <c r="D8" s="12">
        <f t="shared" si="5"/>
        <v>2.671875</v>
      </c>
      <c r="E8" s="12">
        <f t="shared" si="6"/>
        <v>2.6875</v>
      </c>
      <c r="F8" s="12">
        <f t="shared" si="1"/>
        <v>1.1764705882353109E-3</v>
      </c>
      <c r="G8" s="12">
        <f t="shared" si="2"/>
        <v>-5.8479532163739363E-4</v>
      </c>
      <c r="H8" s="12">
        <f t="shared" si="3"/>
        <v>-2.3255813953488289E-3</v>
      </c>
      <c r="I8" s="12">
        <f t="shared" si="7"/>
        <v>1.5625E-2</v>
      </c>
      <c r="J8" s="12">
        <f t="shared" si="8"/>
        <v>0.58479532163742687</v>
      </c>
    </row>
    <row r="9" spans="1:10" ht="15" x14ac:dyDescent="0.3">
      <c r="B9" s="3">
        <v>7</v>
      </c>
      <c r="C9" s="12">
        <f t="shared" si="4"/>
        <v>2.65625</v>
      </c>
      <c r="D9" s="12">
        <f t="shared" si="5"/>
        <v>2.6640625</v>
      </c>
      <c r="E9" s="12">
        <f t="shared" si="6"/>
        <v>2.671875</v>
      </c>
      <c r="F9" s="12">
        <f t="shared" si="1"/>
        <v>1.1764705882353109E-3</v>
      </c>
      <c r="G9" s="12">
        <f t="shared" si="2"/>
        <v>2.9325513196483437E-4</v>
      </c>
      <c r="H9" s="12">
        <f t="shared" si="3"/>
        <v>-5.8479532163739363E-4</v>
      </c>
      <c r="I9" s="12">
        <f t="shared" si="7"/>
        <v>7.8125E-3</v>
      </c>
      <c r="J9" s="12">
        <f t="shared" si="8"/>
        <v>0.2932551319648094</v>
      </c>
    </row>
    <row r="10" spans="1:10" ht="15" x14ac:dyDescent="0.3">
      <c r="B10" s="3">
        <v>8</v>
      </c>
      <c r="C10" s="12">
        <f t="shared" si="4"/>
        <v>2.6640625</v>
      </c>
      <c r="D10" s="12">
        <f t="shared" si="5"/>
        <v>2.66796875</v>
      </c>
      <c r="E10" s="12">
        <f t="shared" si="6"/>
        <v>2.671875</v>
      </c>
      <c r="F10" s="12">
        <f t="shared" si="1"/>
        <v>2.9325513196483437E-4</v>
      </c>
      <c r="G10" s="12">
        <f t="shared" si="2"/>
        <v>-1.4641288433381305E-4</v>
      </c>
      <c r="H10" s="12">
        <f t="shared" si="3"/>
        <v>-5.8479532163739363E-4</v>
      </c>
      <c r="I10" s="12">
        <f t="shared" si="7"/>
        <v>3.90625E-3</v>
      </c>
      <c r="J10" s="12">
        <f t="shared" si="8"/>
        <v>0.14641288433382138</v>
      </c>
    </row>
    <row r="11" spans="1:10" ht="15" x14ac:dyDescent="0.3">
      <c r="B11" s="3">
        <v>9</v>
      </c>
      <c r="C11" s="12">
        <f t="shared" si="4"/>
        <v>2.6640625</v>
      </c>
      <c r="D11" s="12">
        <f t="shared" si="5"/>
        <v>2.666015625</v>
      </c>
      <c r="E11" s="12">
        <f t="shared" si="6"/>
        <v>2.66796875</v>
      </c>
      <c r="F11" s="12">
        <f t="shared" si="1"/>
        <v>2.9325513196483437E-4</v>
      </c>
      <c r="G11" s="12">
        <f t="shared" si="2"/>
        <v>7.3260073260089916E-5</v>
      </c>
      <c r="H11" s="12">
        <f t="shared" si="3"/>
        <v>-1.4641288433381305E-4</v>
      </c>
      <c r="I11" s="12">
        <f t="shared" si="7"/>
        <v>1.953125E-3</v>
      </c>
      <c r="J11" s="12">
        <f t="shared" si="8"/>
        <v>7.3260073260073263E-2</v>
      </c>
    </row>
    <row r="12" spans="1:10" ht="15" x14ac:dyDescent="0.3">
      <c r="B12" s="3">
        <v>10</v>
      </c>
      <c r="C12" s="12">
        <f t="shared" si="4"/>
        <v>2.666015625</v>
      </c>
      <c r="D12" s="12">
        <f t="shared" si="5"/>
        <v>2.6669921875</v>
      </c>
      <c r="E12" s="12">
        <f t="shared" si="6"/>
        <v>2.66796875</v>
      </c>
      <c r="F12" s="12">
        <f t="shared" si="1"/>
        <v>7.3260073260089916E-5</v>
      </c>
      <c r="G12" s="12">
        <f t="shared" si="2"/>
        <v>-3.6616623947238762E-5</v>
      </c>
      <c r="H12" s="12">
        <f t="shared" si="3"/>
        <v>-1.4641288433381305E-4</v>
      </c>
      <c r="I12" s="12">
        <f t="shared" si="7"/>
        <v>9.765625E-4</v>
      </c>
      <c r="J12" s="12">
        <f t="shared" si="8"/>
        <v>3.6616623947272067E-2</v>
      </c>
    </row>
    <row r="13" spans="1:10" ht="15" x14ac:dyDescent="0.3">
      <c r="B13" s="3">
        <v>11</v>
      </c>
      <c r="C13" s="12">
        <f t="shared" si="4"/>
        <v>2.666015625</v>
      </c>
      <c r="D13" s="12">
        <f t="shared" si="5"/>
        <v>2.66650390625</v>
      </c>
      <c r="E13" s="12">
        <f t="shared" si="6"/>
        <v>2.6669921875</v>
      </c>
      <c r="F13" s="12">
        <f t="shared" si="1"/>
        <v>7.3260073260089916E-5</v>
      </c>
      <c r="G13" s="12">
        <f t="shared" si="2"/>
        <v>1.8311664530330785E-5</v>
      </c>
      <c r="H13" s="12">
        <f t="shared" si="3"/>
        <v>-3.6616623947238762E-5</v>
      </c>
      <c r="I13" s="12">
        <f t="shared" si="7"/>
        <v>4.8828125E-4</v>
      </c>
      <c r="J13" s="12">
        <f t="shared" si="8"/>
        <v>1.8311664530305805E-2</v>
      </c>
    </row>
    <row r="14" spans="1:10" ht="15" x14ac:dyDescent="0.3">
      <c r="B14" s="3">
        <v>12</v>
      </c>
      <c r="C14" s="12">
        <f t="shared" si="4"/>
        <v>2.66650390625</v>
      </c>
      <c r="D14" s="12">
        <f t="shared" si="5"/>
        <v>2.666748046875</v>
      </c>
      <c r="E14" s="12">
        <f t="shared" si="6"/>
        <v>2.6669921875</v>
      </c>
      <c r="F14" s="12">
        <f t="shared" si="1"/>
        <v>1.8311664530330785E-5</v>
      </c>
      <c r="G14" s="12">
        <f t="shared" si="2"/>
        <v>-9.1549940492455416E-6</v>
      </c>
      <c r="H14" s="12">
        <f t="shared" si="3"/>
        <v>-3.6616623947238762E-5</v>
      </c>
      <c r="I14" s="12">
        <f t="shared" si="7"/>
        <v>2.44140625E-4</v>
      </c>
      <c r="J14" s="12">
        <f t="shared" si="8"/>
        <v>9.154994049253868E-3</v>
      </c>
    </row>
  </sheetData>
  <conditionalFormatting sqref="D4:D14">
    <cfRule type="expression" dxfId="7" priority="1">
      <formula>J4&lt;$J$1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1A72-DC82-4AF5-80EB-CAA164EE6CA9}">
  <dimension ref="A1:J15"/>
  <sheetViews>
    <sheetView workbookViewId="0">
      <selection sqref="A1:J15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5" width="7.6640625" bestFit="1" customWidth="1"/>
    <col min="6" max="7" width="8.5546875" bestFit="1" customWidth="1"/>
    <col min="8" max="8" width="12" bestFit="1" customWidth="1"/>
    <col min="9" max="10" width="7.6640625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>
        <v>1E-3</v>
      </c>
      <c r="J1" s="11">
        <v>0.01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3.5</v>
      </c>
      <c r="D3" s="12">
        <f>(C3+E3)/2</f>
        <v>4</v>
      </c>
      <c r="E3" s="13">
        <v>4.5</v>
      </c>
      <c r="F3" s="12">
        <f>C3^2-18</f>
        <v>-5.75</v>
      </c>
      <c r="G3" s="12">
        <f t="shared" ref="G3:H3" si="0">D3^2-18</f>
        <v>-2</v>
      </c>
      <c r="H3" s="12">
        <f t="shared" si="0"/>
        <v>2.25</v>
      </c>
      <c r="I3" s="12"/>
      <c r="J3" s="12"/>
    </row>
    <row r="4" spans="1:10" ht="15" x14ac:dyDescent="0.3">
      <c r="B4" s="3">
        <v>2</v>
      </c>
      <c r="C4" s="12">
        <f>IF(F3*G3&lt;0,C3,D3)</f>
        <v>4</v>
      </c>
      <c r="D4" s="12">
        <f t="shared" ref="D4:D15" si="1">(C4+E4)/2</f>
        <v>4.25</v>
      </c>
      <c r="E4" s="12">
        <f>IF(F3*G3&lt;0,D3,E3)</f>
        <v>4.5</v>
      </c>
      <c r="F4" s="12">
        <f t="shared" ref="F4:F14" si="2">C4^2-18</f>
        <v>-2</v>
      </c>
      <c r="G4" s="12">
        <f t="shared" ref="G4:G14" si="3">D4^2-18</f>
        <v>6.25E-2</v>
      </c>
      <c r="H4" s="12">
        <f t="shared" ref="H4:H14" si="4">E4^2-18</f>
        <v>2.25</v>
      </c>
      <c r="I4" s="12">
        <f>ABS(D4-D3)</f>
        <v>0.25</v>
      </c>
      <c r="J4" s="12">
        <f>ABS(I4/D4)*100</f>
        <v>5.8823529411764701</v>
      </c>
    </row>
    <row r="5" spans="1:10" ht="15" x14ac:dyDescent="0.3">
      <c r="B5" s="3">
        <v>3</v>
      </c>
      <c r="C5" s="12">
        <f t="shared" ref="C5:C14" si="5">IF(F4*G4&lt;0,C4,D4)</f>
        <v>4</v>
      </c>
      <c r="D5" s="12">
        <f t="shared" si="1"/>
        <v>4.125</v>
      </c>
      <c r="E5" s="12">
        <f t="shared" ref="E5:E14" si="6">IF(F4*G4&lt;0,D4,E4)</f>
        <v>4.25</v>
      </c>
      <c r="F5" s="12">
        <f t="shared" si="2"/>
        <v>-2</v>
      </c>
      <c r="G5" s="12">
        <f t="shared" si="3"/>
        <v>-0.984375</v>
      </c>
      <c r="H5" s="12">
        <f t="shared" si="4"/>
        <v>6.25E-2</v>
      </c>
      <c r="I5" s="12">
        <f t="shared" ref="I5:I14" si="7">ABS(D5-D4)</f>
        <v>0.125</v>
      </c>
      <c r="J5" s="12">
        <f t="shared" ref="J5:J14" si="8">ABS(I5/D5)*100</f>
        <v>3.0303030303030303</v>
      </c>
    </row>
    <row r="6" spans="1:10" ht="15" x14ac:dyDescent="0.3">
      <c r="B6" s="3">
        <v>4</v>
      </c>
      <c r="C6" s="12">
        <f t="shared" si="5"/>
        <v>4.125</v>
      </c>
      <c r="D6" s="12">
        <f t="shared" si="1"/>
        <v>4.1875</v>
      </c>
      <c r="E6" s="12">
        <f t="shared" si="6"/>
        <v>4.25</v>
      </c>
      <c r="F6" s="12">
        <f t="shared" si="2"/>
        <v>-0.984375</v>
      </c>
      <c r="G6" s="12">
        <f t="shared" si="3"/>
        <v>-0.46484375</v>
      </c>
      <c r="H6" s="12">
        <f t="shared" si="4"/>
        <v>6.25E-2</v>
      </c>
      <c r="I6" s="12">
        <f t="shared" si="7"/>
        <v>6.25E-2</v>
      </c>
      <c r="J6" s="12">
        <f t="shared" si="8"/>
        <v>1.4925373134328357</v>
      </c>
    </row>
    <row r="7" spans="1:10" ht="15" x14ac:dyDescent="0.3">
      <c r="B7" s="3">
        <v>5</v>
      </c>
      <c r="C7" s="12">
        <f t="shared" si="5"/>
        <v>4.1875</v>
      </c>
      <c r="D7" s="12">
        <f t="shared" si="1"/>
        <v>4.21875</v>
      </c>
      <c r="E7" s="12">
        <f t="shared" si="6"/>
        <v>4.25</v>
      </c>
      <c r="F7" s="12">
        <f t="shared" si="2"/>
        <v>-0.46484375</v>
      </c>
      <c r="G7" s="12">
        <f t="shared" si="3"/>
        <v>-0.2021484375</v>
      </c>
      <c r="H7" s="12">
        <f t="shared" si="4"/>
        <v>6.25E-2</v>
      </c>
      <c r="I7" s="12">
        <f t="shared" si="7"/>
        <v>3.125E-2</v>
      </c>
      <c r="J7" s="12">
        <f t="shared" si="8"/>
        <v>0.74074074074074081</v>
      </c>
    </row>
    <row r="8" spans="1:10" ht="15" x14ac:dyDescent="0.3">
      <c r="B8" s="3">
        <v>6</v>
      </c>
      <c r="C8" s="12">
        <f t="shared" si="5"/>
        <v>4.21875</v>
      </c>
      <c r="D8" s="12">
        <f t="shared" si="1"/>
        <v>4.234375</v>
      </c>
      <c r="E8" s="12">
        <f t="shared" si="6"/>
        <v>4.25</v>
      </c>
      <c r="F8" s="12">
        <f t="shared" si="2"/>
        <v>-0.2021484375</v>
      </c>
      <c r="G8" s="12">
        <f t="shared" si="3"/>
        <v>-7.0068359375E-2</v>
      </c>
      <c r="H8" s="12">
        <f t="shared" si="4"/>
        <v>6.25E-2</v>
      </c>
      <c r="I8" s="12">
        <f t="shared" si="7"/>
        <v>1.5625E-2</v>
      </c>
      <c r="J8" s="12">
        <f t="shared" si="8"/>
        <v>0.36900369003690037</v>
      </c>
    </row>
    <row r="9" spans="1:10" ht="15" x14ac:dyDescent="0.3">
      <c r="B9" s="3">
        <v>7</v>
      </c>
      <c r="C9" s="12">
        <f t="shared" si="5"/>
        <v>4.234375</v>
      </c>
      <c r="D9" s="12">
        <f t="shared" si="1"/>
        <v>4.2421875</v>
      </c>
      <c r="E9" s="12">
        <f t="shared" si="6"/>
        <v>4.25</v>
      </c>
      <c r="F9" s="12">
        <f t="shared" si="2"/>
        <v>-7.0068359375E-2</v>
      </c>
      <c r="G9" s="12">
        <f t="shared" si="3"/>
        <v>-3.84521484375E-3</v>
      </c>
      <c r="H9" s="12">
        <f t="shared" si="4"/>
        <v>6.25E-2</v>
      </c>
      <c r="I9" s="12">
        <f t="shared" si="7"/>
        <v>7.8125E-3</v>
      </c>
      <c r="J9" s="12">
        <f t="shared" si="8"/>
        <v>0.18416206261510129</v>
      </c>
    </row>
    <row r="10" spans="1:10" ht="15" x14ac:dyDescent="0.3">
      <c r="B10" s="3">
        <v>8</v>
      </c>
      <c r="C10" s="12">
        <f t="shared" si="5"/>
        <v>4.2421875</v>
      </c>
      <c r="D10" s="12">
        <f t="shared" si="1"/>
        <v>4.24609375</v>
      </c>
      <c r="E10" s="12">
        <f t="shared" si="6"/>
        <v>4.25</v>
      </c>
      <c r="F10" s="12">
        <f t="shared" si="2"/>
        <v>-3.84521484375E-3</v>
      </c>
      <c r="G10" s="12">
        <f t="shared" si="3"/>
        <v>2.93121337890625E-2</v>
      </c>
      <c r="H10" s="12">
        <f t="shared" si="4"/>
        <v>6.25E-2</v>
      </c>
      <c r="I10" s="12">
        <f t="shared" si="7"/>
        <v>3.90625E-3</v>
      </c>
      <c r="J10" s="12">
        <f t="shared" si="8"/>
        <v>9.1996320147194111E-2</v>
      </c>
    </row>
    <row r="11" spans="1:10" ht="15" x14ac:dyDescent="0.3">
      <c r="B11" s="3">
        <v>9</v>
      </c>
      <c r="C11" s="12">
        <f t="shared" si="5"/>
        <v>4.2421875</v>
      </c>
      <c r="D11" s="12">
        <f t="shared" si="1"/>
        <v>4.244140625</v>
      </c>
      <c r="E11" s="12">
        <f t="shared" si="6"/>
        <v>4.24609375</v>
      </c>
      <c r="F11" s="12">
        <f t="shared" si="2"/>
        <v>-3.84521484375E-3</v>
      </c>
      <c r="G11" s="12">
        <f t="shared" si="3"/>
        <v>1.2729644775390625E-2</v>
      </c>
      <c r="H11" s="12">
        <f t="shared" si="4"/>
        <v>2.93121337890625E-2</v>
      </c>
      <c r="I11" s="12">
        <f t="shared" si="7"/>
        <v>1.953125E-3</v>
      </c>
      <c r="J11" s="12">
        <f t="shared" si="8"/>
        <v>4.6019328117809483E-2</v>
      </c>
    </row>
    <row r="12" spans="1:10" ht="15" x14ac:dyDescent="0.3">
      <c r="B12" s="3">
        <v>10</v>
      </c>
      <c r="C12" s="12">
        <f t="shared" si="5"/>
        <v>4.2421875</v>
      </c>
      <c r="D12" s="12">
        <f t="shared" si="1"/>
        <v>4.2431640625</v>
      </c>
      <c r="E12" s="12">
        <f t="shared" si="6"/>
        <v>4.244140625</v>
      </c>
      <c r="F12" s="12">
        <f t="shared" si="2"/>
        <v>-3.84521484375E-3</v>
      </c>
      <c r="G12" s="12">
        <f t="shared" si="3"/>
        <v>4.4412612915039063E-3</v>
      </c>
      <c r="H12" s="12">
        <f t="shared" si="4"/>
        <v>1.2729644775390625E-2</v>
      </c>
      <c r="I12" s="12">
        <f t="shared" si="7"/>
        <v>9.765625E-4</v>
      </c>
      <c r="J12" s="12">
        <f t="shared" si="8"/>
        <v>2.3014959723820481E-2</v>
      </c>
    </row>
    <row r="13" spans="1:10" ht="15" x14ac:dyDescent="0.3">
      <c r="B13" s="3">
        <v>11</v>
      </c>
      <c r="C13" s="12">
        <f t="shared" si="5"/>
        <v>4.2421875</v>
      </c>
      <c r="D13" s="12">
        <f t="shared" si="1"/>
        <v>4.24267578125</v>
      </c>
      <c r="E13" s="12">
        <f t="shared" si="6"/>
        <v>4.2431640625</v>
      </c>
      <c r="F13" s="12">
        <f t="shared" si="2"/>
        <v>-3.84521484375E-3</v>
      </c>
      <c r="G13" s="12">
        <f t="shared" si="3"/>
        <v>2.9778480529785156E-4</v>
      </c>
      <c r="H13" s="12">
        <f t="shared" si="4"/>
        <v>4.4412612915039063E-3</v>
      </c>
      <c r="I13" s="12">
        <f t="shared" si="7"/>
        <v>4.8828125E-4</v>
      </c>
      <c r="J13" s="12">
        <f t="shared" si="8"/>
        <v>1.1508804235239959E-2</v>
      </c>
    </row>
    <row r="14" spans="1:10" ht="15" x14ac:dyDescent="0.3">
      <c r="B14" s="3">
        <v>12</v>
      </c>
      <c r="C14" s="12">
        <f t="shared" si="5"/>
        <v>4.2421875</v>
      </c>
      <c r="D14" s="12">
        <f t="shared" si="1"/>
        <v>4.242431640625</v>
      </c>
      <c r="E14" s="12">
        <f t="shared" si="6"/>
        <v>4.24267578125</v>
      </c>
      <c r="F14" s="12">
        <f t="shared" si="2"/>
        <v>-3.84521484375E-3</v>
      </c>
      <c r="G14" s="12">
        <f t="shared" si="3"/>
        <v>-1.7737746238708496E-3</v>
      </c>
      <c r="H14" s="12">
        <f t="shared" si="4"/>
        <v>2.9778480529785156E-4</v>
      </c>
      <c r="I14" s="12">
        <f t="shared" si="7"/>
        <v>2.44140625E-4</v>
      </c>
      <c r="J14" s="12">
        <f t="shared" si="8"/>
        <v>5.7547332681130237E-3</v>
      </c>
    </row>
    <row r="15" spans="1:10" ht="15" x14ac:dyDescent="0.3">
      <c r="B15" s="3">
        <v>13</v>
      </c>
      <c r="C15" s="12">
        <f t="shared" ref="C15" si="9">IF(F14*G14&lt;0,C14,D14)</f>
        <v>4.242431640625</v>
      </c>
      <c r="D15" s="12">
        <f t="shared" si="1"/>
        <v>4.2425537109375</v>
      </c>
      <c r="E15" s="12">
        <f t="shared" ref="E15" si="10">IF(F14*G14&lt;0,D14,E14)</f>
        <v>4.24267578125</v>
      </c>
      <c r="F15" s="12">
        <f t="shared" ref="F15" si="11">C15^2-18</f>
        <v>-1.7737746238708496E-3</v>
      </c>
      <c r="G15" s="12">
        <f t="shared" ref="G15" si="12">D15^2-18</f>
        <v>-7.3800981044769287E-4</v>
      </c>
      <c r="H15" s="12">
        <f t="shared" ref="H15" si="13">E15^2-18</f>
        <v>2.9778480529785156E-4</v>
      </c>
      <c r="I15" s="12">
        <f t="shared" ref="I15" si="14">ABS(D15-D14)</f>
        <v>1.220703125E-4</v>
      </c>
      <c r="J15" s="12">
        <f t="shared" ref="J15" si="15">ABS(I15/D15)*100</f>
        <v>2.8772838440512156E-3</v>
      </c>
    </row>
  </sheetData>
  <conditionalFormatting sqref="D4:D15">
    <cfRule type="expression" dxfId="6" priority="1">
      <formula>J4&lt;$J$1</formula>
    </cfRule>
    <cfRule type="expression" dxfId="5" priority="2">
      <formula>I4&lt;$I$1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BC8A-B602-44A1-BD5B-A653AC71F40A}">
  <dimension ref="A1:J18"/>
  <sheetViews>
    <sheetView workbookViewId="0">
      <selection sqref="A1:J18"/>
    </sheetView>
  </sheetViews>
  <sheetFormatPr baseColWidth="10" defaultColWidth="11.44140625" defaultRowHeight="14.4" x14ac:dyDescent="0.3"/>
  <cols>
    <col min="1" max="1" width="10.21875" bestFit="1" customWidth="1"/>
    <col min="2" max="2" width="3.44140625" bestFit="1" customWidth="1"/>
    <col min="3" max="3" width="7.77734375" bestFit="1" customWidth="1"/>
    <col min="4" max="4" width="8.44140625" bestFit="1" customWidth="1"/>
    <col min="5" max="5" width="7.77734375" bestFit="1" customWidth="1"/>
    <col min="6" max="7" width="8.5546875" bestFit="1" customWidth="1"/>
    <col min="8" max="8" width="12" bestFit="1" customWidth="1"/>
    <col min="9" max="9" width="7.77734375" bestFit="1" customWidth="1"/>
    <col min="10" max="10" width="9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/>
      <c r="J1" s="11">
        <v>1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0</v>
      </c>
      <c r="D3" s="12">
        <f>(C3+E3)/2</f>
        <v>2</v>
      </c>
      <c r="E3" s="13">
        <v>4</v>
      </c>
      <c r="F3" s="12">
        <f>C3^2*ABS(COS(SQRT(C3)))-5</f>
        <v>-5</v>
      </c>
      <c r="G3" s="12">
        <f t="shared" ref="G3:H3" si="0">D3^2*ABS(COS(SQRT(D3)))-5</f>
        <v>-4.3762252209385029</v>
      </c>
      <c r="H3" s="12">
        <f t="shared" si="0"/>
        <v>1.6583493847542785</v>
      </c>
      <c r="I3" s="12"/>
      <c r="J3" s="12"/>
    </row>
    <row r="4" spans="1:10" ht="15" x14ac:dyDescent="0.3">
      <c r="B4" s="3">
        <v>2</v>
      </c>
      <c r="C4" s="12">
        <f>IF(F3*G3&lt;0,C3,D3)</f>
        <v>2</v>
      </c>
      <c r="D4" s="12">
        <f t="shared" ref="D4:D14" si="1">(C4+E4)/2</f>
        <v>3</v>
      </c>
      <c r="E4" s="12">
        <f>IF(F3*G3&lt;0,D3,E3)</f>
        <v>4</v>
      </c>
      <c r="F4" s="12">
        <f t="shared" ref="F4:F14" si="2">C4^2*ABS(COS(SQRT(C4)))-5</f>
        <v>-4.3762252209385029</v>
      </c>
      <c r="G4" s="12">
        <f t="shared" ref="G4:G14" si="3">D4^2*ABS(COS(SQRT(D4)))-5</f>
        <v>-3.5549911528277853</v>
      </c>
      <c r="H4" s="12">
        <f t="shared" ref="H4:H14" si="4">E4^2*ABS(COS(SQRT(E4)))-5</f>
        <v>1.6583493847542785</v>
      </c>
      <c r="I4" s="12">
        <f>ABS(D4-D3)</f>
        <v>1</v>
      </c>
      <c r="J4" s="12">
        <f>ABS(I4/D4)*100</f>
        <v>33.333333333333329</v>
      </c>
    </row>
    <row r="5" spans="1:10" ht="15" x14ac:dyDescent="0.3">
      <c r="B5" s="3">
        <v>3</v>
      </c>
      <c r="C5" s="12">
        <f t="shared" ref="C5:C14" si="5">IF(F4*G4&lt;0,C4,D4)</f>
        <v>3</v>
      </c>
      <c r="D5" s="12">
        <f t="shared" si="1"/>
        <v>3.5</v>
      </c>
      <c r="E5" s="12">
        <f t="shared" ref="E5:E14" si="6">IF(F4*G4&lt;0,D4,E4)</f>
        <v>4</v>
      </c>
      <c r="F5" s="12">
        <f t="shared" si="2"/>
        <v>-3.5549911528277853</v>
      </c>
      <c r="G5" s="12">
        <f t="shared" si="3"/>
        <v>-1.3794986882110165</v>
      </c>
      <c r="H5" s="12">
        <f t="shared" si="4"/>
        <v>1.6583493847542785</v>
      </c>
      <c r="I5" s="12">
        <f t="shared" ref="I5:I14" si="7">ABS(D5-D4)</f>
        <v>0.5</v>
      </c>
      <c r="J5" s="12">
        <f t="shared" ref="J5:J14" si="8">ABS(I5/D5)*100</f>
        <v>14.285714285714285</v>
      </c>
    </row>
    <row r="6" spans="1:10" ht="15" x14ac:dyDescent="0.3">
      <c r="B6" s="3">
        <v>4</v>
      </c>
      <c r="C6" s="12">
        <f t="shared" si="5"/>
        <v>3.5</v>
      </c>
      <c r="D6" s="12">
        <f t="shared" si="1"/>
        <v>3.75</v>
      </c>
      <c r="E6" s="12">
        <f t="shared" si="6"/>
        <v>4</v>
      </c>
      <c r="F6" s="12">
        <f t="shared" si="2"/>
        <v>-1.3794986882110165</v>
      </c>
      <c r="G6" s="12">
        <f t="shared" si="3"/>
        <v>2.8732388690612787E-2</v>
      </c>
      <c r="H6" s="12">
        <f t="shared" si="4"/>
        <v>1.6583493847542785</v>
      </c>
      <c r="I6" s="12">
        <f t="shared" si="7"/>
        <v>0.25</v>
      </c>
      <c r="J6" s="12">
        <f t="shared" si="8"/>
        <v>6.666666666666667</v>
      </c>
    </row>
    <row r="7" spans="1:10" ht="15" x14ac:dyDescent="0.3">
      <c r="B7" s="3">
        <v>5</v>
      </c>
      <c r="C7" s="12">
        <f t="shared" si="5"/>
        <v>3.5</v>
      </c>
      <c r="D7" s="12">
        <f t="shared" si="1"/>
        <v>3.625</v>
      </c>
      <c r="E7" s="12">
        <f t="shared" si="6"/>
        <v>3.75</v>
      </c>
      <c r="F7" s="12">
        <f t="shared" si="2"/>
        <v>-1.3794986882110165</v>
      </c>
      <c r="G7" s="12">
        <f t="shared" si="3"/>
        <v>-0.70277164856544072</v>
      </c>
      <c r="H7" s="12">
        <f t="shared" si="4"/>
        <v>2.8732388690612787E-2</v>
      </c>
      <c r="I7" s="12">
        <f t="shared" si="7"/>
        <v>0.125</v>
      </c>
      <c r="J7" s="12">
        <f t="shared" si="8"/>
        <v>3.4482758620689653</v>
      </c>
    </row>
    <row r="8" spans="1:10" ht="15" x14ac:dyDescent="0.3">
      <c r="B8" s="3">
        <v>6</v>
      </c>
      <c r="C8" s="12">
        <f t="shared" si="5"/>
        <v>3.625</v>
      </c>
      <c r="D8" s="12">
        <f t="shared" si="1"/>
        <v>3.6875</v>
      </c>
      <c r="E8" s="12">
        <f t="shared" si="6"/>
        <v>3.75</v>
      </c>
      <c r="F8" s="12">
        <f t="shared" si="2"/>
        <v>-0.70277164856544072</v>
      </c>
      <c r="G8" s="12">
        <f t="shared" si="3"/>
        <v>-0.34390705020258494</v>
      </c>
      <c r="H8" s="12">
        <f t="shared" si="4"/>
        <v>2.8732388690612787E-2</v>
      </c>
      <c r="I8" s="12">
        <f t="shared" si="7"/>
        <v>6.25E-2</v>
      </c>
      <c r="J8" s="12">
        <f t="shared" si="8"/>
        <v>1.6949152542372881</v>
      </c>
    </row>
    <row r="9" spans="1:10" ht="15" x14ac:dyDescent="0.3">
      <c r="B9" s="3">
        <v>7</v>
      </c>
      <c r="C9" s="12">
        <f t="shared" si="5"/>
        <v>3.6875</v>
      </c>
      <c r="D9" s="12">
        <f t="shared" si="1"/>
        <v>3.71875</v>
      </c>
      <c r="E9" s="12">
        <f t="shared" si="6"/>
        <v>3.75</v>
      </c>
      <c r="F9" s="12">
        <f t="shared" si="2"/>
        <v>-0.34390705020258494</v>
      </c>
      <c r="G9" s="12">
        <f t="shared" si="3"/>
        <v>-0.15931380613376245</v>
      </c>
      <c r="H9" s="12">
        <f t="shared" si="4"/>
        <v>2.8732388690612787E-2</v>
      </c>
      <c r="I9" s="12">
        <f t="shared" si="7"/>
        <v>3.125E-2</v>
      </c>
      <c r="J9" s="12">
        <f t="shared" si="8"/>
        <v>0.84033613445378152</v>
      </c>
    </row>
    <row r="10" spans="1:10" ht="15" x14ac:dyDescent="0.3">
      <c r="B10" s="3">
        <v>8</v>
      </c>
      <c r="C10" s="12">
        <f t="shared" si="5"/>
        <v>3.71875</v>
      </c>
      <c r="D10" s="12">
        <f t="shared" si="1"/>
        <v>3.734375</v>
      </c>
      <c r="E10" s="12">
        <f t="shared" si="6"/>
        <v>3.75</v>
      </c>
      <c r="F10" s="12">
        <f t="shared" si="2"/>
        <v>-0.15931380613376245</v>
      </c>
      <c r="G10" s="12">
        <f t="shared" si="3"/>
        <v>-6.5722879333836026E-2</v>
      </c>
      <c r="H10" s="12">
        <f t="shared" si="4"/>
        <v>2.8732388690612787E-2</v>
      </c>
      <c r="I10" s="12">
        <f t="shared" si="7"/>
        <v>1.5625E-2</v>
      </c>
      <c r="J10" s="12">
        <f t="shared" si="8"/>
        <v>0.41841004184100417</v>
      </c>
    </row>
    <row r="11" spans="1:10" ht="15" x14ac:dyDescent="0.3">
      <c r="B11" s="3">
        <v>9</v>
      </c>
      <c r="C11" s="12">
        <f t="shared" si="5"/>
        <v>3.734375</v>
      </c>
      <c r="D11" s="12">
        <f t="shared" si="1"/>
        <v>3.7421875</v>
      </c>
      <c r="E11" s="12">
        <f t="shared" si="6"/>
        <v>3.75</v>
      </c>
      <c r="F11" s="12">
        <f t="shared" si="2"/>
        <v>-6.5722879333836026E-2</v>
      </c>
      <c r="G11" s="12">
        <f t="shared" si="3"/>
        <v>-1.8603355343310923E-2</v>
      </c>
      <c r="H11" s="12">
        <f t="shared" si="4"/>
        <v>2.8732388690612787E-2</v>
      </c>
      <c r="I11" s="12">
        <f t="shared" si="7"/>
        <v>7.8125E-3</v>
      </c>
      <c r="J11" s="12">
        <f t="shared" si="8"/>
        <v>0.20876826722338201</v>
      </c>
    </row>
    <row r="12" spans="1:10" ht="15" x14ac:dyDescent="0.3">
      <c r="B12" s="3">
        <v>10</v>
      </c>
      <c r="C12" s="12">
        <f t="shared" si="5"/>
        <v>3.7421875</v>
      </c>
      <c r="D12" s="12">
        <f t="shared" si="1"/>
        <v>3.74609375</v>
      </c>
      <c r="E12" s="12">
        <f t="shared" si="6"/>
        <v>3.75</v>
      </c>
      <c r="F12" s="12">
        <f t="shared" si="2"/>
        <v>-1.8603355343310923E-2</v>
      </c>
      <c r="G12" s="12">
        <f t="shared" si="3"/>
        <v>5.0374808470330379E-3</v>
      </c>
      <c r="H12" s="12">
        <f t="shared" si="4"/>
        <v>2.8732388690612787E-2</v>
      </c>
      <c r="I12" s="12">
        <f t="shared" si="7"/>
        <v>3.90625E-3</v>
      </c>
      <c r="J12" s="12">
        <f t="shared" si="8"/>
        <v>0.10427528675703858</v>
      </c>
    </row>
    <row r="13" spans="1:10" ht="15" x14ac:dyDescent="0.3">
      <c r="B13" s="3">
        <v>11</v>
      </c>
      <c r="C13" s="12">
        <f t="shared" si="5"/>
        <v>3.7421875</v>
      </c>
      <c r="D13" s="12">
        <f t="shared" si="1"/>
        <v>3.744140625</v>
      </c>
      <c r="E13" s="12">
        <f t="shared" si="6"/>
        <v>3.74609375</v>
      </c>
      <c r="F13" s="12">
        <f t="shared" si="2"/>
        <v>-1.8603355343310923E-2</v>
      </c>
      <c r="G13" s="12">
        <f t="shared" si="3"/>
        <v>-6.7896951690968876E-3</v>
      </c>
      <c r="H13" s="12">
        <f t="shared" si="4"/>
        <v>5.0374808470330379E-3</v>
      </c>
      <c r="I13" s="12">
        <f t="shared" si="7"/>
        <v>1.953125E-3</v>
      </c>
      <c r="J13" s="12">
        <f t="shared" si="8"/>
        <v>5.2164840897235262E-2</v>
      </c>
    </row>
    <row r="14" spans="1:10" ht="15" x14ac:dyDescent="0.3">
      <c r="B14" s="3">
        <v>12</v>
      </c>
      <c r="C14" s="12">
        <f t="shared" si="5"/>
        <v>3.744140625</v>
      </c>
      <c r="D14" s="12">
        <f t="shared" si="1"/>
        <v>3.7451171875</v>
      </c>
      <c r="E14" s="12">
        <f t="shared" si="6"/>
        <v>3.74609375</v>
      </c>
      <c r="F14" s="12">
        <f t="shared" si="2"/>
        <v>-6.7896951690968876E-3</v>
      </c>
      <c r="G14" s="12">
        <f t="shared" si="3"/>
        <v>-8.7779677101185172E-4</v>
      </c>
      <c r="H14" s="12">
        <f t="shared" si="4"/>
        <v>5.0374808470330379E-3</v>
      </c>
      <c r="I14" s="12">
        <f t="shared" si="7"/>
        <v>9.765625E-4</v>
      </c>
      <c r="J14" s="12">
        <f t="shared" si="8"/>
        <v>2.607561929595828E-2</v>
      </c>
    </row>
    <row r="15" spans="1:10" ht="15" x14ac:dyDescent="0.3">
      <c r="B15" s="3">
        <v>13</v>
      </c>
      <c r="C15" s="12">
        <f t="shared" ref="C15:C16" si="9">IF(F14*G14&lt;0,C14,D14)</f>
        <v>3.7451171875</v>
      </c>
      <c r="D15" s="12">
        <f t="shared" ref="D15:D16" si="10">(C15+E15)/2</f>
        <v>3.74560546875</v>
      </c>
      <c r="E15" s="12">
        <f t="shared" ref="E15:E16" si="11">IF(F14*G14&lt;0,D14,E14)</f>
        <v>3.74609375</v>
      </c>
      <c r="F15" s="12">
        <f t="shared" ref="F15:F16" si="12">C15^2*ABS(COS(SQRT(C15)))-5</f>
        <v>-8.7779677101185172E-4</v>
      </c>
      <c r="G15" s="12">
        <f t="shared" ref="G15:G16" si="13">D15^2*ABS(COS(SQRT(D15)))-5</f>
        <v>2.0794196193225645E-3</v>
      </c>
      <c r="H15" s="12">
        <f t="shared" ref="H15:H16" si="14">E15^2*ABS(COS(SQRT(E15)))-5</f>
        <v>5.0374808470330379E-3</v>
      </c>
      <c r="I15" s="12">
        <f t="shared" ref="I15:I16" si="15">ABS(D15-D14)</f>
        <v>4.8828125E-4</v>
      </c>
      <c r="J15" s="12">
        <f t="shared" ref="J15:J16" si="16">ABS(I15/D15)*100</f>
        <v>1.3036110024768607E-2</v>
      </c>
    </row>
    <row r="16" spans="1:10" ht="15" x14ac:dyDescent="0.3">
      <c r="B16" s="3">
        <v>14</v>
      </c>
      <c r="C16" s="12">
        <f t="shared" si="9"/>
        <v>3.7451171875</v>
      </c>
      <c r="D16" s="12">
        <f t="shared" si="10"/>
        <v>3.745361328125</v>
      </c>
      <c r="E16" s="12">
        <f t="shared" si="11"/>
        <v>3.74560546875</v>
      </c>
      <c r="F16" s="12">
        <f t="shared" si="12"/>
        <v>-8.7779677101185172E-4</v>
      </c>
      <c r="G16" s="12">
        <f t="shared" si="13"/>
        <v>6.0070582150739682E-4</v>
      </c>
      <c r="H16" s="12">
        <f t="shared" si="14"/>
        <v>2.0794196193225645E-3</v>
      </c>
      <c r="I16" s="12">
        <f t="shared" si="15"/>
        <v>2.44140625E-4</v>
      </c>
      <c r="J16" s="12">
        <f t="shared" si="16"/>
        <v>6.5184798904895378E-3</v>
      </c>
    </row>
    <row r="17" spans="2:10" ht="15" x14ac:dyDescent="0.3">
      <c r="B17" s="3">
        <v>15</v>
      </c>
      <c r="C17" s="12">
        <f t="shared" ref="C17:C18" si="17">IF(F16*G16&lt;0,C16,D16)</f>
        <v>3.7451171875</v>
      </c>
      <c r="D17" s="12">
        <f t="shared" ref="D17:D18" si="18">(C17+E17)/2</f>
        <v>3.7452392578125</v>
      </c>
      <c r="E17" s="12">
        <f t="shared" ref="E17:E18" si="19">IF(F16*G16&lt;0,D16,E16)</f>
        <v>3.745361328125</v>
      </c>
      <c r="F17" s="12">
        <f t="shared" ref="F17:F18" si="20">C17^2*ABS(COS(SQRT(C17)))-5</f>
        <v>-8.7779677101185172E-4</v>
      </c>
      <c r="G17" s="12">
        <f t="shared" ref="G17:G18" si="21">D17^2*ABS(COS(SQRT(D17)))-5</f>
        <v>-1.3857187516208569E-4</v>
      </c>
      <c r="H17" s="12">
        <f t="shared" ref="H17:H18" si="22">E17^2*ABS(COS(SQRT(E17)))-5</f>
        <v>6.0070582150739682E-4</v>
      </c>
      <c r="I17" s="12">
        <f t="shared" ref="I17:I18" si="23">ABS(D17-D16)</f>
        <v>1.220703125E-4</v>
      </c>
      <c r="J17" s="12">
        <f t="shared" ref="J17:J18" si="24">ABS(I17/D17)*100</f>
        <v>3.2593461751572639E-3</v>
      </c>
    </row>
    <row r="18" spans="2:10" ht="15" x14ac:dyDescent="0.3">
      <c r="B18" s="3">
        <v>16</v>
      </c>
      <c r="C18" s="12">
        <f t="shared" si="17"/>
        <v>3.7452392578125</v>
      </c>
      <c r="D18" s="12">
        <f t="shared" si="18"/>
        <v>3.74530029296875</v>
      </c>
      <c r="E18" s="12">
        <f t="shared" si="19"/>
        <v>3.745361328125</v>
      </c>
      <c r="F18" s="12">
        <f t="shared" si="20"/>
        <v>-1.3857187516208569E-4</v>
      </c>
      <c r="G18" s="12">
        <f t="shared" si="21"/>
        <v>2.3106037303932681E-4</v>
      </c>
      <c r="H18" s="12">
        <f t="shared" si="22"/>
        <v>6.0070582150739682E-4</v>
      </c>
      <c r="I18" s="12">
        <f t="shared" si="23"/>
        <v>6.103515625E-5</v>
      </c>
      <c r="J18" s="12">
        <f t="shared" si="24"/>
        <v>1.6296465296677153E-3</v>
      </c>
    </row>
  </sheetData>
  <conditionalFormatting sqref="D4:D18">
    <cfRule type="expression" dxfId="4" priority="1">
      <formula>J4&lt;$J$1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C8CC-99B7-4655-B2A6-87C00EBF7890}">
  <dimension ref="A1:J14"/>
  <sheetViews>
    <sheetView workbookViewId="0">
      <selection activeCell="E22" sqref="E22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8.5546875" bestFit="1" customWidth="1"/>
    <col min="4" max="4" width="9.33203125" bestFit="1" customWidth="1"/>
    <col min="5" max="5" width="8.5546875" bestFit="1" customWidth="1"/>
    <col min="6" max="6" width="11.44140625" bestFit="1" customWidth="1"/>
    <col min="7" max="7" width="11" bestFit="1" customWidth="1"/>
    <col min="8" max="8" width="12" bestFit="1" customWidth="1"/>
    <col min="9" max="10" width="7.6640625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/>
      <c r="J1" s="11">
        <v>1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-8</v>
      </c>
      <c r="D3" s="12">
        <f>(C3+E3)/2</f>
        <v>-7.5</v>
      </c>
      <c r="E3" s="13">
        <v>-7</v>
      </c>
      <c r="F3" s="12">
        <f>C3^4-8*C3^3-35*C3^2+450*C3-1001</f>
        <v>1351</v>
      </c>
      <c r="G3" s="12">
        <f t="shared" ref="G3:H3" si="0">D3^4-8*D3^3-35*D3^2+450*D3-1001</f>
        <v>194.3125</v>
      </c>
      <c r="H3" s="12">
        <f t="shared" si="0"/>
        <v>-721</v>
      </c>
      <c r="I3" s="12"/>
      <c r="J3" s="12"/>
    </row>
    <row r="4" spans="1:10" ht="15" x14ac:dyDescent="0.3">
      <c r="B4" s="3">
        <v>2</v>
      </c>
      <c r="C4" s="12">
        <f>IF(F3*G3&lt;0,C3,D3)</f>
        <v>-7.5</v>
      </c>
      <c r="D4" s="12">
        <f t="shared" ref="D4:D14" si="1">(C4+E4)/2</f>
        <v>-7.25</v>
      </c>
      <c r="E4" s="12">
        <f>IF(F3*G3&lt;0,D3,E3)</f>
        <v>-7</v>
      </c>
      <c r="F4" s="12">
        <f t="shared" ref="F4:F14" si="2">C4^4-8*C4^3-35*C4^2+450*C4-1001</f>
        <v>194.3125</v>
      </c>
      <c r="G4" s="12">
        <f t="shared" ref="G4:G14" si="3">D4^4-8*D4^3-35*D4^2+450*D4-1001</f>
        <v>-291.74609375</v>
      </c>
      <c r="H4" s="12">
        <f t="shared" ref="H4:H14" si="4">E4^4-8*E4^3-35*E4^2+450*E4-1001</f>
        <v>-721</v>
      </c>
      <c r="I4" s="12">
        <f>ABS(D4-D3)</f>
        <v>0.25</v>
      </c>
      <c r="J4" s="12">
        <f>ABS(I4/D4)*100</f>
        <v>3.4482758620689653</v>
      </c>
    </row>
    <row r="5" spans="1:10" ht="15" x14ac:dyDescent="0.3">
      <c r="B5" s="3">
        <v>3</v>
      </c>
      <c r="C5" s="12">
        <f t="shared" ref="C5:C14" si="5">IF(F4*G4&lt;0,C4,D4)</f>
        <v>-7.5</v>
      </c>
      <c r="D5" s="12">
        <f t="shared" si="1"/>
        <v>-7.375</v>
      </c>
      <c r="E5" s="12">
        <f t="shared" ref="E5:E14" si="6">IF(F4*G4&lt;0,D4,E4)</f>
        <v>-7.25</v>
      </c>
      <c r="F5" s="12">
        <f t="shared" si="2"/>
        <v>194.3125</v>
      </c>
      <c r="G5" s="12">
        <f t="shared" si="3"/>
        <v>-56.034912109375</v>
      </c>
      <c r="H5" s="12">
        <f t="shared" si="4"/>
        <v>-291.74609375</v>
      </c>
      <c r="I5" s="12">
        <f t="shared" ref="I5:I14" si="7">ABS(D5-D4)</f>
        <v>0.125</v>
      </c>
      <c r="J5" s="12">
        <f t="shared" ref="J5:J14" si="8">ABS(I5/D5)*100</f>
        <v>1.6949152542372881</v>
      </c>
    </row>
    <row r="6" spans="1:10" ht="15" x14ac:dyDescent="0.3">
      <c r="B6" s="3">
        <v>4</v>
      </c>
      <c r="C6" s="12">
        <f t="shared" si="5"/>
        <v>-7.5</v>
      </c>
      <c r="D6" s="12">
        <f t="shared" si="1"/>
        <v>-7.4375</v>
      </c>
      <c r="E6" s="12">
        <f t="shared" si="6"/>
        <v>-7.375</v>
      </c>
      <c r="F6" s="12">
        <f t="shared" si="2"/>
        <v>194.3125</v>
      </c>
      <c r="G6" s="12">
        <f t="shared" si="3"/>
        <v>67.281753540039063</v>
      </c>
      <c r="H6" s="12">
        <f t="shared" si="4"/>
        <v>-56.034912109375</v>
      </c>
      <c r="I6" s="12">
        <f t="shared" si="7"/>
        <v>6.25E-2</v>
      </c>
      <c r="J6" s="12">
        <f t="shared" si="8"/>
        <v>0.84033613445378152</v>
      </c>
    </row>
    <row r="7" spans="1:10" ht="15" x14ac:dyDescent="0.3">
      <c r="B7" s="3">
        <v>5</v>
      </c>
      <c r="C7" s="12">
        <f t="shared" si="5"/>
        <v>-7.4375</v>
      </c>
      <c r="D7" s="12">
        <f t="shared" si="1"/>
        <v>-7.40625</v>
      </c>
      <c r="E7" s="12">
        <f t="shared" si="6"/>
        <v>-7.375</v>
      </c>
      <c r="F7" s="12">
        <f t="shared" si="2"/>
        <v>67.281753540039063</v>
      </c>
      <c r="G7" s="12">
        <f t="shared" si="3"/>
        <v>5.1626138687133789</v>
      </c>
      <c r="H7" s="12">
        <f t="shared" si="4"/>
        <v>-56.034912109375</v>
      </c>
      <c r="I7" s="12">
        <f t="shared" si="7"/>
        <v>3.125E-2</v>
      </c>
      <c r="J7" s="12">
        <f t="shared" si="8"/>
        <v>0.42194092827004215</v>
      </c>
    </row>
    <row r="8" spans="1:10" ht="15" x14ac:dyDescent="0.3">
      <c r="B8" s="3">
        <v>6</v>
      </c>
      <c r="C8" s="12">
        <f t="shared" si="5"/>
        <v>-7.40625</v>
      </c>
      <c r="D8" s="12">
        <f t="shared" si="1"/>
        <v>-7.390625</v>
      </c>
      <c r="E8" s="12">
        <f t="shared" si="6"/>
        <v>-7.375</v>
      </c>
      <c r="F8" s="12">
        <f t="shared" si="2"/>
        <v>5.1626138687133789</v>
      </c>
      <c r="G8" s="12">
        <f t="shared" si="3"/>
        <v>-25.550920426845551</v>
      </c>
      <c r="H8" s="12">
        <f t="shared" si="4"/>
        <v>-56.034912109375</v>
      </c>
      <c r="I8" s="12">
        <f t="shared" si="7"/>
        <v>1.5625E-2</v>
      </c>
      <c r="J8" s="12">
        <f t="shared" si="8"/>
        <v>0.21141649048625794</v>
      </c>
    </row>
    <row r="9" spans="1:10" ht="15" x14ac:dyDescent="0.3">
      <c r="B9" s="3">
        <v>7</v>
      </c>
      <c r="C9" s="12">
        <f t="shared" si="5"/>
        <v>-7.40625</v>
      </c>
      <c r="D9" s="12">
        <f t="shared" si="1"/>
        <v>-7.3984375</v>
      </c>
      <c r="E9" s="12">
        <f t="shared" si="6"/>
        <v>-7.390625</v>
      </c>
      <c r="F9" s="12">
        <f t="shared" si="2"/>
        <v>5.1626138687133789</v>
      </c>
      <c r="G9" s="12">
        <f t="shared" si="3"/>
        <v>-10.222899850457907</v>
      </c>
      <c r="H9" s="12">
        <f t="shared" si="4"/>
        <v>-25.550920426845551</v>
      </c>
      <c r="I9" s="12">
        <f t="shared" si="7"/>
        <v>7.8125E-3</v>
      </c>
      <c r="J9" s="12">
        <f t="shared" si="8"/>
        <v>0.10559662090813093</v>
      </c>
    </row>
    <row r="10" spans="1:10" ht="15" x14ac:dyDescent="0.3">
      <c r="B10" s="3">
        <v>8</v>
      </c>
      <c r="C10" s="12">
        <f t="shared" si="5"/>
        <v>-7.40625</v>
      </c>
      <c r="D10" s="12">
        <f t="shared" si="1"/>
        <v>-7.40234375</v>
      </c>
      <c r="E10" s="12">
        <f t="shared" si="6"/>
        <v>-7.3984375</v>
      </c>
      <c r="F10" s="12">
        <f t="shared" si="2"/>
        <v>5.1626138687133789</v>
      </c>
      <c r="G10" s="12">
        <f t="shared" si="3"/>
        <v>-2.5373363567050546</v>
      </c>
      <c r="H10" s="12">
        <f t="shared" si="4"/>
        <v>-10.222899850457907</v>
      </c>
      <c r="I10" s="12">
        <f t="shared" si="7"/>
        <v>3.90625E-3</v>
      </c>
      <c r="J10" s="12">
        <f t="shared" si="8"/>
        <v>5.277044854881266E-2</v>
      </c>
    </row>
    <row r="11" spans="1:10" ht="15" x14ac:dyDescent="0.3">
      <c r="B11" s="3">
        <v>9</v>
      </c>
      <c r="C11" s="12">
        <f t="shared" si="5"/>
        <v>-7.40625</v>
      </c>
      <c r="D11" s="12">
        <f t="shared" si="1"/>
        <v>-7.404296875</v>
      </c>
      <c r="E11" s="12">
        <f t="shared" si="6"/>
        <v>-7.40234375</v>
      </c>
      <c r="F11" s="12">
        <f t="shared" si="2"/>
        <v>5.1626138687133789</v>
      </c>
      <c r="G11" s="12">
        <f t="shared" si="3"/>
        <v>1.3108395738672698</v>
      </c>
      <c r="H11" s="12">
        <f t="shared" si="4"/>
        <v>-2.5373363567050546</v>
      </c>
      <c r="I11" s="12">
        <f t="shared" si="7"/>
        <v>1.953125E-3</v>
      </c>
      <c r="J11" s="12">
        <f t="shared" si="8"/>
        <v>2.6378264310208392E-2</v>
      </c>
    </row>
    <row r="12" spans="1:10" ht="15" x14ac:dyDescent="0.3">
      <c r="B12" s="3">
        <v>10</v>
      </c>
      <c r="C12" s="12">
        <f t="shared" si="5"/>
        <v>-7.404296875</v>
      </c>
      <c r="D12" s="12">
        <f t="shared" si="1"/>
        <v>-7.4033203125</v>
      </c>
      <c r="E12" s="12">
        <f t="shared" si="6"/>
        <v>-7.40234375</v>
      </c>
      <c r="F12" s="12">
        <f t="shared" si="2"/>
        <v>1.3108395738672698</v>
      </c>
      <c r="G12" s="12">
        <f t="shared" si="3"/>
        <v>-0.61369808185463626</v>
      </c>
      <c r="H12" s="12">
        <f t="shared" si="4"/>
        <v>-2.5373363567050546</v>
      </c>
      <c r="I12" s="12">
        <f t="shared" si="7"/>
        <v>9.765625E-4</v>
      </c>
      <c r="J12" s="12">
        <f t="shared" si="8"/>
        <v>1.3190871916633689E-2</v>
      </c>
    </row>
    <row r="13" spans="1:10" ht="15" x14ac:dyDescent="0.3">
      <c r="B13" s="3">
        <v>11</v>
      </c>
      <c r="C13" s="12">
        <f t="shared" si="5"/>
        <v>-7.404296875</v>
      </c>
      <c r="D13" s="12">
        <f t="shared" si="1"/>
        <v>-7.40380859375</v>
      </c>
      <c r="E13" s="12">
        <f t="shared" si="6"/>
        <v>-7.4033203125</v>
      </c>
      <c r="F13" s="12">
        <f t="shared" si="2"/>
        <v>1.3108395738672698</v>
      </c>
      <c r="G13" s="12">
        <f t="shared" si="3"/>
        <v>0.34845831026086671</v>
      </c>
      <c r="H13" s="12">
        <f t="shared" si="4"/>
        <v>-0.61369808185463626</v>
      </c>
      <c r="I13" s="12">
        <f t="shared" si="7"/>
        <v>4.8828125E-4</v>
      </c>
      <c r="J13" s="12">
        <f t="shared" si="8"/>
        <v>6.5950009892501481E-3</v>
      </c>
    </row>
    <row r="14" spans="1:10" ht="15" x14ac:dyDescent="0.3">
      <c r="B14" s="3">
        <v>12</v>
      </c>
      <c r="C14" s="12">
        <f t="shared" si="5"/>
        <v>-7.40380859375</v>
      </c>
      <c r="D14" s="12">
        <f t="shared" si="1"/>
        <v>-7.403564453125</v>
      </c>
      <c r="E14" s="12">
        <f t="shared" si="6"/>
        <v>-7.4033203125</v>
      </c>
      <c r="F14" s="12">
        <f t="shared" si="2"/>
        <v>0.34845831026086671</v>
      </c>
      <c r="G14" s="12">
        <f t="shared" si="3"/>
        <v>-0.13264799309126829</v>
      </c>
      <c r="H14" s="12">
        <f t="shared" si="4"/>
        <v>-0.61369808185463626</v>
      </c>
      <c r="I14" s="12">
        <f t="shared" si="7"/>
        <v>2.44140625E-4</v>
      </c>
      <c r="J14" s="12">
        <f t="shared" si="8"/>
        <v>3.2976092333058533E-3</v>
      </c>
    </row>
  </sheetData>
  <conditionalFormatting sqref="D4:D14">
    <cfRule type="expression" dxfId="3" priority="1">
      <formula>J4&lt;$J$1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6353-DE5E-4E7F-A8BA-50D0ACE828C1}">
  <dimension ref="A1:J14"/>
  <sheetViews>
    <sheetView tabSelected="1" workbookViewId="0">
      <selection sqref="A1:J12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5" width="7.6640625" bestFit="1" customWidth="1"/>
    <col min="6" max="7" width="9.6640625" bestFit="1" customWidth="1"/>
    <col min="8" max="8" width="12" bestFit="1" customWidth="1"/>
    <col min="9" max="10" width="7.6640625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>
        <v>0.01</v>
      </c>
      <c r="J1" s="11">
        <v>0.1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3</v>
      </c>
      <c r="D3" s="12">
        <f>(C3+E3)/2</f>
        <v>3.45</v>
      </c>
      <c r="E3" s="13">
        <v>3.9</v>
      </c>
      <c r="F3" s="12">
        <f>C3^3.5-80</f>
        <v>-33.234628195640305</v>
      </c>
      <c r="G3" s="12">
        <f t="shared" ref="G3:H3" si="0">D3^3.5-80</f>
        <v>-3.7277017614838428</v>
      </c>
      <c r="H3" s="12">
        <f t="shared" si="0"/>
        <v>37.145638706270205</v>
      </c>
      <c r="I3" s="12"/>
      <c r="J3" s="12"/>
    </row>
    <row r="4" spans="1:10" ht="15" x14ac:dyDescent="0.3">
      <c r="B4" s="3">
        <v>2</v>
      </c>
      <c r="C4" s="12">
        <f>IF(F3*G3&lt;0,C3,D3)</f>
        <v>3.45</v>
      </c>
      <c r="D4" s="12">
        <f t="shared" ref="D4:D14" si="1">(C4+E4)/2</f>
        <v>3.6749999999999998</v>
      </c>
      <c r="E4" s="12">
        <f>IF(F3*G3&lt;0,D3,E3)</f>
        <v>3.9</v>
      </c>
      <c r="F4" s="12">
        <f t="shared" ref="F4:F14" si="2">C4^3.5-80</f>
        <v>-3.7277017614838428</v>
      </c>
      <c r="G4" s="12">
        <f t="shared" ref="G4:G14" si="3">D4^3.5-80</f>
        <v>15.148227427639668</v>
      </c>
      <c r="H4" s="12">
        <f t="shared" ref="H4:H14" si="4">E4^3.5-80</f>
        <v>37.145638706270205</v>
      </c>
      <c r="I4" s="12">
        <f>ABS(D4-D3)</f>
        <v>0.22499999999999964</v>
      </c>
      <c r="J4" s="12">
        <f>ABS(I4/D4)*100</f>
        <v>6.1224489795918275</v>
      </c>
    </row>
    <row r="5" spans="1:10" ht="15" x14ac:dyDescent="0.3">
      <c r="B5" s="3">
        <v>3</v>
      </c>
      <c r="C5" s="12">
        <f t="shared" ref="C5:C14" si="5">IF(F4*G4&lt;0,C4,D4)</f>
        <v>3.45</v>
      </c>
      <c r="D5" s="12">
        <f t="shared" si="1"/>
        <v>3.5625</v>
      </c>
      <c r="E5" s="12">
        <f t="shared" ref="E5:E14" si="6">IF(F4*G4&lt;0,D4,E4)</f>
        <v>3.6749999999999998</v>
      </c>
      <c r="F5" s="12">
        <f t="shared" si="2"/>
        <v>-3.7277017614838428</v>
      </c>
      <c r="G5" s="12">
        <f t="shared" si="3"/>
        <v>5.3379204450131539</v>
      </c>
      <c r="H5" s="12">
        <f t="shared" si="4"/>
        <v>15.148227427639668</v>
      </c>
      <c r="I5" s="12">
        <f t="shared" ref="I5:I14" si="7">ABS(D5-D4)</f>
        <v>0.11249999999999982</v>
      </c>
      <c r="J5" s="12">
        <f t="shared" ref="J5:J14" si="8">ABS(I5/D5)*100</f>
        <v>3.1578947368421004</v>
      </c>
    </row>
    <row r="6" spans="1:10" ht="15" x14ac:dyDescent="0.3">
      <c r="B6" s="3">
        <v>4</v>
      </c>
      <c r="C6" s="12">
        <f t="shared" si="5"/>
        <v>3.45</v>
      </c>
      <c r="D6" s="12">
        <f t="shared" si="1"/>
        <v>3.5062500000000001</v>
      </c>
      <c r="E6" s="12">
        <f t="shared" si="6"/>
        <v>3.5625</v>
      </c>
      <c r="F6" s="12">
        <f t="shared" si="2"/>
        <v>-3.7277017614838428</v>
      </c>
      <c r="G6" s="12">
        <f t="shared" si="3"/>
        <v>0.7142238807025052</v>
      </c>
      <c r="H6" s="12">
        <f t="shared" si="4"/>
        <v>5.3379204450131539</v>
      </c>
      <c r="I6" s="12">
        <f t="shared" si="7"/>
        <v>5.6249999999999911E-2</v>
      </c>
      <c r="J6" s="12">
        <f t="shared" si="8"/>
        <v>1.6042780748663075</v>
      </c>
    </row>
    <row r="7" spans="1:10" ht="15" x14ac:dyDescent="0.3">
      <c r="B7" s="3">
        <v>5</v>
      </c>
      <c r="C7" s="12">
        <f t="shared" si="5"/>
        <v>3.45</v>
      </c>
      <c r="D7" s="12">
        <f t="shared" si="1"/>
        <v>3.4781250000000004</v>
      </c>
      <c r="E7" s="12">
        <f t="shared" si="6"/>
        <v>3.5062500000000001</v>
      </c>
      <c r="F7" s="12">
        <f t="shared" si="2"/>
        <v>-3.7277017614838428</v>
      </c>
      <c r="G7" s="12">
        <f t="shared" si="3"/>
        <v>-1.5291871998563238</v>
      </c>
      <c r="H7" s="12">
        <f t="shared" si="4"/>
        <v>0.7142238807025052</v>
      </c>
      <c r="I7" s="12">
        <f t="shared" si="7"/>
        <v>2.8124999999999734E-2</v>
      </c>
      <c r="J7" s="12">
        <f t="shared" si="8"/>
        <v>0.80862533692721594</v>
      </c>
    </row>
    <row r="8" spans="1:10" ht="15" x14ac:dyDescent="0.3">
      <c r="B8" s="3">
        <v>6</v>
      </c>
      <c r="C8" s="12">
        <f t="shared" si="5"/>
        <v>3.4781250000000004</v>
      </c>
      <c r="D8" s="12">
        <f t="shared" si="1"/>
        <v>3.4921875</v>
      </c>
      <c r="E8" s="12">
        <f t="shared" si="6"/>
        <v>3.5062500000000001</v>
      </c>
      <c r="F8" s="12">
        <f t="shared" si="2"/>
        <v>-1.5291871998563238</v>
      </c>
      <c r="G8" s="12">
        <f t="shared" si="3"/>
        <v>-0.41312777690444591</v>
      </c>
      <c r="H8" s="12">
        <f t="shared" si="4"/>
        <v>0.7142238807025052</v>
      </c>
      <c r="I8" s="12">
        <f t="shared" si="7"/>
        <v>1.4062499999999645E-2</v>
      </c>
      <c r="J8" s="12">
        <f t="shared" si="8"/>
        <v>0.40268456375837908</v>
      </c>
    </row>
    <row r="9" spans="1:10" ht="15" x14ac:dyDescent="0.3">
      <c r="B9" s="3">
        <v>7</v>
      </c>
      <c r="C9" s="12">
        <f t="shared" si="5"/>
        <v>3.4921875</v>
      </c>
      <c r="D9" s="12">
        <f t="shared" si="1"/>
        <v>3.4992187499999998</v>
      </c>
      <c r="E9" s="12">
        <f t="shared" si="6"/>
        <v>3.5062500000000001</v>
      </c>
      <c r="F9" s="12">
        <f t="shared" si="2"/>
        <v>-0.41312777690444591</v>
      </c>
      <c r="G9" s="12">
        <f t="shared" si="3"/>
        <v>0.1491322584915622</v>
      </c>
      <c r="H9" s="12">
        <f t="shared" si="4"/>
        <v>0.7142238807025052</v>
      </c>
      <c r="I9" s="12">
        <f t="shared" si="7"/>
        <v>7.0312499999998224E-3</v>
      </c>
      <c r="J9" s="12">
        <f t="shared" si="8"/>
        <v>0.20093770931010882</v>
      </c>
    </row>
    <row r="10" spans="1:10" ht="15" x14ac:dyDescent="0.3">
      <c r="B10" s="3">
        <v>8</v>
      </c>
      <c r="C10" s="12">
        <f t="shared" si="5"/>
        <v>3.4921875</v>
      </c>
      <c r="D10" s="12">
        <f t="shared" si="1"/>
        <v>3.4957031249999999</v>
      </c>
      <c r="E10" s="12">
        <f t="shared" si="6"/>
        <v>3.4992187499999998</v>
      </c>
      <c r="F10" s="12">
        <f t="shared" si="2"/>
        <v>-0.41312777690444591</v>
      </c>
      <c r="G10" s="12">
        <f t="shared" si="3"/>
        <v>-0.1323511742136958</v>
      </c>
      <c r="H10" s="12">
        <f t="shared" si="4"/>
        <v>0.1491322584915622</v>
      </c>
      <c r="I10" s="12">
        <f t="shared" si="7"/>
        <v>3.5156249999999112E-3</v>
      </c>
      <c r="J10" s="12">
        <f t="shared" si="8"/>
        <v>0.10056989607777152</v>
      </c>
    </row>
    <row r="11" spans="1:10" ht="15" x14ac:dyDescent="0.3">
      <c r="B11" s="3">
        <v>9</v>
      </c>
      <c r="C11" s="12">
        <f t="shared" si="5"/>
        <v>3.4957031249999999</v>
      </c>
      <c r="D11" s="12">
        <f t="shared" si="1"/>
        <v>3.4974609374999996</v>
      </c>
      <c r="E11" s="12">
        <f t="shared" si="6"/>
        <v>3.4992187499999998</v>
      </c>
      <c r="F11" s="12">
        <f t="shared" si="2"/>
        <v>-0.1323511742136958</v>
      </c>
      <c r="G11" s="12">
        <f t="shared" si="3"/>
        <v>8.3021217400158775E-3</v>
      </c>
      <c r="H11" s="12">
        <f t="shared" si="4"/>
        <v>0.1491322584915622</v>
      </c>
      <c r="I11" s="12">
        <f t="shared" si="7"/>
        <v>1.7578124999997335E-3</v>
      </c>
      <c r="J11" s="12">
        <f t="shared" si="8"/>
        <v>5.0259674987427463E-2</v>
      </c>
    </row>
    <row r="12" spans="1:10" ht="15" x14ac:dyDescent="0.3">
      <c r="B12" s="3">
        <v>10</v>
      </c>
      <c r="C12" s="12">
        <f t="shared" si="5"/>
        <v>3.4957031249999999</v>
      </c>
      <c r="D12" s="12">
        <f t="shared" si="1"/>
        <v>3.49658203125</v>
      </c>
      <c r="E12" s="12">
        <f t="shared" si="6"/>
        <v>3.4974609374999996</v>
      </c>
      <c r="F12" s="12">
        <f t="shared" si="2"/>
        <v>-0.1323511742136958</v>
      </c>
      <c r="G12" s="12">
        <f t="shared" si="3"/>
        <v>-6.2046623004306412E-2</v>
      </c>
      <c r="H12" s="12">
        <f t="shared" si="4"/>
        <v>8.3021217400158775E-3</v>
      </c>
      <c r="I12" s="12">
        <f t="shared" si="7"/>
        <v>8.7890624999964473E-4</v>
      </c>
      <c r="J12" s="12">
        <f t="shared" si="8"/>
        <v>2.5136154168402074E-2</v>
      </c>
    </row>
    <row r="13" spans="1:10" ht="15" x14ac:dyDescent="0.3">
      <c r="B13" s="3">
        <v>11</v>
      </c>
      <c r="C13" s="12">
        <f t="shared" si="5"/>
        <v>3.49658203125</v>
      </c>
      <c r="D13" s="12">
        <f t="shared" si="1"/>
        <v>3.4970214843749998</v>
      </c>
      <c r="E13" s="12">
        <f t="shared" si="6"/>
        <v>3.4974609374999996</v>
      </c>
      <c r="F13" s="12">
        <f t="shared" si="2"/>
        <v>-6.2046623004306412E-2</v>
      </c>
      <c r="G13" s="12">
        <f t="shared" si="3"/>
        <v>-2.687777586545792E-2</v>
      </c>
      <c r="H13" s="12">
        <f t="shared" si="4"/>
        <v>8.3021217400158775E-3</v>
      </c>
      <c r="I13" s="12">
        <f t="shared" si="7"/>
        <v>4.3945312499982236E-4</v>
      </c>
      <c r="J13" s="12">
        <f t="shared" si="8"/>
        <v>1.2566497717081168E-2</v>
      </c>
    </row>
    <row r="14" spans="1:10" ht="15" x14ac:dyDescent="0.3">
      <c r="B14" s="3">
        <v>12</v>
      </c>
      <c r="C14" s="12">
        <f t="shared" si="5"/>
        <v>3.4970214843749998</v>
      </c>
      <c r="D14" s="12">
        <f t="shared" si="1"/>
        <v>3.4972412109374997</v>
      </c>
      <c r="E14" s="12">
        <f t="shared" si="6"/>
        <v>3.4974609374999996</v>
      </c>
      <c r="F14" s="12">
        <f t="shared" si="2"/>
        <v>-2.687777586545792E-2</v>
      </c>
      <c r="G14" s="12">
        <f t="shared" si="3"/>
        <v>-9.2892085012437065E-3</v>
      </c>
      <c r="H14" s="12">
        <f t="shared" si="4"/>
        <v>8.3021217400158775E-3</v>
      </c>
      <c r="I14" s="12">
        <f t="shared" si="7"/>
        <v>2.1972656249991118E-4</v>
      </c>
      <c r="J14" s="12">
        <f t="shared" si="8"/>
        <v>6.2828540911826171E-3</v>
      </c>
    </row>
  </sheetData>
  <conditionalFormatting sqref="D4:D14">
    <cfRule type="expression" dxfId="2" priority="1">
      <formula>J4&lt;$J$1</formula>
    </cfRule>
    <cfRule type="expression" dxfId="1" priority="2">
      <formula>I4&lt;$I$1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6A02-DC35-422F-BCB4-4EAD3D467538}">
  <dimension ref="A1:J14"/>
  <sheetViews>
    <sheetView workbookViewId="0">
      <selection activeCell="J2" sqref="J2"/>
    </sheetView>
  </sheetViews>
  <sheetFormatPr baseColWidth="10" defaultColWidth="11.44140625" defaultRowHeight="14.4" x14ac:dyDescent="0.3"/>
  <cols>
    <col min="1" max="1" width="10.33203125" bestFit="1" customWidth="1"/>
    <col min="2" max="2" width="3.44140625" bestFit="1" customWidth="1"/>
    <col min="3" max="3" width="7.6640625" bestFit="1" customWidth="1"/>
    <col min="4" max="4" width="8.44140625" bestFit="1" customWidth="1"/>
    <col min="5" max="5" width="7.6640625" bestFit="1" customWidth="1"/>
    <col min="6" max="6" width="9" bestFit="1" customWidth="1"/>
    <col min="7" max="7" width="8.5546875" bestFit="1" customWidth="1"/>
    <col min="8" max="8" width="12" bestFit="1" customWidth="1"/>
    <col min="9" max="9" width="7.6640625" bestFit="1" customWidth="1"/>
    <col min="10" max="10" width="9" bestFit="1" customWidth="1"/>
  </cols>
  <sheetData>
    <row r="1" spans="1:10" ht="15.6" x14ac:dyDescent="0.3">
      <c r="A1" s="2" t="s">
        <v>0</v>
      </c>
      <c r="B1" s="1"/>
      <c r="C1" s="1"/>
      <c r="D1" s="1"/>
      <c r="E1" s="1"/>
      <c r="F1" s="1"/>
      <c r="G1" s="1"/>
      <c r="H1" s="9" t="s">
        <v>12</v>
      </c>
      <c r="I1" s="10"/>
      <c r="J1" s="11">
        <v>5</v>
      </c>
    </row>
    <row r="2" spans="1:10" ht="15.6" x14ac:dyDescent="0.3">
      <c r="A2" s="1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1"/>
      <c r="B3" s="3">
        <v>1</v>
      </c>
      <c r="C3" s="13">
        <v>0</v>
      </c>
      <c r="D3" s="12">
        <f>(C3+E3)/2</f>
        <v>0.6</v>
      </c>
      <c r="E3" s="13">
        <v>1.2</v>
      </c>
      <c r="F3" s="12">
        <f>-12*C3^5-6*C3^3+10</f>
        <v>10</v>
      </c>
      <c r="G3" s="12">
        <f t="shared" ref="G3:H3" si="0">-12*D3^5-6*D3^3+10</f>
        <v>7.77088</v>
      </c>
      <c r="H3" s="12">
        <f t="shared" si="0"/>
        <v>-30.22784</v>
      </c>
      <c r="I3" s="12"/>
      <c r="J3" s="12"/>
    </row>
    <row r="4" spans="1:10" ht="15" x14ac:dyDescent="0.3">
      <c r="B4" s="3">
        <v>2</v>
      </c>
      <c r="C4" s="12">
        <f>IF(F3*G3&lt;0,C3,D3)</f>
        <v>0.6</v>
      </c>
      <c r="D4" s="12">
        <f t="shared" ref="D4:D14" si="1">(C4+E4)/2</f>
        <v>0.89999999999999991</v>
      </c>
      <c r="E4" s="12">
        <f>IF(F3*G3&lt;0,D3,E3)</f>
        <v>1.2</v>
      </c>
      <c r="F4" s="12">
        <f t="shared" ref="F4:F14" si="2">-12*C4^5-6*C4^3+10</f>
        <v>7.77088</v>
      </c>
      <c r="G4" s="12">
        <f t="shared" ref="G4:G14" si="3">-12*D4^5-6*D4^3+10</f>
        <v>-1.4598799999999947</v>
      </c>
      <c r="H4" s="12">
        <f t="shared" ref="H4:H14" si="4">-12*E4^5-6*E4^3+10</f>
        <v>-30.22784</v>
      </c>
      <c r="I4" s="12">
        <f>ABS(D4-D3)</f>
        <v>0.29999999999999993</v>
      </c>
      <c r="J4" s="12">
        <f>ABS(I4/D4)*100</f>
        <v>33.333333333333329</v>
      </c>
    </row>
    <row r="5" spans="1:10" ht="15" x14ac:dyDescent="0.3">
      <c r="B5" s="3">
        <v>3</v>
      </c>
      <c r="C5" s="12">
        <f t="shared" ref="C5:C14" si="5">IF(F4*G4&lt;0,C4,D4)</f>
        <v>0.6</v>
      </c>
      <c r="D5" s="12">
        <f t="shared" si="1"/>
        <v>0.75</v>
      </c>
      <c r="E5" s="12">
        <f t="shared" ref="E5:E14" si="6">IF(F4*G4&lt;0,D4,E4)</f>
        <v>0.89999999999999991</v>
      </c>
      <c r="F5" s="12">
        <f t="shared" si="2"/>
        <v>7.77088</v>
      </c>
      <c r="G5" s="12">
        <f t="shared" si="3"/>
        <v>4.62109375</v>
      </c>
      <c r="H5" s="12">
        <f t="shared" si="4"/>
        <v>-1.4598799999999947</v>
      </c>
      <c r="I5" s="12">
        <f t="shared" ref="I5:I14" si="7">ABS(D5-D4)</f>
        <v>0.14999999999999991</v>
      </c>
      <c r="J5" s="12">
        <f t="shared" ref="J5:J14" si="8">ABS(I5/D5)*100</f>
        <v>19.999999999999986</v>
      </c>
    </row>
    <row r="6" spans="1:10" ht="15" x14ac:dyDescent="0.3">
      <c r="B6" s="3">
        <v>4</v>
      </c>
      <c r="C6" s="12">
        <f t="shared" si="5"/>
        <v>0.75</v>
      </c>
      <c r="D6" s="12">
        <f t="shared" si="1"/>
        <v>0.82499999999999996</v>
      </c>
      <c r="E6" s="12">
        <f t="shared" si="6"/>
        <v>0.89999999999999991</v>
      </c>
      <c r="F6" s="12">
        <f t="shared" si="2"/>
        <v>4.62109375</v>
      </c>
      <c r="G6" s="12">
        <f t="shared" si="3"/>
        <v>2.0447273828125017</v>
      </c>
      <c r="H6" s="12">
        <f t="shared" si="4"/>
        <v>-1.4598799999999947</v>
      </c>
      <c r="I6" s="12">
        <f t="shared" si="7"/>
        <v>7.4999999999999956E-2</v>
      </c>
      <c r="J6" s="12">
        <f t="shared" si="8"/>
        <v>9.0909090909090864</v>
      </c>
    </row>
    <row r="7" spans="1:10" ht="15" x14ac:dyDescent="0.3">
      <c r="B7" s="3">
        <v>5</v>
      </c>
      <c r="C7" s="12">
        <f t="shared" si="5"/>
        <v>0.82499999999999996</v>
      </c>
      <c r="D7" s="12">
        <f t="shared" si="1"/>
        <v>0.86249999999999993</v>
      </c>
      <c r="E7" s="12">
        <f t="shared" si="6"/>
        <v>0.89999999999999991</v>
      </c>
      <c r="F7" s="12">
        <f t="shared" si="2"/>
        <v>2.0447273828125017</v>
      </c>
      <c r="G7" s="12">
        <f t="shared" si="3"/>
        <v>0.42263129028320634</v>
      </c>
      <c r="H7" s="12">
        <f t="shared" si="4"/>
        <v>-1.4598799999999947</v>
      </c>
      <c r="I7" s="12">
        <f t="shared" si="7"/>
        <v>3.7499999999999978E-2</v>
      </c>
      <c r="J7" s="12">
        <f t="shared" si="8"/>
        <v>4.3478260869565197</v>
      </c>
    </row>
    <row r="8" spans="1:10" ht="15" x14ac:dyDescent="0.3">
      <c r="B8" s="3">
        <v>6</v>
      </c>
      <c r="C8" s="12">
        <f t="shared" si="5"/>
        <v>0.86249999999999993</v>
      </c>
      <c r="D8" s="12">
        <f t="shared" si="1"/>
        <v>0.88124999999999987</v>
      </c>
      <c r="E8" s="12">
        <f t="shared" si="6"/>
        <v>0.89999999999999991</v>
      </c>
      <c r="F8" s="12">
        <f t="shared" si="2"/>
        <v>0.42263129028320634</v>
      </c>
      <c r="G8" s="12">
        <f t="shared" si="3"/>
        <v>-0.48416887294768784</v>
      </c>
      <c r="H8" s="12">
        <f t="shared" si="4"/>
        <v>-1.4598799999999947</v>
      </c>
      <c r="I8" s="12">
        <f t="shared" si="7"/>
        <v>1.8749999999999933E-2</v>
      </c>
      <c r="J8" s="12">
        <f t="shared" si="8"/>
        <v>2.127659574468078</v>
      </c>
    </row>
    <row r="9" spans="1:10" ht="15" x14ac:dyDescent="0.3">
      <c r="B9" s="3">
        <v>7</v>
      </c>
      <c r="C9" s="12">
        <f t="shared" si="5"/>
        <v>0.86249999999999993</v>
      </c>
      <c r="D9" s="12">
        <f t="shared" si="1"/>
        <v>0.87187499999999996</v>
      </c>
      <c r="E9" s="12">
        <f t="shared" si="6"/>
        <v>0.88124999999999987</v>
      </c>
      <c r="F9" s="12">
        <f t="shared" si="2"/>
        <v>0.42263129028320634</v>
      </c>
      <c r="G9" s="12">
        <f t="shared" si="3"/>
        <v>-2.2398904081583737E-2</v>
      </c>
      <c r="H9" s="12">
        <f t="shared" si="4"/>
        <v>-0.48416887294768784</v>
      </c>
      <c r="I9" s="12">
        <f t="shared" si="7"/>
        <v>9.3749999999999112E-3</v>
      </c>
      <c r="J9" s="12">
        <f t="shared" si="8"/>
        <v>1.075268817204291</v>
      </c>
    </row>
    <row r="10" spans="1:10" ht="15" x14ac:dyDescent="0.3">
      <c r="B10" s="3">
        <v>8</v>
      </c>
      <c r="C10" s="12">
        <f t="shared" si="5"/>
        <v>0.86249999999999993</v>
      </c>
      <c r="D10" s="12">
        <f t="shared" si="1"/>
        <v>0.8671875</v>
      </c>
      <c r="E10" s="12">
        <f t="shared" si="6"/>
        <v>0.87187499999999996</v>
      </c>
      <c r="F10" s="12">
        <f t="shared" si="2"/>
        <v>0.42263129028320634</v>
      </c>
      <c r="G10" s="12">
        <f t="shared" si="3"/>
        <v>0.20217870024498552</v>
      </c>
      <c r="H10" s="12">
        <f t="shared" si="4"/>
        <v>-2.2398904081583737E-2</v>
      </c>
      <c r="I10" s="12">
        <f t="shared" si="7"/>
        <v>4.6874999999999556E-3</v>
      </c>
      <c r="J10" s="12">
        <f t="shared" si="8"/>
        <v>0.54054054054053546</v>
      </c>
    </row>
    <row r="11" spans="1:10" ht="15" x14ac:dyDescent="0.3">
      <c r="B11" s="3">
        <v>9</v>
      </c>
      <c r="C11" s="12">
        <f t="shared" si="5"/>
        <v>0.8671875</v>
      </c>
      <c r="D11" s="12">
        <f t="shared" si="1"/>
        <v>0.86953124999999998</v>
      </c>
      <c r="E11" s="12">
        <f t="shared" si="6"/>
        <v>0.87187499999999996</v>
      </c>
      <c r="F11" s="12">
        <f t="shared" si="2"/>
        <v>0.20217870024498552</v>
      </c>
      <c r="G11" s="12">
        <f t="shared" si="3"/>
        <v>9.0409246811669064E-2</v>
      </c>
      <c r="H11" s="12">
        <f t="shared" si="4"/>
        <v>-2.2398904081583737E-2</v>
      </c>
      <c r="I11" s="12">
        <f t="shared" si="7"/>
        <v>2.3437499999999778E-3</v>
      </c>
      <c r="J11" s="12">
        <f t="shared" si="8"/>
        <v>0.26954177897573872</v>
      </c>
    </row>
    <row r="12" spans="1:10" ht="15" x14ac:dyDescent="0.3">
      <c r="B12" s="3">
        <v>10</v>
      </c>
      <c r="C12" s="12">
        <f t="shared" si="5"/>
        <v>0.86953124999999998</v>
      </c>
      <c r="D12" s="12">
        <f t="shared" si="1"/>
        <v>0.87070312499999991</v>
      </c>
      <c r="E12" s="12">
        <f t="shared" si="6"/>
        <v>0.87187499999999996</v>
      </c>
      <c r="F12" s="12">
        <f t="shared" si="2"/>
        <v>9.0409246811669064E-2</v>
      </c>
      <c r="G12" s="12">
        <f t="shared" si="3"/>
        <v>3.4135475853984687E-2</v>
      </c>
      <c r="H12" s="12">
        <f t="shared" si="4"/>
        <v>-2.2398904081583737E-2</v>
      </c>
      <c r="I12" s="12">
        <f t="shared" si="7"/>
        <v>1.1718749999999334E-3</v>
      </c>
      <c r="J12" s="12">
        <f t="shared" si="8"/>
        <v>0.13458950201883491</v>
      </c>
    </row>
    <row r="13" spans="1:10" ht="15" x14ac:dyDescent="0.3">
      <c r="B13" s="3">
        <v>11</v>
      </c>
      <c r="C13" s="12">
        <f t="shared" si="5"/>
        <v>0.87070312499999991</v>
      </c>
      <c r="D13" s="12">
        <f t="shared" si="1"/>
        <v>0.87128906249999993</v>
      </c>
      <c r="E13" s="12">
        <f t="shared" si="6"/>
        <v>0.87187499999999996</v>
      </c>
      <c r="F13" s="12">
        <f t="shared" si="2"/>
        <v>3.4135475853984687E-2</v>
      </c>
      <c r="G13" s="12">
        <f t="shared" si="3"/>
        <v>5.9009205509692464E-3</v>
      </c>
      <c r="H13" s="12">
        <f t="shared" si="4"/>
        <v>-2.2398904081583737E-2</v>
      </c>
      <c r="I13" s="12">
        <f t="shared" si="7"/>
        <v>5.859375000000222E-4</v>
      </c>
      <c r="J13" s="12">
        <f t="shared" si="8"/>
        <v>6.7249495628785336E-2</v>
      </c>
    </row>
    <row r="14" spans="1:10" ht="15" x14ac:dyDescent="0.3">
      <c r="B14" s="3">
        <v>12</v>
      </c>
      <c r="C14" s="12">
        <f t="shared" si="5"/>
        <v>0.87128906249999993</v>
      </c>
      <c r="D14" s="12">
        <f t="shared" si="1"/>
        <v>0.87158203125</v>
      </c>
      <c r="E14" s="12">
        <f t="shared" si="6"/>
        <v>0.87187499999999996</v>
      </c>
      <c r="F14" s="12">
        <f t="shared" si="2"/>
        <v>5.9009205509692464E-3</v>
      </c>
      <c r="G14" s="12">
        <f t="shared" si="3"/>
        <v>-8.2408257732140555E-3</v>
      </c>
      <c r="H14" s="12">
        <f t="shared" si="4"/>
        <v>-2.2398904081583737E-2</v>
      </c>
      <c r="I14" s="12">
        <f t="shared" si="7"/>
        <v>2.9296875000006661E-4</v>
      </c>
      <c r="J14" s="12">
        <f t="shared" si="8"/>
        <v>3.3613445378158906E-2</v>
      </c>
    </row>
  </sheetData>
  <conditionalFormatting sqref="D4:D14">
    <cfRule type="expression" dxfId="0" priority="1">
      <formula>J4&lt;$J$1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Bisección</vt:lpstr>
      <vt:lpstr>Tarea E-1</vt:lpstr>
      <vt:lpstr>Tarea E-2</vt:lpstr>
      <vt:lpstr>Tarea E-3</vt:lpstr>
      <vt:lpstr>Tarea E-4</vt:lpstr>
      <vt:lpstr>Tarea E-5</vt:lpstr>
      <vt:lpstr>Tarea E-6</vt:lpstr>
      <vt:lpstr>Tarea E-7</vt:lpstr>
      <vt:lpstr>Tarea E-8</vt:lpstr>
      <vt:lpstr>Tarea E-9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Muñoz</dc:creator>
  <cp:keywords/>
  <dc:description/>
  <cp:lastModifiedBy>Victoria Muñoz</cp:lastModifiedBy>
  <cp:revision/>
  <dcterms:created xsi:type="dcterms:W3CDTF">2024-02-02T11:38:20Z</dcterms:created>
  <dcterms:modified xsi:type="dcterms:W3CDTF">2024-02-18T02:52:35Z</dcterms:modified>
  <cp:category/>
  <cp:contentStatus/>
</cp:coreProperties>
</file>