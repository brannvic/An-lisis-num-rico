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1984" documentId="8_{9B654C85-BDBE-4506-98BE-187F6E360B93}" xr6:coauthVersionLast="47" xr6:coauthVersionMax="47" xr10:uidLastSave="{9F39216A-3452-4C16-BE78-CE37E63FC190}"/>
  <bookViews>
    <workbookView xWindow="-108" yWindow="-108" windowWidth="23256" windowHeight="13176" firstSheet="13" activeTab="16" xr2:uid="{B58E6725-4A8C-4CA3-BA4A-6D5F88F85AE9}"/>
  </bookViews>
  <sheets>
    <sheet name="LU 2X2" sheetId="2" r:id="rId1"/>
    <sheet name="LU 3x3" sheetId="1" r:id="rId2"/>
    <sheet name="LU 4x4" sheetId="18" r:id="rId3"/>
    <sheet name="T5-E1" sheetId="4" r:id="rId4"/>
    <sheet name="T5-E2" sheetId="5" r:id="rId5"/>
    <sheet name="T5-E3" sheetId="6" r:id="rId6"/>
    <sheet name="T5-E4" sheetId="7" r:id="rId7"/>
    <sheet name="T5-E5" sheetId="8" r:id="rId8"/>
    <sheet name="T5-E6" sheetId="9" r:id="rId9"/>
    <sheet name="T5-E7" sheetId="10" r:id="rId10"/>
    <sheet name="T5-E8" sheetId="11" r:id="rId11"/>
    <sheet name="T5-E9" sheetId="12" r:id="rId12"/>
    <sheet name="T5-E10" sheetId="13" r:id="rId13"/>
    <sheet name="T5-E11" sheetId="14" r:id="rId14"/>
    <sheet name="T5-E12" sheetId="15" r:id="rId15"/>
    <sheet name="T5-E13" sheetId="16" r:id="rId16"/>
    <sheet name="T5-E14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0" l="1"/>
  <c r="I24" i="10"/>
  <c r="I25" i="10"/>
  <c r="H27" i="10"/>
  <c r="H32" i="10" s="1"/>
  <c r="H37" i="10" s="1"/>
  <c r="K25" i="10"/>
  <c r="K30" i="10" s="1"/>
  <c r="K35" i="10" s="1"/>
  <c r="K40" i="10" s="1"/>
  <c r="K24" i="10"/>
  <c r="K29" i="10" s="1"/>
  <c r="K34" i="10" s="1"/>
  <c r="K39" i="10" s="1"/>
  <c r="J24" i="10"/>
  <c r="J29" i="10" s="1"/>
  <c r="J34" i="10" s="1"/>
  <c r="J39" i="10" s="1"/>
  <c r="K23" i="10"/>
  <c r="K28" i="10" s="1"/>
  <c r="K33" i="10" s="1"/>
  <c r="K38" i="10" s="1"/>
  <c r="H22" i="10"/>
  <c r="K20" i="10"/>
  <c r="K19" i="10"/>
  <c r="J19" i="10"/>
  <c r="K18" i="10"/>
  <c r="J18" i="10"/>
  <c r="J23" i="10" s="1"/>
  <c r="J28" i="10" s="1"/>
  <c r="J33" i="10" s="1"/>
  <c r="J38" i="10" s="1"/>
  <c r="I18" i="10"/>
  <c r="I23" i="10" s="1"/>
  <c r="I28" i="10" s="1"/>
  <c r="I33" i="10" s="1"/>
  <c r="I38" i="10" s="1"/>
  <c r="K17" i="10"/>
  <c r="K22" i="10" s="1"/>
  <c r="K27" i="10" s="1"/>
  <c r="K32" i="10" s="1"/>
  <c r="K37" i="10" s="1"/>
  <c r="J17" i="10"/>
  <c r="J22" i="10" s="1"/>
  <c r="J27" i="10" s="1"/>
  <c r="J32" i="10" s="1"/>
  <c r="J37" i="10" s="1"/>
  <c r="I17" i="10"/>
  <c r="I22" i="10" s="1"/>
  <c r="I27" i="10" s="1"/>
  <c r="I32" i="10" s="1"/>
  <c r="I37" i="10" s="1"/>
  <c r="H17" i="10"/>
  <c r="F7" i="10"/>
  <c r="F12" i="10" s="1"/>
  <c r="F17" i="10" s="1"/>
  <c r="F22" i="10" s="1"/>
  <c r="F27" i="10" s="1"/>
  <c r="F32" i="10" s="1"/>
  <c r="F37" i="10" s="1"/>
  <c r="H42" i="10" s="1"/>
  <c r="E7" i="10"/>
  <c r="E12" i="10" s="1"/>
  <c r="E17" i="10" s="1"/>
  <c r="E22" i="10" s="1"/>
  <c r="E27" i="10" s="1"/>
  <c r="E32" i="10" s="1"/>
  <c r="E37" i="10" s="1"/>
  <c r="D7" i="10"/>
  <c r="D12" i="10" s="1"/>
  <c r="D17" i="10" s="1"/>
  <c r="D22" i="10" s="1"/>
  <c r="D27" i="10" s="1"/>
  <c r="D32" i="10" s="1"/>
  <c r="D37" i="10" s="1"/>
  <c r="C7" i="10"/>
  <c r="C12" i="10" s="1"/>
  <c r="C17" i="10" s="1"/>
  <c r="C22" i="10" s="1"/>
  <c r="C27" i="10" s="1"/>
  <c r="C32" i="10" s="1"/>
  <c r="C37" i="10" s="1"/>
  <c r="B7" i="10"/>
  <c r="B12" i="10" s="1"/>
  <c r="B17" i="10" s="1"/>
  <c r="B22" i="10" s="1"/>
  <c r="B27" i="10" s="1"/>
  <c r="B32" i="10" s="1"/>
  <c r="B37" i="10" s="1"/>
  <c r="J34" i="9"/>
  <c r="J39" i="9" s="1"/>
  <c r="K33" i="9"/>
  <c r="K38" i="9" s="1"/>
  <c r="J33" i="9"/>
  <c r="J38" i="9" s="1"/>
  <c r="H27" i="9"/>
  <c r="H32" i="9" s="1"/>
  <c r="H37" i="9" s="1"/>
  <c r="K25" i="9"/>
  <c r="K30" i="9" s="1"/>
  <c r="K35" i="9" s="1"/>
  <c r="K40" i="9" s="1"/>
  <c r="K24" i="9"/>
  <c r="K29" i="9" s="1"/>
  <c r="K34" i="9" s="1"/>
  <c r="K39" i="9" s="1"/>
  <c r="J24" i="9"/>
  <c r="J29" i="9" s="1"/>
  <c r="K23" i="9"/>
  <c r="K28" i="9" s="1"/>
  <c r="H22" i="9"/>
  <c r="K20" i="9"/>
  <c r="K19" i="9"/>
  <c r="J19" i="9"/>
  <c r="K18" i="9"/>
  <c r="J18" i="9"/>
  <c r="J23" i="9" s="1"/>
  <c r="J28" i="9" s="1"/>
  <c r="I18" i="9"/>
  <c r="I23" i="9" s="1"/>
  <c r="I28" i="9" s="1"/>
  <c r="I33" i="9" s="1"/>
  <c r="I38" i="9" s="1"/>
  <c r="K17" i="9"/>
  <c r="K22" i="9" s="1"/>
  <c r="K27" i="9" s="1"/>
  <c r="K32" i="9" s="1"/>
  <c r="K37" i="9" s="1"/>
  <c r="J17" i="9"/>
  <c r="J22" i="9" s="1"/>
  <c r="J27" i="9" s="1"/>
  <c r="J32" i="9" s="1"/>
  <c r="J37" i="9" s="1"/>
  <c r="I17" i="9"/>
  <c r="I22" i="9" s="1"/>
  <c r="I27" i="9" s="1"/>
  <c r="I32" i="9" s="1"/>
  <c r="I37" i="9" s="1"/>
  <c r="H17" i="9"/>
  <c r="B12" i="9"/>
  <c r="B17" i="9" s="1"/>
  <c r="B22" i="9" s="1"/>
  <c r="B27" i="9" s="1"/>
  <c r="B32" i="9" s="1"/>
  <c r="B37" i="9" s="1"/>
  <c r="G7" i="9"/>
  <c r="D10" i="9" s="1"/>
  <c r="F7" i="9"/>
  <c r="F12" i="9" s="1"/>
  <c r="F17" i="9" s="1"/>
  <c r="F22" i="9" s="1"/>
  <c r="F27" i="9" s="1"/>
  <c r="F32" i="9" s="1"/>
  <c r="F37" i="9" s="1"/>
  <c r="H42" i="9" s="1"/>
  <c r="E7" i="9"/>
  <c r="E12" i="9" s="1"/>
  <c r="E17" i="9" s="1"/>
  <c r="E22" i="9" s="1"/>
  <c r="E27" i="9" s="1"/>
  <c r="E32" i="9" s="1"/>
  <c r="E37" i="9" s="1"/>
  <c r="D7" i="9"/>
  <c r="D12" i="9" s="1"/>
  <c r="D17" i="9" s="1"/>
  <c r="D22" i="9" s="1"/>
  <c r="D27" i="9" s="1"/>
  <c r="D32" i="9" s="1"/>
  <c r="D37" i="9" s="1"/>
  <c r="C7" i="9"/>
  <c r="C12" i="9" s="1"/>
  <c r="C17" i="9" s="1"/>
  <c r="C22" i="9" s="1"/>
  <c r="C27" i="9" s="1"/>
  <c r="C32" i="9" s="1"/>
  <c r="C37" i="9" s="1"/>
  <c r="B7" i="9"/>
  <c r="G7" i="8"/>
  <c r="C10" i="8" s="1"/>
  <c r="K25" i="8"/>
  <c r="K30" i="8" s="1"/>
  <c r="K35" i="8" s="1"/>
  <c r="K40" i="8" s="1"/>
  <c r="K24" i="8"/>
  <c r="K29" i="8" s="1"/>
  <c r="K34" i="8" s="1"/>
  <c r="K39" i="8" s="1"/>
  <c r="J24" i="8"/>
  <c r="J29" i="8" s="1"/>
  <c r="J34" i="8" s="1"/>
  <c r="J39" i="8" s="1"/>
  <c r="K23" i="8"/>
  <c r="K28" i="8" s="1"/>
  <c r="K33" i="8" s="1"/>
  <c r="K38" i="8" s="1"/>
  <c r="J23" i="8"/>
  <c r="J28" i="8" s="1"/>
  <c r="J33" i="8" s="1"/>
  <c r="J38" i="8" s="1"/>
  <c r="K20" i="8"/>
  <c r="K19" i="8"/>
  <c r="J19" i="8"/>
  <c r="K18" i="8"/>
  <c r="J18" i="8"/>
  <c r="I18" i="8"/>
  <c r="I23" i="8" s="1"/>
  <c r="I28" i="8" s="1"/>
  <c r="I33" i="8" s="1"/>
  <c r="I38" i="8" s="1"/>
  <c r="K17" i="8"/>
  <c r="K22" i="8" s="1"/>
  <c r="K27" i="8" s="1"/>
  <c r="K32" i="8" s="1"/>
  <c r="K37" i="8" s="1"/>
  <c r="J17" i="8"/>
  <c r="J22" i="8" s="1"/>
  <c r="J27" i="8" s="1"/>
  <c r="J32" i="8" s="1"/>
  <c r="J37" i="8" s="1"/>
  <c r="I17" i="8"/>
  <c r="I22" i="8" s="1"/>
  <c r="I27" i="8" s="1"/>
  <c r="I32" i="8" s="1"/>
  <c r="I37" i="8" s="1"/>
  <c r="H17" i="8"/>
  <c r="H22" i="8" s="1"/>
  <c r="H27" i="8" s="1"/>
  <c r="H32" i="8" s="1"/>
  <c r="H37" i="8" s="1"/>
  <c r="F7" i="8"/>
  <c r="F12" i="8" s="1"/>
  <c r="F17" i="8" s="1"/>
  <c r="F22" i="8" s="1"/>
  <c r="F27" i="8" s="1"/>
  <c r="F32" i="8" s="1"/>
  <c r="F37" i="8" s="1"/>
  <c r="H42" i="8" s="1"/>
  <c r="E7" i="8"/>
  <c r="E12" i="8" s="1"/>
  <c r="E17" i="8" s="1"/>
  <c r="E22" i="8" s="1"/>
  <c r="E27" i="8" s="1"/>
  <c r="E32" i="8" s="1"/>
  <c r="E37" i="8" s="1"/>
  <c r="D7" i="8"/>
  <c r="D12" i="8" s="1"/>
  <c r="D17" i="8" s="1"/>
  <c r="D22" i="8" s="1"/>
  <c r="D27" i="8" s="1"/>
  <c r="D32" i="8" s="1"/>
  <c r="D37" i="8" s="1"/>
  <c r="C7" i="8"/>
  <c r="C12" i="8" s="1"/>
  <c r="C17" i="8" s="1"/>
  <c r="C22" i="8" s="1"/>
  <c r="C27" i="8" s="1"/>
  <c r="C32" i="8" s="1"/>
  <c r="C37" i="8" s="1"/>
  <c r="B7" i="8"/>
  <c r="B12" i="8" s="1"/>
  <c r="B17" i="8" s="1"/>
  <c r="B22" i="8" s="1"/>
  <c r="B27" i="8" s="1"/>
  <c r="B32" i="8" s="1"/>
  <c r="B37" i="8" s="1"/>
  <c r="J30" i="18"/>
  <c r="J25" i="18"/>
  <c r="I20" i="18"/>
  <c r="J20" i="18"/>
  <c r="I19" i="18"/>
  <c r="K33" i="18"/>
  <c r="K38" i="18" s="1"/>
  <c r="J33" i="18"/>
  <c r="J38" i="18" s="1"/>
  <c r="I27" i="18"/>
  <c r="I32" i="18" s="1"/>
  <c r="I37" i="18" s="1"/>
  <c r="H27" i="18"/>
  <c r="H32" i="18" s="1"/>
  <c r="H37" i="18" s="1"/>
  <c r="F27" i="18"/>
  <c r="F32" i="18" s="1"/>
  <c r="F37" i="18" s="1"/>
  <c r="H42" i="18" s="1"/>
  <c r="K23" i="18"/>
  <c r="K28" i="18" s="1"/>
  <c r="J23" i="18"/>
  <c r="J28" i="18" s="1"/>
  <c r="I23" i="18"/>
  <c r="I28" i="18" s="1"/>
  <c r="I33" i="18" s="1"/>
  <c r="I38" i="18" s="1"/>
  <c r="K22" i="18"/>
  <c r="K27" i="18" s="1"/>
  <c r="K32" i="18" s="1"/>
  <c r="K37" i="18" s="1"/>
  <c r="J22" i="18"/>
  <c r="J27" i="18" s="1"/>
  <c r="J32" i="18" s="1"/>
  <c r="J37" i="18" s="1"/>
  <c r="K20" i="18"/>
  <c r="K25" i="18" s="1"/>
  <c r="K30" i="18" s="1"/>
  <c r="K35" i="18" s="1"/>
  <c r="K40" i="18" s="1"/>
  <c r="K19" i="18"/>
  <c r="K24" i="18" s="1"/>
  <c r="K29" i="18" s="1"/>
  <c r="K34" i="18" s="1"/>
  <c r="K39" i="18" s="1"/>
  <c r="J19" i="18"/>
  <c r="J24" i="18" s="1"/>
  <c r="J29" i="18" s="1"/>
  <c r="J34" i="18" s="1"/>
  <c r="J39" i="18" s="1"/>
  <c r="K18" i="18"/>
  <c r="J18" i="18"/>
  <c r="I18" i="18"/>
  <c r="K17" i="18"/>
  <c r="J17" i="18"/>
  <c r="I17" i="18"/>
  <c r="I22" i="18" s="1"/>
  <c r="H17" i="18"/>
  <c r="H22" i="18" s="1"/>
  <c r="F17" i="18"/>
  <c r="F22" i="18" s="1"/>
  <c r="E17" i="18"/>
  <c r="E22" i="18" s="1"/>
  <c r="E27" i="18" s="1"/>
  <c r="E32" i="18" s="1"/>
  <c r="E37" i="18" s="1"/>
  <c r="F12" i="18"/>
  <c r="E12" i="18"/>
  <c r="D12" i="18"/>
  <c r="D17" i="18" s="1"/>
  <c r="D22" i="18" s="1"/>
  <c r="D27" i="18" s="1"/>
  <c r="D32" i="18" s="1"/>
  <c r="D37" i="18" s="1"/>
  <c r="C8" i="18"/>
  <c r="B8" i="18"/>
  <c r="B13" i="18" s="1"/>
  <c r="F7" i="18"/>
  <c r="E7" i="18"/>
  <c r="D7" i="18"/>
  <c r="C7" i="18"/>
  <c r="C12" i="18" s="1"/>
  <c r="C17" i="18" s="1"/>
  <c r="C22" i="18" s="1"/>
  <c r="C27" i="18" s="1"/>
  <c r="C32" i="18" s="1"/>
  <c r="C37" i="18" s="1"/>
  <c r="B7" i="18"/>
  <c r="G7" i="18" s="1"/>
  <c r="E9" i="18" s="1"/>
  <c r="B7" i="1"/>
  <c r="B6" i="1"/>
  <c r="G12" i="17"/>
  <c r="G11" i="17"/>
  <c r="F11" i="17"/>
  <c r="D5" i="17"/>
  <c r="D8" i="17" s="1"/>
  <c r="D11" i="17" s="1"/>
  <c r="F14" i="17" s="1"/>
  <c r="C5" i="17"/>
  <c r="C8" i="17" s="1"/>
  <c r="C11" i="17" s="1"/>
  <c r="B5" i="17" a="1"/>
  <c r="B5" i="17" s="1"/>
  <c r="G12" i="16"/>
  <c r="G11" i="16"/>
  <c r="F11" i="16"/>
  <c r="D5" i="16"/>
  <c r="D8" i="16" s="1"/>
  <c r="D11" i="16" s="1"/>
  <c r="F14" i="16" s="1"/>
  <c r="C5" i="16"/>
  <c r="C8" i="16" s="1"/>
  <c r="C11" i="16" s="1"/>
  <c r="B5" i="16" a="1"/>
  <c r="B5" i="16" s="1"/>
  <c r="G12" i="15"/>
  <c r="G11" i="15"/>
  <c r="F11" i="15"/>
  <c r="D5" i="15"/>
  <c r="D8" i="15" s="1"/>
  <c r="D11" i="15" s="1"/>
  <c r="F14" i="15" s="1"/>
  <c r="C5" i="15"/>
  <c r="C8" i="15" s="1"/>
  <c r="C11" i="15" s="1"/>
  <c r="B5" i="15" a="1"/>
  <c r="B5" i="15" s="1"/>
  <c r="G12" i="14"/>
  <c r="G11" i="14"/>
  <c r="F11" i="14"/>
  <c r="I23" i="13"/>
  <c r="H23" i="13"/>
  <c r="H22" i="13"/>
  <c r="G22" i="13"/>
  <c r="I20" i="13"/>
  <c r="I19" i="13"/>
  <c r="H19" i="13"/>
  <c r="H18" i="13"/>
  <c r="G18" i="13"/>
  <c r="I16" i="13"/>
  <c r="I15" i="13"/>
  <c r="H15" i="13"/>
  <c r="I14" i="13"/>
  <c r="I18" i="13" s="1"/>
  <c r="I22" i="13" s="1"/>
  <c r="H14" i="13"/>
  <c r="G14" i="13"/>
  <c r="E10" i="13"/>
  <c r="E14" i="13" s="1"/>
  <c r="E18" i="13" s="1"/>
  <c r="E22" i="13" s="1"/>
  <c r="G26" i="13" s="1"/>
  <c r="E6" i="13"/>
  <c r="D6" i="13"/>
  <c r="D10" i="13" s="1"/>
  <c r="D14" i="13" s="1"/>
  <c r="D18" i="13" s="1"/>
  <c r="D22" i="13" s="1"/>
  <c r="C6" i="13"/>
  <c r="C10" i="13" s="1"/>
  <c r="C14" i="13" s="1"/>
  <c r="C18" i="13" s="1"/>
  <c r="C22" i="13" s="1"/>
  <c r="B6" i="13"/>
  <c r="F6" i="13" s="1"/>
  <c r="I23" i="12"/>
  <c r="H23" i="12"/>
  <c r="H22" i="12"/>
  <c r="G22" i="12"/>
  <c r="I20" i="12"/>
  <c r="I19" i="12"/>
  <c r="H19" i="12"/>
  <c r="H18" i="12"/>
  <c r="G18" i="12"/>
  <c r="I16" i="12"/>
  <c r="I15" i="12"/>
  <c r="H15" i="12"/>
  <c r="I14" i="12"/>
  <c r="I18" i="12" s="1"/>
  <c r="I22" i="12" s="1"/>
  <c r="H14" i="12"/>
  <c r="G14" i="12"/>
  <c r="E10" i="12"/>
  <c r="E14" i="12" s="1"/>
  <c r="E18" i="12" s="1"/>
  <c r="E22" i="12" s="1"/>
  <c r="G26" i="12" s="1"/>
  <c r="E6" i="12"/>
  <c r="D6" i="12"/>
  <c r="D10" i="12" s="1"/>
  <c r="D14" i="12" s="1"/>
  <c r="D18" i="12" s="1"/>
  <c r="D22" i="12" s="1"/>
  <c r="C6" i="12"/>
  <c r="C10" i="12" s="1"/>
  <c r="C14" i="12" s="1"/>
  <c r="C18" i="12" s="1"/>
  <c r="C22" i="12" s="1"/>
  <c r="B6" i="12"/>
  <c r="F6" i="12" s="1"/>
  <c r="I18" i="11"/>
  <c r="I22" i="11" s="1"/>
  <c r="I16" i="11"/>
  <c r="I20" i="11" s="1"/>
  <c r="I15" i="11"/>
  <c r="I19" i="11" s="1"/>
  <c r="I23" i="11" s="1"/>
  <c r="H15" i="11"/>
  <c r="H19" i="11" s="1"/>
  <c r="H23" i="11" s="1"/>
  <c r="I14" i="11"/>
  <c r="H14" i="11"/>
  <c r="H18" i="11" s="1"/>
  <c r="H22" i="11" s="1"/>
  <c r="G14" i="11"/>
  <c r="G18" i="11" s="1"/>
  <c r="G22" i="11" s="1"/>
  <c r="B10" i="11"/>
  <c r="B14" i="11" s="1"/>
  <c r="B18" i="11" s="1"/>
  <c r="B22" i="11" s="1"/>
  <c r="F6" i="11"/>
  <c r="D7" i="11" s="1"/>
  <c r="E6" i="11"/>
  <c r="E10" i="11" s="1"/>
  <c r="E14" i="11" s="1"/>
  <c r="E18" i="11" s="1"/>
  <c r="E22" i="11" s="1"/>
  <c r="G26" i="11" s="1"/>
  <c r="D6" i="11"/>
  <c r="D10" i="11" s="1"/>
  <c r="D14" i="11" s="1"/>
  <c r="D18" i="11" s="1"/>
  <c r="D22" i="11" s="1"/>
  <c r="C6" i="11"/>
  <c r="C10" i="11" s="1"/>
  <c r="C14" i="11" s="1"/>
  <c r="C18" i="11" s="1"/>
  <c r="C22" i="11" s="1"/>
  <c r="B6" i="11"/>
  <c r="B22" i="7"/>
  <c r="C11" i="4"/>
  <c r="I23" i="7"/>
  <c r="I19" i="7"/>
  <c r="H19" i="7"/>
  <c r="H23" i="7" s="1"/>
  <c r="I18" i="7"/>
  <c r="I22" i="7" s="1"/>
  <c r="H18" i="7"/>
  <c r="H22" i="7" s="1"/>
  <c r="I16" i="7"/>
  <c r="I20" i="7" s="1"/>
  <c r="I15" i="7"/>
  <c r="H15" i="7"/>
  <c r="I14" i="7"/>
  <c r="H14" i="7"/>
  <c r="G14" i="7"/>
  <c r="G18" i="7" s="1"/>
  <c r="G22" i="7" s="1"/>
  <c r="C10" i="7"/>
  <c r="C14" i="7" s="1"/>
  <c r="C18" i="7" s="1"/>
  <c r="C22" i="7" s="1"/>
  <c r="B10" i="7"/>
  <c r="B14" i="7" s="1"/>
  <c r="B18" i="7" s="1"/>
  <c r="E6" i="7"/>
  <c r="E10" i="7" s="1"/>
  <c r="E14" i="7" s="1"/>
  <c r="E18" i="7" s="1"/>
  <c r="E22" i="7" s="1"/>
  <c r="G26" i="7" s="1"/>
  <c r="D6" i="7"/>
  <c r="D10" i="7" s="1"/>
  <c r="D14" i="7" s="1"/>
  <c r="D18" i="7" s="1"/>
  <c r="D22" i="7" s="1"/>
  <c r="C6" i="7"/>
  <c r="B6" i="7"/>
  <c r="F6" i="7" s="1"/>
  <c r="E8" i="7" s="1"/>
  <c r="E12" i="7" s="1"/>
  <c r="E16" i="7" s="1"/>
  <c r="E20" i="7" s="1"/>
  <c r="I22" i="6"/>
  <c r="H22" i="6"/>
  <c r="G22" i="6"/>
  <c r="I20" i="6"/>
  <c r="I19" i="6"/>
  <c r="I23" i="6" s="1"/>
  <c r="I18" i="6"/>
  <c r="H18" i="6"/>
  <c r="G18" i="6"/>
  <c r="I16" i="6"/>
  <c r="I15" i="6"/>
  <c r="H15" i="6"/>
  <c r="H19" i="6" s="1"/>
  <c r="H23" i="6" s="1"/>
  <c r="I14" i="6"/>
  <c r="H14" i="6"/>
  <c r="G14" i="6"/>
  <c r="E6" i="6"/>
  <c r="E10" i="6" s="1"/>
  <c r="E14" i="6" s="1"/>
  <c r="E18" i="6" s="1"/>
  <c r="E22" i="6" s="1"/>
  <c r="G26" i="6" s="1"/>
  <c r="D6" i="6"/>
  <c r="D10" i="6" s="1"/>
  <c r="D14" i="6" s="1"/>
  <c r="D18" i="6" s="1"/>
  <c r="D22" i="6" s="1"/>
  <c r="C6" i="6"/>
  <c r="C10" i="6" s="1"/>
  <c r="C14" i="6" s="1"/>
  <c r="C18" i="6" s="1"/>
  <c r="C22" i="6" s="1"/>
  <c r="B6" i="6"/>
  <c r="F6" i="6" s="1"/>
  <c r="I22" i="5"/>
  <c r="H22" i="5"/>
  <c r="I19" i="5"/>
  <c r="I23" i="5" s="1"/>
  <c r="I18" i="5"/>
  <c r="H18" i="5"/>
  <c r="I16" i="5"/>
  <c r="I20" i="5" s="1"/>
  <c r="I15" i="5"/>
  <c r="H15" i="5"/>
  <c r="H19" i="5" s="1"/>
  <c r="H23" i="5" s="1"/>
  <c r="I14" i="5"/>
  <c r="H14" i="5"/>
  <c r="G14" i="5"/>
  <c r="G18" i="5" s="1"/>
  <c r="G22" i="5" s="1"/>
  <c r="E6" i="5"/>
  <c r="E10" i="5" s="1"/>
  <c r="E14" i="5" s="1"/>
  <c r="E18" i="5" s="1"/>
  <c r="E22" i="5" s="1"/>
  <c r="G26" i="5" s="1"/>
  <c r="D6" i="5"/>
  <c r="D10" i="5" s="1"/>
  <c r="D14" i="5" s="1"/>
  <c r="D18" i="5" s="1"/>
  <c r="D22" i="5" s="1"/>
  <c r="C6" i="5"/>
  <c r="C10" i="5" s="1"/>
  <c r="C14" i="5" s="1"/>
  <c r="C18" i="5" s="1"/>
  <c r="C22" i="5" s="1"/>
  <c r="B6" i="5"/>
  <c r="F6" i="5" s="1"/>
  <c r="G12" i="4"/>
  <c r="G11" i="4"/>
  <c r="F11" i="4"/>
  <c r="D5" i="4"/>
  <c r="D8" i="4" s="1"/>
  <c r="D11" i="4" s="1"/>
  <c r="F14" i="4" s="1"/>
  <c r="C5" i="4"/>
  <c r="C8" i="4" s="1"/>
  <c r="B5" i="4" a="1"/>
  <c r="B5" i="4" s="1"/>
  <c r="F14" i="2"/>
  <c r="C5" i="2"/>
  <c r="C8" i="2" s="1"/>
  <c r="C11" i="2" s="1"/>
  <c r="D5" i="2"/>
  <c r="D8" i="2" s="1"/>
  <c r="D11" i="2" s="1"/>
  <c r="B5" i="2" a="1"/>
  <c r="B5" i="2" s="1"/>
  <c r="E5" i="2" s="1"/>
  <c r="B6" i="2" s="1"/>
  <c r="F11" i="2"/>
  <c r="G11" i="2"/>
  <c r="G12" i="2"/>
  <c r="I16" i="1"/>
  <c r="I20" i="1" s="1"/>
  <c r="H15" i="1"/>
  <c r="H19" i="1" s="1"/>
  <c r="H24" i="1" s="1"/>
  <c r="I15" i="1"/>
  <c r="I19" i="1" s="1"/>
  <c r="I24" i="1" s="1"/>
  <c r="I14" i="1"/>
  <c r="I18" i="1" s="1"/>
  <c r="I23" i="1" s="1"/>
  <c r="H14" i="1"/>
  <c r="H18" i="1" s="1"/>
  <c r="H23" i="1" s="1"/>
  <c r="G14" i="1"/>
  <c r="G18" i="1" s="1"/>
  <c r="G23" i="1" s="1"/>
  <c r="E6" i="1"/>
  <c r="E10" i="1" s="1"/>
  <c r="E14" i="1" s="1"/>
  <c r="E18" i="1" s="1"/>
  <c r="D6" i="1"/>
  <c r="D10" i="1" s="1"/>
  <c r="D14" i="1" s="1"/>
  <c r="D18" i="1" s="1"/>
  <c r="C6" i="1"/>
  <c r="C10" i="1" s="1"/>
  <c r="C14" i="1" s="1"/>
  <c r="C18" i="1" s="1"/>
  <c r="B10" i="1"/>
  <c r="B14" i="1" s="1"/>
  <c r="B18" i="1" s="1"/>
  <c r="G7" i="10" l="1"/>
  <c r="C10" i="10" s="1"/>
  <c r="C9" i="10"/>
  <c r="F8" i="9"/>
  <c r="F13" i="9" s="1"/>
  <c r="C10" i="9"/>
  <c r="E8" i="9"/>
  <c r="B10" i="9"/>
  <c r="D8" i="9"/>
  <c r="D13" i="9" s="1"/>
  <c r="D9" i="9"/>
  <c r="F10" i="9"/>
  <c r="F15" i="9" s="1"/>
  <c r="C9" i="9"/>
  <c r="F9" i="9"/>
  <c r="F14" i="9" s="1"/>
  <c r="C8" i="9"/>
  <c r="E9" i="9"/>
  <c r="B8" i="9"/>
  <c r="B9" i="9"/>
  <c r="E10" i="9"/>
  <c r="F8" i="8"/>
  <c r="F13" i="8" s="1"/>
  <c r="D10" i="8"/>
  <c r="B9" i="8"/>
  <c r="C9" i="8"/>
  <c r="F10" i="8"/>
  <c r="F15" i="8" s="1"/>
  <c r="D9" i="8"/>
  <c r="D14" i="8" s="1"/>
  <c r="B8" i="8"/>
  <c r="C8" i="8"/>
  <c r="C13" i="8" s="1"/>
  <c r="F9" i="8"/>
  <c r="F14" i="8" s="1"/>
  <c r="E10" i="8"/>
  <c r="E9" i="8"/>
  <c r="D8" i="8"/>
  <c r="B10" i="8"/>
  <c r="C15" i="8" s="1"/>
  <c r="E8" i="8"/>
  <c r="C13" i="18"/>
  <c r="H13" i="18"/>
  <c r="B12" i="18"/>
  <c r="B17" i="18" s="1"/>
  <c r="B22" i="18" s="1"/>
  <c r="B27" i="18" s="1"/>
  <c r="B32" i="18" s="1"/>
  <c r="B37" i="18" s="1"/>
  <c r="F10" i="18"/>
  <c r="F15" i="18" s="1"/>
  <c r="C9" i="18"/>
  <c r="C14" i="18" s="1"/>
  <c r="C10" i="18"/>
  <c r="E8" i="18"/>
  <c r="E13" i="18" s="1"/>
  <c r="D8" i="18"/>
  <c r="D13" i="18" s="1"/>
  <c r="E10" i="18"/>
  <c r="B9" i="18"/>
  <c r="D10" i="18"/>
  <c r="F8" i="18"/>
  <c r="F13" i="18" s="1"/>
  <c r="B10" i="18"/>
  <c r="D9" i="18"/>
  <c r="F9" i="18"/>
  <c r="F14" i="18" s="1"/>
  <c r="D5" i="14"/>
  <c r="D8" i="14" s="1"/>
  <c r="D11" i="14" s="1"/>
  <c r="F14" i="14" s="1"/>
  <c r="B5" i="14" a="1"/>
  <c r="B5" i="14" s="1"/>
  <c r="B8" i="14" s="1"/>
  <c r="B11" i="14" s="1"/>
  <c r="C5" i="14"/>
  <c r="C8" i="14" s="1"/>
  <c r="C11" i="14" s="1"/>
  <c r="E5" i="17"/>
  <c r="B8" i="17"/>
  <c r="B11" i="17" s="1"/>
  <c r="B8" i="16"/>
  <c r="B11" i="16" s="1"/>
  <c r="E5" i="16"/>
  <c r="E5" i="15"/>
  <c r="B8" i="15"/>
  <c r="B11" i="15" s="1"/>
  <c r="B10" i="13"/>
  <c r="B14" i="13" s="1"/>
  <c r="B18" i="13" s="1"/>
  <c r="B22" i="13" s="1"/>
  <c r="C8" i="13"/>
  <c r="B8" i="13"/>
  <c r="E7" i="13"/>
  <c r="E11" i="13" s="1"/>
  <c r="E15" i="13" s="1"/>
  <c r="E19" i="13" s="1"/>
  <c r="E23" i="13" s="1"/>
  <c r="D7" i="13"/>
  <c r="C7" i="13"/>
  <c r="B7" i="13"/>
  <c r="E8" i="13"/>
  <c r="E12" i="13" s="1"/>
  <c r="E16" i="13" s="1"/>
  <c r="E20" i="13" s="1"/>
  <c r="D8" i="13"/>
  <c r="B10" i="12"/>
  <c r="B14" i="12" s="1"/>
  <c r="B18" i="12" s="1"/>
  <c r="B22" i="12" s="1"/>
  <c r="C8" i="12"/>
  <c r="C7" i="12"/>
  <c r="B7" i="12"/>
  <c r="E8" i="12"/>
  <c r="E12" i="12" s="1"/>
  <c r="E16" i="12" s="1"/>
  <c r="E20" i="12" s="1"/>
  <c r="B8" i="12"/>
  <c r="E7" i="12"/>
  <c r="E11" i="12" s="1"/>
  <c r="E15" i="12" s="1"/>
  <c r="E19" i="12" s="1"/>
  <c r="E23" i="12" s="1"/>
  <c r="D7" i="12"/>
  <c r="D11" i="12" s="1"/>
  <c r="D8" i="12"/>
  <c r="B8" i="11"/>
  <c r="G12" i="11" s="1"/>
  <c r="E7" i="11"/>
  <c r="E11" i="11" s="1"/>
  <c r="E15" i="11" s="1"/>
  <c r="E19" i="11" s="1"/>
  <c r="E23" i="11" s="1"/>
  <c r="E8" i="11"/>
  <c r="E12" i="11" s="1"/>
  <c r="E16" i="11" s="1"/>
  <c r="E20" i="11" s="1"/>
  <c r="D8" i="11"/>
  <c r="B7" i="11"/>
  <c r="D11" i="11" s="1"/>
  <c r="C7" i="11"/>
  <c r="C8" i="11"/>
  <c r="B7" i="7"/>
  <c r="C7" i="7"/>
  <c r="D7" i="7"/>
  <c r="D11" i="7" s="1"/>
  <c r="C8" i="7"/>
  <c r="E7" i="7"/>
  <c r="E11" i="7" s="1"/>
  <c r="E15" i="7" s="1"/>
  <c r="E19" i="7" s="1"/>
  <c r="E23" i="7" s="1"/>
  <c r="D8" i="7"/>
  <c r="B8" i="7"/>
  <c r="B8" i="6"/>
  <c r="E7" i="6"/>
  <c r="E11" i="6" s="1"/>
  <c r="E15" i="6" s="1"/>
  <c r="E19" i="6" s="1"/>
  <c r="E23" i="6" s="1"/>
  <c r="D7" i="6"/>
  <c r="C7" i="6"/>
  <c r="E8" i="6"/>
  <c r="E12" i="6" s="1"/>
  <c r="E16" i="6" s="1"/>
  <c r="E20" i="6" s="1"/>
  <c r="D8" i="6"/>
  <c r="C8" i="6"/>
  <c r="B7" i="6"/>
  <c r="B10" i="6"/>
  <c r="B14" i="6" s="1"/>
  <c r="B18" i="6" s="1"/>
  <c r="B22" i="6" s="1"/>
  <c r="B10" i="5"/>
  <c r="B14" i="5" s="1"/>
  <c r="B18" i="5" s="1"/>
  <c r="B22" i="5" s="1"/>
  <c r="E8" i="5"/>
  <c r="E12" i="5" s="1"/>
  <c r="E16" i="5" s="1"/>
  <c r="E20" i="5" s="1"/>
  <c r="D8" i="5"/>
  <c r="C8" i="5"/>
  <c r="B8" i="5"/>
  <c r="D7" i="5"/>
  <c r="C7" i="5"/>
  <c r="E7" i="5"/>
  <c r="E11" i="5" s="1"/>
  <c r="E15" i="5" s="1"/>
  <c r="E19" i="5" s="1"/>
  <c r="E23" i="5" s="1"/>
  <c r="B7" i="5"/>
  <c r="B8" i="4"/>
  <c r="B11" i="4" s="1"/>
  <c r="E5" i="4"/>
  <c r="B8" i="2"/>
  <c r="B11" i="2" s="1"/>
  <c r="C6" i="2"/>
  <c r="D6" i="2"/>
  <c r="D9" i="2" s="1"/>
  <c r="D12" i="2" s="1"/>
  <c r="F6" i="1"/>
  <c r="E10" i="10" l="1"/>
  <c r="E8" i="10"/>
  <c r="B9" i="10"/>
  <c r="C14" i="10" s="1"/>
  <c r="E9" i="10"/>
  <c r="F9" i="10"/>
  <c r="F14" i="10" s="1"/>
  <c r="B10" i="10"/>
  <c r="C8" i="10"/>
  <c r="C13" i="10" s="1"/>
  <c r="C18" i="10" s="1"/>
  <c r="D8" i="10"/>
  <c r="D13" i="10" s="1"/>
  <c r="F10" i="10"/>
  <c r="F15" i="10" s="1"/>
  <c r="B8" i="10"/>
  <c r="F8" i="10"/>
  <c r="F13" i="10" s="1"/>
  <c r="D9" i="10"/>
  <c r="D14" i="10" s="1"/>
  <c r="D10" i="10"/>
  <c r="E14" i="10"/>
  <c r="B15" i="10"/>
  <c r="H15" i="10"/>
  <c r="B14" i="10"/>
  <c r="H14" i="10"/>
  <c r="H13" i="10"/>
  <c r="B13" i="10"/>
  <c r="B14" i="9"/>
  <c r="H14" i="9"/>
  <c r="B15" i="9"/>
  <c r="H15" i="9"/>
  <c r="E13" i="9"/>
  <c r="C15" i="9"/>
  <c r="C14" i="9"/>
  <c r="H13" i="9"/>
  <c r="B13" i="9"/>
  <c r="E14" i="9"/>
  <c r="C13" i="9"/>
  <c r="E15" i="9"/>
  <c r="D14" i="9"/>
  <c r="D15" i="9"/>
  <c r="C14" i="8"/>
  <c r="E14" i="8"/>
  <c r="E13" i="8"/>
  <c r="E18" i="8" s="1"/>
  <c r="E23" i="8" s="1"/>
  <c r="E28" i="8" s="1"/>
  <c r="E33" i="8" s="1"/>
  <c r="E38" i="8" s="1"/>
  <c r="D13" i="8"/>
  <c r="D18" i="8" s="1"/>
  <c r="D23" i="8" s="1"/>
  <c r="D28" i="8" s="1"/>
  <c r="D33" i="8" s="1"/>
  <c r="D38" i="8" s="1"/>
  <c r="B15" i="8"/>
  <c r="H15" i="8"/>
  <c r="B14" i="8"/>
  <c r="H14" i="8"/>
  <c r="F18" i="8"/>
  <c r="F23" i="8" s="1"/>
  <c r="F28" i="8" s="1"/>
  <c r="F33" i="8" s="1"/>
  <c r="F38" i="8" s="1"/>
  <c r="C18" i="8"/>
  <c r="G18" i="8" s="1"/>
  <c r="E15" i="8"/>
  <c r="H13" i="8"/>
  <c r="H18" i="8" s="1"/>
  <c r="H23" i="8" s="1"/>
  <c r="H28" i="8" s="1"/>
  <c r="H33" i="8" s="1"/>
  <c r="H38" i="8" s="1"/>
  <c r="B13" i="8"/>
  <c r="B18" i="8" s="1"/>
  <c r="B23" i="8" s="1"/>
  <c r="B28" i="8" s="1"/>
  <c r="B33" i="8" s="1"/>
  <c r="B38" i="8" s="1"/>
  <c r="D15" i="8"/>
  <c r="H15" i="18"/>
  <c r="B15" i="18"/>
  <c r="D15" i="18"/>
  <c r="B14" i="18"/>
  <c r="H14" i="18"/>
  <c r="E15" i="18"/>
  <c r="E18" i="18"/>
  <c r="E23" i="18" s="1"/>
  <c r="E28" i="18" s="1"/>
  <c r="E33" i="18" s="1"/>
  <c r="E38" i="18" s="1"/>
  <c r="H18" i="18"/>
  <c r="H23" i="18" s="1"/>
  <c r="H28" i="18" s="1"/>
  <c r="H33" i="18" s="1"/>
  <c r="H38" i="18" s="1"/>
  <c r="F18" i="18"/>
  <c r="F23" i="18" s="1"/>
  <c r="F28" i="18" s="1"/>
  <c r="F33" i="18" s="1"/>
  <c r="F38" i="18" s="1"/>
  <c r="D18" i="18"/>
  <c r="D23" i="18" s="1"/>
  <c r="D28" i="18" s="1"/>
  <c r="D33" i="18" s="1"/>
  <c r="D38" i="18" s="1"/>
  <c r="B18" i="18"/>
  <c r="B23" i="18" s="1"/>
  <c r="B28" i="18" s="1"/>
  <c r="B33" i="18" s="1"/>
  <c r="B38" i="18" s="1"/>
  <c r="C18" i="18"/>
  <c r="D14" i="18"/>
  <c r="C15" i="18"/>
  <c r="E14" i="18"/>
  <c r="E5" i="14"/>
  <c r="D6" i="17"/>
  <c r="D9" i="17" s="1"/>
  <c r="D12" i="17" s="1"/>
  <c r="C6" i="17"/>
  <c r="B6" i="17"/>
  <c r="B6" i="16"/>
  <c r="C6" i="16"/>
  <c r="C9" i="16" s="1"/>
  <c r="D6" i="16"/>
  <c r="D9" i="16" s="1"/>
  <c r="D12" i="16" s="1"/>
  <c r="B6" i="15"/>
  <c r="D6" i="15"/>
  <c r="D9" i="15" s="1"/>
  <c r="D12" i="15" s="1"/>
  <c r="C6" i="15"/>
  <c r="D6" i="14"/>
  <c r="D9" i="14" s="1"/>
  <c r="D12" i="14" s="1"/>
  <c r="C6" i="14"/>
  <c r="B6" i="14"/>
  <c r="D11" i="13"/>
  <c r="G12" i="13"/>
  <c r="B12" i="13"/>
  <c r="C12" i="13"/>
  <c r="H16" i="13" s="1"/>
  <c r="H12" i="13"/>
  <c r="D12" i="13"/>
  <c r="B11" i="13"/>
  <c r="G11" i="13"/>
  <c r="C11" i="13"/>
  <c r="G12" i="12"/>
  <c r="B12" i="12"/>
  <c r="C11" i="12"/>
  <c r="C12" i="12"/>
  <c r="H16" i="12" s="1"/>
  <c r="H12" i="12"/>
  <c r="G11" i="12"/>
  <c r="B11" i="12"/>
  <c r="D12" i="12"/>
  <c r="B12" i="11"/>
  <c r="C11" i="11"/>
  <c r="D15" i="11" s="1"/>
  <c r="D19" i="11" s="1"/>
  <c r="D23" i="11" s="1"/>
  <c r="D12" i="11"/>
  <c r="C12" i="11"/>
  <c r="H12" i="11"/>
  <c r="B11" i="11"/>
  <c r="G11" i="11"/>
  <c r="C11" i="7"/>
  <c r="B12" i="7"/>
  <c r="G12" i="7"/>
  <c r="D12" i="7"/>
  <c r="C12" i="7"/>
  <c r="H16" i="7" s="1"/>
  <c r="H12" i="7"/>
  <c r="C15" i="7"/>
  <c r="D15" i="7"/>
  <c r="D19" i="7" s="1"/>
  <c r="D23" i="7" s="1"/>
  <c r="G11" i="7"/>
  <c r="G15" i="7" s="1"/>
  <c r="G19" i="7" s="1"/>
  <c r="G23" i="7" s="1"/>
  <c r="B11" i="7"/>
  <c r="G12" i="6"/>
  <c r="B12" i="6"/>
  <c r="G11" i="6"/>
  <c r="B11" i="6"/>
  <c r="C12" i="6"/>
  <c r="H12" i="6"/>
  <c r="D12" i="6"/>
  <c r="C11" i="6"/>
  <c r="D11" i="6"/>
  <c r="D12" i="5"/>
  <c r="G11" i="5"/>
  <c r="B11" i="5"/>
  <c r="C11" i="5"/>
  <c r="D11" i="5"/>
  <c r="C12" i="5"/>
  <c r="H12" i="5"/>
  <c r="G12" i="5"/>
  <c r="B12" i="5"/>
  <c r="B6" i="4"/>
  <c r="C6" i="4"/>
  <c r="D6" i="4"/>
  <c r="D9" i="4" s="1"/>
  <c r="D12" i="4" s="1"/>
  <c r="C9" i="2"/>
  <c r="B9" i="2"/>
  <c r="F9" i="2"/>
  <c r="C7" i="1"/>
  <c r="E8" i="1"/>
  <c r="E12" i="1" s="1"/>
  <c r="E16" i="1" s="1"/>
  <c r="E20" i="1" s="1"/>
  <c r="D8" i="1"/>
  <c r="C8" i="1"/>
  <c r="B8" i="1"/>
  <c r="E7" i="1"/>
  <c r="E11" i="1" s="1"/>
  <c r="E15" i="1" s="1"/>
  <c r="E19" i="1" s="1"/>
  <c r="D7" i="1"/>
  <c r="E15" i="10" l="1"/>
  <c r="D18" i="10"/>
  <c r="D23" i="10" s="1"/>
  <c r="D28" i="10" s="1"/>
  <c r="D33" i="10" s="1"/>
  <c r="D38" i="10" s="1"/>
  <c r="D15" i="10"/>
  <c r="F18" i="10"/>
  <c r="F23" i="10" s="1"/>
  <c r="F28" i="10" s="1"/>
  <c r="F33" i="10" s="1"/>
  <c r="F38" i="10" s="1"/>
  <c r="C15" i="10"/>
  <c r="B18" i="10"/>
  <c r="B23" i="10" s="1"/>
  <c r="B28" i="10" s="1"/>
  <c r="B33" i="10" s="1"/>
  <c r="B38" i="10" s="1"/>
  <c r="H18" i="10"/>
  <c r="H23" i="10" s="1"/>
  <c r="H28" i="10" s="1"/>
  <c r="H33" i="10" s="1"/>
  <c r="H38" i="10" s="1"/>
  <c r="E13" i="10"/>
  <c r="E18" i="10" s="1"/>
  <c r="E23" i="10" s="1"/>
  <c r="E28" i="10" s="1"/>
  <c r="E33" i="10" s="1"/>
  <c r="E38" i="10" s="1"/>
  <c r="C23" i="10"/>
  <c r="C28" i="10" s="1"/>
  <c r="C33" i="10" s="1"/>
  <c r="C38" i="10" s="1"/>
  <c r="G18" i="10"/>
  <c r="F18" i="9"/>
  <c r="F23" i="9" s="1"/>
  <c r="F28" i="9" s="1"/>
  <c r="F33" i="9" s="1"/>
  <c r="F38" i="9" s="1"/>
  <c r="E18" i="9"/>
  <c r="E23" i="9" s="1"/>
  <c r="E28" i="9" s="1"/>
  <c r="E33" i="9" s="1"/>
  <c r="E38" i="9" s="1"/>
  <c r="D18" i="9"/>
  <c r="D23" i="9" s="1"/>
  <c r="D28" i="9" s="1"/>
  <c r="D33" i="9" s="1"/>
  <c r="D38" i="9" s="1"/>
  <c r="C18" i="9"/>
  <c r="B18" i="9"/>
  <c r="B23" i="9" s="1"/>
  <c r="B28" i="9" s="1"/>
  <c r="B33" i="9" s="1"/>
  <c r="B38" i="9" s="1"/>
  <c r="H18" i="9"/>
  <c r="H23" i="9" s="1"/>
  <c r="H28" i="9" s="1"/>
  <c r="H33" i="9" s="1"/>
  <c r="H38" i="9" s="1"/>
  <c r="H43" i="8"/>
  <c r="C23" i="8"/>
  <c r="C28" i="8" s="1"/>
  <c r="C33" i="8" s="1"/>
  <c r="C38" i="8" s="1"/>
  <c r="C23" i="18"/>
  <c r="C28" i="18" s="1"/>
  <c r="C33" i="18" s="1"/>
  <c r="C38" i="18" s="1"/>
  <c r="G18" i="18"/>
  <c r="H43" i="18"/>
  <c r="H12" i="1"/>
  <c r="B9" i="17"/>
  <c r="F9" i="17"/>
  <c r="C9" i="17"/>
  <c r="C9" i="15"/>
  <c r="C12" i="15" s="1"/>
  <c r="E11" i="15" s="1"/>
  <c r="C12" i="16"/>
  <c r="E11" i="16" s="1"/>
  <c r="F9" i="16"/>
  <c r="F12" i="16" s="1"/>
  <c r="F15" i="16" s="1"/>
  <c r="D15" i="16" s="1"/>
  <c r="D14" i="16" s="1"/>
  <c r="F2" i="16" s="1" a="1"/>
  <c r="F2" i="16" s="1"/>
  <c r="B9" i="16"/>
  <c r="B12" i="16" s="1"/>
  <c r="B9" i="15"/>
  <c r="F9" i="15"/>
  <c r="B9" i="14"/>
  <c r="F9" i="14"/>
  <c r="C9" i="14"/>
  <c r="G15" i="13"/>
  <c r="D15" i="13"/>
  <c r="D19" i="13" s="1"/>
  <c r="D23" i="13" s="1"/>
  <c r="G19" i="13"/>
  <c r="G23" i="13" s="1"/>
  <c r="C15" i="13"/>
  <c r="B15" i="13"/>
  <c r="B19" i="13" s="1"/>
  <c r="B23" i="13" s="1"/>
  <c r="D15" i="12"/>
  <c r="D19" i="12" s="1"/>
  <c r="D23" i="12" s="1"/>
  <c r="C15" i="12"/>
  <c r="G15" i="12"/>
  <c r="G19" i="12" s="1"/>
  <c r="G23" i="12" s="1"/>
  <c r="B15" i="12"/>
  <c r="B19" i="12" s="1"/>
  <c r="B23" i="12" s="1"/>
  <c r="G15" i="11"/>
  <c r="G19" i="11" s="1"/>
  <c r="G23" i="11" s="1"/>
  <c r="G27" i="11" s="1"/>
  <c r="H16" i="11"/>
  <c r="C15" i="11"/>
  <c r="C19" i="11" s="1"/>
  <c r="C23" i="11" s="1"/>
  <c r="B15" i="11"/>
  <c r="B19" i="11" s="1"/>
  <c r="B23" i="11" s="1"/>
  <c r="B15" i="7"/>
  <c r="B19" i="7" s="1"/>
  <c r="B23" i="7" s="1"/>
  <c r="H16" i="6"/>
  <c r="G27" i="7"/>
  <c r="F14" i="7"/>
  <c r="C19" i="7"/>
  <c r="C23" i="7" s="1"/>
  <c r="D15" i="6"/>
  <c r="D19" i="6" s="1"/>
  <c r="D23" i="6" s="1"/>
  <c r="C15" i="6"/>
  <c r="B15" i="6"/>
  <c r="B19" i="6" s="1"/>
  <c r="B23" i="6" s="1"/>
  <c r="G15" i="6"/>
  <c r="G19" i="6" s="1"/>
  <c r="G23" i="6" s="1"/>
  <c r="H16" i="5"/>
  <c r="D15" i="5"/>
  <c r="D19" i="5" s="1"/>
  <c r="D23" i="5" s="1"/>
  <c r="C15" i="5"/>
  <c r="B15" i="5"/>
  <c r="B19" i="5" s="1"/>
  <c r="B23" i="5" s="1"/>
  <c r="G15" i="5"/>
  <c r="G19" i="5" s="1"/>
  <c r="G23" i="5" s="1"/>
  <c r="C9" i="4"/>
  <c r="C12" i="4" s="1"/>
  <c r="E11" i="4" s="1"/>
  <c r="F9" i="4"/>
  <c r="B9" i="4"/>
  <c r="F12" i="2"/>
  <c r="F15" i="2" s="1"/>
  <c r="C12" i="2"/>
  <c r="E11" i="2" s="1"/>
  <c r="B12" i="2"/>
  <c r="D11" i="1"/>
  <c r="G11" i="1"/>
  <c r="B11" i="1"/>
  <c r="G12" i="1"/>
  <c r="B12" i="1"/>
  <c r="D12" i="1"/>
  <c r="C12" i="1"/>
  <c r="C11" i="1"/>
  <c r="H43" i="10" l="1"/>
  <c r="C20" i="10"/>
  <c r="D19" i="10"/>
  <c r="I20" i="10"/>
  <c r="E19" i="10"/>
  <c r="B20" i="10"/>
  <c r="C19" i="10"/>
  <c r="I19" i="10"/>
  <c r="E20" i="10"/>
  <c r="F19" i="10"/>
  <c r="F24" i="10" s="1"/>
  <c r="J20" i="10"/>
  <c r="J25" i="10" s="1"/>
  <c r="J30" i="10" s="1"/>
  <c r="B19" i="10"/>
  <c r="H20" i="10"/>
  <c r="H25" i="10" s="1"/>
  <c r="F20" i="10"/>
  <c r="F25" i="10" s="1"/>
  <c r="H19" i="10"/>
  <c r="H24" i="10" s="1"/>
  <c r="D20" i="10"/>
  <c r="C23" i="9"/>
  <c r="C28" i="9" s="1"/>
  <c r="C33" i="9" s="1"/>
  <c r="C38" i="9" s="1"/>
  <c r="G18" i="9"/>
  <c r="H43" i="9"/>
  <c r="C20" i="8"/>
  <c r="D19" i="8"/>
  <c r="E19" i="8"/>
  <c r="B20" i="8"/>
  <c r="C19" i="8"/>
  <c r="I20" i="8"/>
  <c r="H20" i="8"/>
  <c r="H25" i="8" s="1"/>
  <c r="I19" i="8"/>
  <c r="F20" i="8"/>
  <c r="F25" i="8" s="1"/>
  <c r="E20" i="8"/>
  <c r="F19" i="8"/>
  <c r="F24" i="8" s="1"/>
  <c r="J20" i="8"/>
  <c r="J25" i="8" s="1"/>
  <c r="J30" i="8" s="1"/>
  <c r="B19" i="8"/>
  <c r="H19" i="8"/>
  <c r="H24" i="8" s="1"/>
  <c r="D20" i="8"/>
  <c r="H20" i="18"/>
  <c r="H25" i="18" s="1"/>
  <c r="H19" i="18"/>
  <c r="H24" i="18" s="1"/>
  <c r="D19" i="18"/>
  <c r="C19" i="18"/>
  <c r="F20" i="18"/>
  <c r="F25" i="18" s="1"/>
  <c r="F19" i="18"/>
  <c r="F24" i="18" s="1"/>
  <c r="E20" i="18"/>
  <c r="E25" i="18" s="1"/>
  <c r="E19" i="18"/>
  <c r="E24" i="18" s="1"/>
  <c r="D20" i="18"/>
  <c r="C20" i="18"/>
  <c r="B19" i="18"/>
  <c r="B20" i="18"/>
  <c r="B25" i="18" s="1"/>
  <c r="H16" i="1"/>
  <c r="F12" i="15"/>
  <c r="F15" i="15" s="1"/>
  <c r="D15" i="15" s="1"/>
  <c r="D14" i="15" s="1"/>
  <c r="F2" i="15" s="1" a="1"/>
  <c r="F2" i="15" s="1"/>
  <c r="F12" i="17"/>
  <c r="F15" i="17" s="1"/>
  <c r="C12" i="17"/>
  <c r="E11" i="17" s="1"/>
  <c r="B12" i="17"/>
  <c r="B12" i="15"/>
  <c r="F12" i="14"/>
  <c r="F15" i="14" s="1"/>
  <c r="C12" i="14"/>
  <c r="E11" i="14" s="1"/>
  <c r="B12" i="14"/>
  <c r="C19" i="13"/>
  <c r="C23" i="13" s="1"/>
  <c r="F14" i="13"/>
  <c r="G27" i="13"/>
  <c r="G27" i="12"/>
  <c r="C19" i="12"/>
  <c r="C23" i="12" s="1"/>
  <c r="F14" i="12"/>
  <c r="F14" i="11"/>
  <c r="B16" i="11" s="1"/>
  <c r="D15" i="2"/>
  <c r="D14" i="2" s="1"/>
  <c r="F2" i="2" s="1" a="1"/>
  <c r="F2" i="2" s="1"/>
  <c r="D16" i="7"/>
  <c r="G16" i="7"/>
  <c r="B16" i="7"/>
  <c r="G20" i="7"/>
  <c r="C16" i="7"/>
  <c r="G27" i="6"/>
  <c r="F14" i="6"/>
  <c r="C19" i="6"/>
  <c r="C23" i="6" s="1"/>
  <c r="G27" i="5"/>
  <c r="C19" i="5"/>
  <c r="C23" i="5" s="1"/>
  <c r="F14" i="5"/>
  <c r="B12" i="4"/>
  <c r="F12" i="4"/>
  <c r="F15" i="4" s="1"/>
  <c r="D15" i="4" s="1"/>
  <c r="D14" i="4" s="1"/>
  <c r="F2" i="4" s="1" a="1"/>
  <c r="F2" i="4" s="1"/>
  <c r="G15" i="1"/>
  <c r="G19" i="1" s="1"/>
  <c r="G24" i="1" s="1"/>
  <c r="B15" i="1"/>
  <c r="B19" i="1" s="1"/>
  <c r="B24" i="1" s="1"/>
  <c r="D15" i="1"/>
  <c r="D19" i="1" s="1"/>
  <c r="D24" i="1" s="1"/>
  <c r="C15" i="1"/>
  <c r="D25" i="10" l="1"/>
  <c r="E25" i="10"/>
  <c r="B25" i="10"/>
  <c r="E24" i="10"/>
  <c r="B24" i="10"/>
  <c r="C24" i="10"/>
  <c r="D24" i="10"/>
  <c r="C25" i="10"/>
  <c r="C20" i="9"/>
  <c r="D19" i="9"/>
  <c r="B20" i="9"/>
  <c r="C19" i="9"/>
  <c r="I19" i="9"/>
  <c r="H19" i="9"/>
  <c r="H24" i="9" s="1"/>
  <c r="J20" i="9"/>
  <c r="J25" i="9" s="1"/>
  <c r="J30" i="9" s="1"/>
  <c r="B19" i="9"/>
  <c r="I20" i="9"/>
  <c r="H20" i="9"/>
  <c r="H25" i="9" s="1"/>
  <c r="F20" i="9"/>
  <c r="F25" i="9" s="1"/>
  <c r="D20" i="9"/>
  <c r="F19" i="9"/>
  <c r="F24" i="9" s="1"/>
  <c r="E19" i="9"/>
  <c r="E24" i="9" s="1"/>
  <c r="E20" i="9"/>
  <c r="E25" i="8"/>
  <c r="B25" i="8"/>
  <c r="B24" i="8"/>
  <c r="D25" i="8"/>
  <c r="I24" i="8"/>
  <c r="C24" i="8"/>
  <c r="E24" i="8"/>
  <c r="D24" i="8"/>
  <c r="I25" i="8"/>
  <c r="C25" i="8"/>
  <c r="C24" i="18"/>
  <c r="I24" i="18"/>
  <c r="B24" i="18"/>
  <c r="D24" i="18"/>
  <c r="C25" i="18"/>
  <c r="I25" i="18"/>
  <c r="D25" i="18"/>
  <c r="D15" i="17"/>
  <c r="D14" i="17" s="1"/>
  <c r="F2" i="17" s="1" a="1"/>
  <c r="F2" i="17" s="1"/>
  <c r="D15" i="14"/>
  <c r="D14" i="14" s="1"/>
  <c r="F2" i="14" s="1" a="1"/>
  <c r="F2" i="14" s="1"/>
  <c r="G16" i="13"/>
  <c r="G20" i="13" s="1"/>
  <c r="D16" i="13"/>
  <c r="C16" i="13"/>
  <c r="B16" i="13"/>
  <c r="B20" i="13" s="1"/>
  <c r="D16" i="12"/>
  <c r="G16" i="12"/>
  <c r="G20" i="12" s="1"/>
  <c r="C16" i="12"/>
  <c r="B16" i="12"/>
  <c r="B20" i="12" s="1"/>
  <c r="G16" i="11"/>
  <c r="G20" i="11" s="1"/>
  <c r="C16" i="11"/>
  <c r="C20" i="11" s="1"/>
  <c r="D16" i="11"/>
  <c r="D20" i="7"/>
  <c r="I24" i="7" s="1"/>
  <c r="G24" i="7"/>
  <c r="D24" i="7"/>
  <c r="F22" i="7" s="1"/>
  <c r="E24" i="7"/>
  <c r="H20" i="7"/>
  <c r="H24" i="7" s="1"/>
  <c r="C20" i="7"/>
  <c r="C24" i="7" s="1"/>
  <c r="B20" i="7"/>
  <c r="D16" i="6"/>
  <c r="C16" i="6"/>
  <c r="B16" i="6"/>
  <c r="G16" i="6"/>
  <c r="G20" i="6" s="1"/>
  <c r="G16" i="5"/>
  <c r="G20" i="5" s="1"/>
  <c r="D16" i="5"/>
  <c r="B16" i="5"/>
  <c r="C16" i="5"/>
  <c r="F14" i="1"/>
  <c r="C19" i="1"/>
  <c r="C24" i="1" s="1"/>
  <c r="B23" i="1"/>
  <c r="C23" i="1"/>
  <c r="D23" i="1"/>
  <c r="D29" i="10" l="1"/>
  <c r="I29" i="10"/>
  <c r="I34" i="10" s="1"/>
  <c r="I39" i="10" s="1"/>
  <c r="C29" i="10"/>
  <c r="C34" i="10" s="1"/>
  <c r="C39" i="10" s="1"/>
  <c r="H29" i="10"/>
  <c r="H34" i="10" s="1"/>
  <c r="H39" i="10" s="1"/>
  <c r="F29" i="10"/>
  <c r="F34" i="10" s="1"/>
  <c r="F39" i="10" s="1"/>
  <c r="B29" i="10"/>
  <c r="B34" i="10" s="1"/>
  <c r="B39" i="10" s="1"/>
  <c r="E29" i="10"/>
  <c r="E34" i="10" s="1"/>
  <c r="E39" i="10" s="1"/>
  <c r="E25" i="9"/>
  <c r="D25" i="9"/>
  <c r="B25" i="9"/>
  <c r="I24" i="9"/>
  <c r="C24" i="9"/>
  <c r="C25" i="9"/>
  <c r="I25" i="9"/>
  <c r="D24" i="9"/>
  <c r="B24" i="9"/>
  <c r="D29" i="8"/>
  <c r="G29" i="8" s="1"/>
  <c r="C29" i="8"/>
  <c r="C34" i="8" s="1"/>
  <c r="C39" i="8" s="1"/>
  <c r="I29" i="8"/>
  <c r="I34" i="8" s="1"/>
  <c r="I39" i="8" s="1"/>
  <c r="H29" i="8"/>
  <c r="H34" i="8" s="1"/>
  <c r="H39" i="8" s="1"/>
  <c r="B29" i="8"/>
  <c r="B34" i="8" s="1"/>
  <c r="B39" i="8" s="1"/>
  <c r="F29" i="8"/>
  <c r="F34" i="8" s="1"/>
  <c r="F39" i="8" s="1"/>
  <c r="H44" i="8" s="1"/>
  <c r="E29" i="8"/>
  <c r="E34" i="8" s="1"/>
  <c r="E39" i="8" s="1"/>
  <c r="C29" i="18"/>
  <c r="C34" i="18" s="1"/>
  <c r="C39" i="18" s="1"/>
  <c r="B29" i="18"/>
  <c r="B34" i="18" s="1"/>
  <c r="B39" i="18" s="1"/>
  <c r="I29" i="18"/>
  <c r="I34" i="18" s="1"/>
  <c r="I39" i="18" s="1"/>
  <c r="H29" i="18"/>
  <c r="H34" i="18" s="1"/>
  <c r="H39" i="18" s="1"/>
  <c r="F29" i="18"/>
  <c r="F34" i="18" s="1"/>
  <c r="F39" i="18" s="1"/>
  <c r="H44" i="18" s="1"/>
  <c r="E29" i="18"/>
  <c r="E34" i="18" s="1"/>
  <c r="E39" i="18" s="1"/>
  <c r="D29" i="18"/>
  <c r="D20" i="13"/>
  <c r="G24" i="13" s="1"/>
  <c r="D24" i="13"/>
  <c r="F22" i="13" s="1"/>
  <c r="B24" i="13"/>
  <c r="I24" i="13"/>
  <c r="C20" i="13"/>
  <c r="C24" i="13" s="1"/>
  <c r="H20" i="13"/>
  <c r="H20" i="12"/>
  <c r="C20" i="12"/>
  <c r="D20" i="12"/>
  <c r="D20" i="11"/>
  <c r="C24" i="11" s="1"/>
  <c r="H20" i="11"/>
  <c r="B20" i="11"/>
  <c r="B24" i="7"/>
  <c r="G6" i="7" s="1" a="1"/>
  <c r="G6" i="7" s="1"/>
  <c r="D20" i="6"/>
  <c r="E24" i="6" s="1"/>
  <c r="G28" i="7"/>
  <c r="E28" i="7" s="1"/>
  <c r="E27" i="7" s="1"/>
  <c r="E26" i="7" s="1"/>
  <c r="G2" i="7" s="1" a="1"/>
  <c r="G2" i="7" s="1"/>
  <c r="H20" i="6"/>
  <c r="C20" i="6"/>
  <c r="B20" i="6"/>
  <c r="D20" i="5"/>
  <c r="H20" i="5"/>
  <c r="C20" i="5"/>
  <c r="B20" i="5"/>
  <c r="G16" i="1"/>
  <c r="G20" i="1" s="1"/>
  <c r="D16" i="1"/>
  <c r="C16" i="1"/>
  <c r="B16" i="1"/>
  <c r="H44" i="10" l="1"/>
  <c r="D34" i="10"/>
  <c r="D39" i="10" s="1"/>
  <c r="G29" i="10"/>
  <c r="D29" i="9"/>
  <c r="C29" i="9"/>
  <c r="C34" i="9" s="1"/>
  <c r="C39" i="9" s="1"/>
  <c r="H29" i="9"/>
  <c r="H34" i="9" s="1"/>
  <c r="H39" i="9" s="1"/>
  <c r="B29" i="9"/>
  <c r="B34" i="9" s="1"/>
  <c r="B39" i="9" s="1"/>
  <c r="I29" i="9"/>
  <c r="I34" i="9" s="1"/>
  <c r="I39" i="9" s="1"/>
  <c r="F29" i="9"/>
  <c r="F34" i="9" s="1"/>
  <c r="F39" i="9" s="1"/>
  <c r="H44" i="9" s="1"/>
  <c r="E29" i="9"/>
  <c r="E34" i="9" s="1"/>
  <c r="E39" i="9" s="1"/>
  <c r="D34" i="8"/>
  <c r="D39" i="8" s="1"/>
  <c r="D34" i="18"/>
  <c r="D39" i="18" s="1"/>
  <c r="G29" i="18"/>
  <c r="E24" i="13"/>
  <c r="H24" i="13"/>
  <c r="G6" i="13" a="1"/>
  <c r="G6" i="13" s="1"/>
  <c r="G24" i="12"/>
  <c r="B24" i="12"/>
  <c r="E24" i="12"/>
  <c r="D24" i="12"/>
  <c r="F22" i="12" s="1"/>
  <c r="C24" i="12"/>
  <c r="I24" i="12"/>
  <c r="H24" i="12"/>
  <c r="D24" i="11"/>
  <c r="F22" i="11" s="1"/>
  <c r="E24" i="11"/>
  <c r="I24" i="11"/>
  <c r="B24" i="11"/>
  <c r="G24" i="11"/>
  <c r="H24" i="11"/>
  <c r="G6" i="11" a="1"/>
  <c r="G6" i="11" s="1"/>
  <c r="B24" i="6"/>
  <c r="D24" i="6"/>
  <c r="F22" i="6" s="1"/>
  <c r="H24" i="6"/>
  <c r="G24" i="6"/>
  <c r="I24" i="6"/>
  <c r="C24" i="6"/>
  <c r="G28" i="6"/>
  <c r="E28" i="6" s="1"/>
  <c r="E27" i="6" s="1"/>
  <c r="E26" i="6" s="1"/>
  <c r="G2" i="6" s="1" a="1"/>
  <c r="G2" i="6" s="1"/>
  <c r="B24" i="5"/>
  <c r="C24" i="5"/>
  <c r="I24" i="5"/>
  <c r="E24" i="5"/>
  <c r="H24" i="5"/>
  <c r="G24" i="5"/>
  <c r="D24" i="5"/>
  <c r="F22" i="5" s="1"/>
  <c r="C20" i="1"/>
  <c r="H20" i="1"/>
  <c r="D20" i="1"/>
  <c r="B20" i="1"/>
  <c r="B30" i="10" l="1"/>
  <c r="H30" i="10"/>
  <c r="H35" i="10" s="1"/>
  <c r="D30" i="10"/>
  <c r="I30" i="10"/>
  <c r="I35" i="10" s="1"/>
  <c r="F30" i="10"/>
  <c r="F35" i="10" s="1"/>
  <c r="E30" i="10"/>
  <c r="E35" i="10" s="1"/>
  <c r="C30" i="10"/>
  <c r="C35" i="10" s="1"/>
  <c r="D34" i="9"/>
  <c r="D39" i="9" s="1"/>
  <c r="G29" i="9"/>
  <c r="B30" i="8"/>
  <c r="C30" i="8"/>
  <c r="E30" i="8"/>
  <c r="D30" i="8"/>
  <c r="I30" i="8"/>
  <c r="I35" i="8" s="1"/>
  <c r="H30" i="8"/>
  <c r="H35" i="8" s="1"/>
  <c r="F30" i="8"/>
  <c r="F35" i="8" s="1"/>
  <c r="F30" i="18"/>
  <c r="F35" i="18" s="1"/>
  <c r="E30" i="18"/>
  <c r="I30" i="18"/>
  <c r="I35" i="18" s="1"/>
  <c r="H30" i="18"/>
  <c r="H35" i="18" s="1"/>
  <c r="D30" i="18"/>
  <c r="C30" i="18"/>
  <c r="B30" i="18"/>
  <c r="G28" i="13"/>
  <c r="E28" i="13" s="1"/>
  <c r="E27" i="13" s="1"/>
  <c r="E26" i="13" s="1"/>
  <c r="G2" i="13" s="1" a="1"/>
  <c r="G2" i="13" s="1"/>
  <c r="G28" i="12"/>
  <c r="E28" i="12" s="1"/>
  <c r="E27" i="12" s="1"/>
  <c r="E26" i="12" s="1"/>
  <c r="G2" i="12" s="1" a="1"/>
  <c r="G2" i="12" s="1"/>
  <c r="G6" i="12" a="1"/>
  <c r="G6" i="12" s="1"/>
  <c r="G28" i="11"/>
  <c r="E28" i="11" s="1"/>
  <c r="E27" i="11" s="1"/>
  <c r="E26" i="11" s="1"/>
  <c r="G2" i="11" s="1" a="1"/>
  <c r="G2" i="11" s="1"/>
  <c r="G6" i="6" a="1"/>
  <c r="G6" i="6" s="1"/>
  <c r="G6" i="5" a="1"/>
  <c r="G6" i="5" s="1"/>
  <c r="G28" i="5"/>
  <c r="E28" i="5" s="1"/>
  <c r="E27" i="5" s="1"/>
  <c r="E26" i="5" s="1"/>
  <c r="G2" i="5" s="1" a="1"/>
  <c r="G2" i="5" s="1"/>
  <c r="G25" i="1"/>
  <c r="I25" i="1"/>
  <c r="H25" i="1"/>
  <c r="D25" i="1"/>
  <c r="C25" i="1"/>
  <c r="B25" i="1"/>
  <c r="B35" i="10" l="1"/>
  <c r="B40" i="10" s="1"/>
  <c r="C40" i="10"/>
  <c r="I40" i="10"/>
  <c r="H40" i="10"/>
  <c r="F40" i="10"/>
  <c r="E40" i="10"/>
  <c r="J40" i="10"/>
  <c r="D35" i="10"/>
  <c r="D40" i="10" s="1"/>
  <c r="B30" i="9"/>
  <c r="E30" i="9"/>
  <c r="I30" i="9"/>
  <c r="I35" i="9" s="1"/>
  <c r="H30" i="9"/>
  <c r="H35" i="9" s="1"/>
  <c r="F30" i="9"/>
  <c r="F35" i="9" s="1"/>
  <c r="D30" i="9"/>
  <c r="C30" i="9"/>
  <c r="E35" i="8"/>
  <c r="H40" i="8" s="1"/>
  <c r="J35" i="8"/>
  <c r="D35" i="8"/>
  <c r="C35" i="8"/>
  <c r="B35" i="8"/>
  <c r="D35" i="18"/>
  <c r="J35" i="18"/>
  <c r="B35" i="18"/>
  <c r="C35" i="18"/>
  <c r="E35" i="18"/>
  <c r="G6" i="1" a="1"/>
  <c r="G6" i="1" s="1"/>
  <c r="F23" i="1"/>
  <c r="H45" i="10" l="1"/>
  <c r="F45" i="10" s="1"/>
  <c r="H7" i="10" a="1"/>
  <c r="H7" i="10" s="1"/>
  <c r="C35" i="9"/>
  <c r="D35" i="9"/>
  <c r="J35" i="9"/>
  <c r="E35" i="9"/>
  <c r="B35" i="9"/>
  <c r="B40" i="8"/>
  <c r="C40" i="8"/>
  <c r="D40" i="8"/>
  <c r="F40" i="8"/>
  <c r="J40" i="8"/>
  <c r="I40" i="8"/>
  <c r="H7" i="8" s="1" a="1"/>
  <c r="H7" i="8" s="1"/>
  <c r="E40" i="8"/>
  <c r="B40" i="18"/>
  <c r="H40" i="18"/>
  <c r="F40" i="18"/>
  <c r="E40" i="18"/>
  <c r="J40" i="18"/>
  <c r="H7" i="18" s="1" a="1"/>
  <c r="H7" i="18" s="1"/>
  <c r="I40" i="18"/>
  <c r="C40" i="18"/>
  <c r="D40" i="18"/>
  <c r="E25" i="1"/>
  <c r="E23" i="1"/>
  <c r="G27" i="1" s="1"/>
  <c r="E24" i="1"/>
  <c r="F44" i="10" l="1"/>
  <c r="B40" i="9"/>
  <c r="J40" i="9"/>
  <c r="F40" i="9"/>
  <c r="E40" i="9"/>
  <c r="I40" i="9"/>
  <c r="H40" i="9"/>
  <c r="C40" i="9"/>
  <c r="D40" i="9"/>
  <c r="H45" i="8"/>
  <c r="F45" i="8" s="1"/>
  <c r="F44" i="8" s="1"/>
  <c r="F43" i="8" s="1"/>
  <c r="F42" i="8" s="1"/>
  <c r="H2" i="8" s="1" a="1"/>
  <c r="H2" i="8" s="1"/>
  <c r="H45" i="18"/>
  <c r="F45" i="18" s="1"/>
  <c r="G28" i="1"/>
  <c r="G29" i="1" s="1"/>
  <c r="E29" i="1" s="1"/>
  <c r="F43" i="10" l="1"/>
  <c r="F42" i="10" s="1"/>
  <c r="H2" i="10" s="1" a="1"/>
  <c r="H2" i="10" s="1"/>
  <c r="H45" i="9"/>
  <c r="F45" i="9" s="1"/>
  <c r="H7" i="9" a="1"/>
  <c r="H7" i="9" s="1"/>
  <c r="F43" i="18"/>
  <c r="F42" i="18" s="1"/>
  <c r="H2" i="18" s="1" a="1"/>
  <c r="H2" i="18" s="1"/>
  <c r="F44" i="18"/>
  <c r="E28" i="1"/>
  <c r="E27" i="1" s="1"/>
  <c r="G2" i="1" s="1" a="1"/>
  <c r="G2" i="1" s="1"/>
  <c r="F44" i="9" l="1"/>
  <c r="F43" i="9" l="1"/>
  <c r="F42" i="9" s="1"/>
  <c r="H2" i="9" s="1" a="1"/>
  <c r="H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<sst xmlns="http://schemas.openxmlformats.org/spreadsheetml/2006/main" count="284" uniqueCount="25">
  <si>
    <t>DOOLITTLE</t>
  </si>
  <si>
    <t>A</t>
  </si>
  <si>
    <t>B</t>
  </si>
  <si>
    <t>Bandera</t>
  </si>
  <si>
    <t>Comprobación</t>
  </si>
  <si>
    <t>pivote 1</t>
  </si>
  <si>
    <t>LU=A</t>
  </si>
  <si>
    <t>operaciones 1</t>
  </si>
  <si>
    <t>U</t>
  </si>
  <si>
    <t>pivote 2</t>
  </si>
  <si>
    <t>X</t>
  </si>
  <si>
    <t>Y</t>
  </si>
  <si>
    <t>GAUSS-JORDAN</t>
  </si>
  <si>
    <t>se ahorran la mitad d las operaciones gaussianas</t>
  </si>
  <si>
    <t>el sistema d computo no se cargan d operaciones</t>
  </si>
  <si>
    <t>Nos dan resultados exactos</t>
  </si>
  <si>
    <t>PROGRMAR PARA 4X4 Y 2X2</t>
  </si>
  <si>
    <t>A=LU</t>
  </si>
  <si>
    <t>operaciones 2</t>
  </si>
  <si>
    <t>L</t>
  </si>
  <si>
    <t>pivote 3</t>
  </si>
  <si>
    <t xml:space="preserve"> </t>
  </si>
  <si>
    <t>LU DOOLITTLE</t>
  </si>
  <si>
    <t>pivote 4</t>
  </si>
  <si>
    <t>DOOLITLLE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</si>
</sst>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>
    <font>
      <sz val="11"/>
      <color theme="1"/>
      <name val="Aptos Narrow"/>
      <family val="2"/>
      <scheme val="minor"/>
    </font>
    <font>
      <b/>
      <i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8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2" fillId="1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2" fillId="12" borderId="0" xfId="0" applyNumberFormat="1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164" fontId="5" fillId="13" borderId="0" xfId="0" applyNumberFormat="1" applyFont="1" applyFill="1" applyAlignment="1">
      <alignment horizontal="center" vertical="center"/>
    </xf>
    <xf numFmtId="1" fontId="2" fillId="14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/>
    </xf>
    <xf numFmtId="164" fontId="2" fillId="14" borderId="0" xfId="0" applyNumberFormat="1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" fontId="9" fillId="15" borderId="0" xfId="0" applyNumberFormat="1" applyFont="1" applyFill="1" applyAlignment="1">
      <alignment horizontal="center" vertical="center"/>
    </xf>
    <xf numFmtId="164" fontId="9" fillId="15" borderId="0" xfId="0" applyNumberFormat="1" applyFont="1" applyFill="1" applyAlignment="1">
      <alignment horizontal="center" vertical="center"/>
    </xf>
    <xf numFmtId="164" fontId="6" fillId="13" borderId="0" xfId="0" applyNumberFormat="1" applyFont="1" applyFill="1" applyAlignment="1">
      <alignment horizontal="center"/>
    </xf>
    <xf numFmtId="164" fontId="2" fillId="14" borderId="0" xfId="0" applyNumberFormat="1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2" fontId="5" fillId="13" borderId="0" xfId="0" applyNumberFormat="1" applyFont="1" applyFill="1" applyAlignment="1">
      <alignment horizontal="center" vertical="center"/>
    </xf>
    <xf numFmtId="166" fontId="5" fillId="13" borderId="0" xfId="0" applyNumberFormat="1" applyFont="1" applyFill="1" applyAlignment="1">
      <alignment horizontal="center" vertical="center"/>
    </xf>
    <xf numFmtId="1" fontId="5" fillId="13" borderId="0" xfId="0" applyNumberFormat="1" applyFont="1" applyFill="1" applyAlignment="1">
      <alignment horizontal="center" vertical="center"/>
    </xf>
    <xf numFmtId="165" fontId="2" fillId="14" borderId="0" xfId="0" applyNumberFormat="1" applyFont="1" applyFill="1" applyAlignment="1">
      <alignment horizontal="center" vertical="center"/>
    </xf>
    <xf numFmtId="2" fontId="2" fillId="14" borderId="0" xfId="0" applyNumberFormat="1" applyFont="1" applyFill="1" applyAlignment="1">
      <alignment horizontal="center" vertical="center"/>
    </xf>
    <xf numFmtId="166" fontId="2" fillId="14" borderId="0" xfId="0" applyNumberFormat="1" applyFont="1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166" fontId="2" fillId="8" borderId="0" xfId="0" applyNumberFormat="1" applyFont="1" applyFill="1" applyAlignment="1">
      <alignment horizontal="center" vertical="center"/>
    </xf>
    <xf numFmtId="165" fontId="9" fillId="15" borderId="0" xfId="0" applyNumberFormat="1" applyFont="1" applyFill="1" applyAlignment="1">
      <alignment horizontal="center" vertical="center"/>
    </xf>
    <xf numFmtId="166" fontId="9" fillId="15" borderId="0" xfId="0" applyNumberFormat="1" applyFont="1" applyFill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2" fontId="8" fillId="10" borderId="0" xfId="0" applyNumberFormat="1" applyFont="1" applyFill="1" applyAlignment="1">
      <alignment horizontal="center" vertical="center"/>
    </xf>
    <xf numFmtId="166" fontId="8" fillId="10" borderId="0" xfId="0" applyNumberFormat="1" applyFont="1" applyFill="1" applyAlignment="1">
      <alignment horizontal="center" vertical="center"/>
    </xf>
    <xf numFmtId="1" fontId="8" fillId="10" borderId="0" xfId="0" applyNumberFormat="1" applyFont="1" applyFill="1" applyAlignment="1">
      <alignment horizontal="center" vertical="center"/>
    </xf>
    <xf numFmtId="1" fontId="2" fillId="11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66" fontId="2" fillId="12" borderId="0" xfId="0" applyNumberFormat="1" applyFont="1" applyFill="1" applyAlignment="1">
      <alignment horizontal="center" vertical="center"/>
    </xf>
    <xf numFmtId="1" fontId="2" fillId="1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14" borderId="0" xfId="0" applyNumberFormat="1" applyFont="1" applyFill="1" applyAlignment="1">
      <alignment horizontal="center"/>
    </xf>
    <xf numFmtId="166" fontId="2" fillId="14" borderId="0" xfId="0" applyNumberFormat="1" applyFont="1" applyFill="1" applyAlignment="1">
      <alignment horizontal="center"/>
    </xf>
    <xf numFmtId="1" fontId="2" fillId="8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64" fontId="6" fillId="13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65" fontId="5" fillId="8" borderId="0" xfId="0" applyNumberFormat="1" applyFont="1" applyFill="1" applyAlignment="1">
      <alignment horizontal="center" vertical="center"/>
    </xf>
    <xf numFmtId="1" fontId="6" fillId="13" borderId="0" xfId="0" applyNumberFormat="1" applyFont="1" applyFill="1" applyAlignment="1">
      <alignment horizontal="center"/>
    </xf>
    <xf numFmtId="166" fontId="5" fillId="8" borderId="0" xfId="0" applyNumberFormat="1" applyFont="1" applyFill="1" applyAlignment="1">
      <alignment horizontal="center"/>
    </xf>
    <xf numFmtId="1" fontId="5" fillId="8" borderId="0" xfId="0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" fontId="6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/>
    </xf>
    <xf numFmtId="166" fontId="2" fillId="0" borderId="0" xfId="0" applyNumberFormat="1" applyFont="1"/>
    <xf numFmtId="166" fontId="0" fillId="0" borderId="0" xfId="0" applyNumberFormat="1"/>
    <xf numFmtId="1" fontId="2" fillId="0" borderId="0" xfId="0" applyNumberFormat="1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1" xfId="0" applyFont="1" applyBorder="1" applyAlignment="1">
      <alignment horizontal="center"/>
    </xf>
    <xf numFmtId="0" fontId="9" fillId="15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166" fontId="5" fillId="2" borderId="0" xfId="0" applyNumberFormat="1" applyFont="1" applyFill="1" applyAlignment="1">
      <alignment horizontal="center"/>
    </xf>
    <xf numFmtId="165" fontId="2" fillId="10" borderId="0" xfId="0" applyNumberFormat="1" applyFont="1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1" fontId="4" fillId="8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2" fillId="13" borderId="0" xfId="0" applyNumberFormat="1" applyFont="1" applyFill="1" applyAlignment="1">
      <alignment horizontal="center"/>
    </xf>
    <xf numFmtId="164" fontId="2" fillId="8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0" borderId="0" xfId="0" applyNumberFormat="1" applyFont="1"/>
    <xf numFmtId="164" fontId="9" fillId="15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8" borderId="0" xfId="0" applyNumberFormat="1" applyFont="1" applyFill="1" applyAlignment="1">
      <alignment horizontal="center"/>
    </xf>
    <xf numFmtId="165" fontId="9" fillId="15" borderId="0" xfId="0" applyNumberFormat="1" applyFont="1" applyFill="1" applyAlignment="1">
      <alignment horizontal="center"/>
    </xf>
    <xf numFmtId="1" fontId="9" fillId="15" borderId="0" xfId="0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" fontId="5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C938-ABB7-4F2B-B4B5-4F37679A165E}">
  <dimension ref="A1:G15"/>
  <sheetViews>
    <sheetView workbookViewId="0">
      <selection activeCell="H5" sqref="H5"/>
    </sheetView>
  </sheetViews>
  <sheetFormatPr defaultColWidth="11.42578125" defaultRowHeight="14.45"/>
  <cols>
    <col min="1" max="1" width="14.7109375" bestFit="1" customWidth="1"/>
    <col min="6" max="6" width="14.42578125" customWidth="1"/>
  </cols>
  <sheetData>
    <row r="1" spans="1:7" ht="15.6">
      <c r="A1" s="1" t="s">
        <v>0</v>
      </c>
      <c r="B1" s="2"/>
      <c r="C1" s="2" t="s">
        <v>1</v>
      </c>
      <c r="D1" s="2" t="s">
        <v>2</v>
      </c>
      <c r="E1" s="7" t="s">
        <v>3</v>
      </c>
      <c r="F1" s="24" t="s">
        <v>4</v>
      </c>
    </row>
    <row r="2" spans="1:7" ht="15.6">
      <c r="A2" s="2"/>
      <c r="B2" s="3">
        <v>3.1</v>
      </c>
      <c r="C2" s="3">
        <v>4.3</v>
      </c>
      <c r="D2" s="8">
        <v>2.31</v>
      </c>
      <c r="E2" s="2"/>
      <c r="F2" s="2" cm="1">
        <f t="array" ref="F2:F3">MMULT(B2:C3,D14:D15)</f>
        <v>2.3100000000000005</v>
      </c>
    </row>
    <row r="3" spans="1:7" ht="15.6">
      <c r="A3" s="2"/>
      <c r="B3" s="3">
        <v>0.5</v>
      </c>
      <c r="C3" s="3">
        <v>-2</v>
      </c>
      <c r="D3" s="8">
        <v>5.77</v>
      </c>
      <c r="E3" s="2"/>
      <c r="F3" s="2">
        <v>5.77</v>
      </c>
    </row>
    <row r="4" spans="1:7" ht="15.6">
      <c r="A4" s="2"/>
      <c r="B4" s="2"/>
      <c r="C4" s="2"/>
      <c r="D4" s="19"/>
      <c r="E4" s="2"/>
      <c r="F4" s="25"/>
    </row>
    <row r="5" spans="1:7" ht="15.6">
      <c r="A5" s="5" t="s">
        <v>5</v>
      </c>
      <c r="B5" s="9" cm="1">
        <f t="array" ref="B5">IF($B$2=0,IF($B$3=0,falla, B3),B2)</f>
        <v>3.1</v>
      </c>
      <c r="C5" s="9">
        <f>IF($B$2=0,IF($B$3=0,IF(#REF!=0,"Falla",#REF!),C3),C2)</f>
        <v>4.3</v>
      </c>
      <c r="D5" s="9">
        <f>IF($B$2=0,IF($B$3=0,IF(#REF!=0,"Falla",#REF!),D3),D2)</f>
        <v>2.31</v>
      </c>
      <c r="E5" s="2" t="str">
        <f>IF(B5=B2,"aceptado 1",IF(B5=B3,"aceptado 2","falla"))</f>
        <v>aceptado 1</v>
      </c>
      <c r="F5" s="2"/>
      <c r="G5" s="13"/>
    </row>
    <row r="6" spans="1:7" ht="15.6">
      <c r="A6" s="2"/>
      <c r="B6" s="9">
        <f>IF($E$5="aceptado 2",B2,B3)</f>
        <v>0.5</v>
      </c>
      <c r="C6" s="9">
        <f>IF($E$5="aceptado 2",C2,C3)</f>
        <v>-2</v>
      </c>
      <c r="D6" s="9">
        <f>IF($E$5="aceptado 2",D2,D3)</f>
        <v>5.77</v>
      </c>
      <c r="E6" s="2"/>
      <c r="F6" s="2"/>
      <c r="G6" s="13"/>
    </row>
    <row r="7" spans="1:7" ht="15">
      <c r="A7" s="2"/>
      <c r="B7" s="10"/>
      <c r="C7" s="10"/>
      <c r="D7" s="10"/>
      <c r="E7" s="2"/>
      <c r="F7" s="2"/>
      <c r="G7" s="12" t="s">
        <v>6</v>
      </c>
    </row>
    <row r="8" spans="1:7" ht="15.6">
      <c r="A8" s="6" t="s">
        <v>7</v>
      </c>
      <c r="B8" s="9">
        <f>B5</f>
        <v>3.1</v>
      </c>
      <c r="C8" s="9">
        <f>C5</f>
        <v>4.3</v>
      </c>
      <c r="D8" s="9">
        <f>D5</f>
        <v>2.31</v>
      </c>
      <c r="E8" s="2"/>
      <c r="F8" s="30">
        <v>1</v>
      </c>
      <c r="G8" s="31">
        <v>0</v>
      </c>
    </row>
    <row r="9" spans="1:7" ht="15.6">
      <c r="A9" s="2"/>
      <c r="B9" s="11">
        <f>B6-($B$6/$B$5)*B5</f>
        <v>0</v>
      </c>
      <c r="C9" s="9">
        <f>C6-($B$6/$B$5)*C5</f>
        <v>-2.693548387096774</v>
      </c>
      <c r="D9" s="9">
        <f>D6</f>
        <v>5.77</v>
      </c>
      <c r="E9" s="2"/>
      <c r="F9" s="32">
        <f>B6/B5</f>
        <v>0.16129032258064516</v>
      </c>
      <c r="G9" s="31">
        <v>1</v>
      </c>
    </row>
    <row r="10" spans="1:7" ht="15.6">
      <c r="A10" s="2"/>
      <c r="B10" s="16" t="s">
        <v>8</v>
      </c>
      <c r="C10" s="10"/>
      <c r="D10" s="16" t="s">
        <v>2</v>
      </c>
      <c r="E10" s="2"/>
      <c r="F10" s="19"/>
      <c r="G10" s="13"/>
    </row>
    <row r="11" spans="1:7" ht="15.6">
      <c r="A11" s="5" t="s">
        <v>9</v>
      </c>
      <c r="B11" s="26">
        <f>B8</f>
        <v>3.1</v>
      </c>
      <c r="C11" s="26">
        <f>C8</f>
        <v>4.3</v>
      </c>
      <c r="D11" s="27">
        <f>D8</f>
        <v>2.31</v>
      </c>
      <c r="E11" s="2" t="str">
        <f>IF(C12=C9,"aceptado 2")</f>
        <v>aceptado 2</v>
      </c>
      <c r="F11" s="35">
        <f>F8</f>
        <v>1</v>
      </c>
      <c r="G11" s="34">
        <f>G8</f>
        <v>0</v>
      </c>
    </row>
    <row r="12" spans="1:7" ht="15.6">
      <c r="A12" s="2"/>
      <c r="B12" s="26">
        <f>IF($C$9=0,"falla",B9)</f>
        <v>0</v>
      </c>
      <c r="C12" s="26">
        <f>IF($C$9=0,"falla",C9)</f>
        <v>-2.693548387096774</v>
      </c>
      <c r="D12" s="27">
        <f>D9</f>
        <v>5.77</v>
      </c>
      <c r="E12" s="2"/>
      <c r="F12" s="35">
        <f>IF($C$9=0,"falla",F9)</f>
        <v>0.16129032258064516</v>
      </c>
      <c r="G12" s="34">
        <f>G9</f>
        <v>1</v>
      </c>
    </row>
    <row r="13" spans="1:7" ht="15.6">
      <c r="A13" s="15"/>
      <c r="B13" s="10"/>
      <c r="C13" s="10"/>
      <c r="D13" s="21" t="s">
        <v>10</v>
      </c>
      <c r="E13" s="2"/>
      <c r="F13" s="19" t="s">
        <v>11</v>
      </c>
    </row>
    <row r="14" spans="1:7" ht="15.6">
      <c r="A14" s="2"/>
      <c r="B14" s="10"/>
      <c r="C14" s="10"/>
      <c r="D14" s="23">
        <f>(F14-C11*D15)/B11</f>
        <v>3.5246706586826346</v>
      </c>
      <c r="E14" s="2"/>
      <c r="F14" s="20">
        <f>D11</f>
        <v>2.31</v>
      </c>
    </row>
    <row r="15" spans="1:7" ht="15.6">
      <c r="A15" s="2"/>
      <c r="B15" s="10"/>
      <c r="C15" s="10"/>
      <c r="D15" s="23">
        <f>F15/C12</f>
        <v>-2.0038323353293412</v>
      </c>
      <c r="E15" s="2"/>
      <c r="F15" s="20">
        <f>D12-F12*F14</f>
        <v>5.3974193548387088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5196-DD9E-4B94-9444-9857C0C5D407}">
  <dimension ref="A1:O32"/>
  <sheetViews>
    <sheetView topLeftCell="A2" zoomScaleNormal="100" workbookViewId="0">
      <selection activeCell="D23" sqref="D23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10" ht="16.149999999999999" thickBot="1">
      <c r="A1" s="1" t="s">
        <v>12</v>
      </c>
      <c r="B1" s="2"/>
      <c r="C1" s="2" t="s">
        <v>1</v>
      </c>
      <c r="D1" s="2"/>
      <c r="E1" s="2" t="s">
        <v>2</v>
      </c>
      <c r="F1" s="7" t="s">
        <v>3</v>
      </c>
      <c r="G1" s="28" t="s">
        <v>4</v>
      </c>
      <c r="J1" t="s">
        <v>13</v>
      </c>
    </row>
    <row r="2" spans="1:10" ht="16.149999999999999" thickBot="1">
      <c r="A2" s="2"/>
      <c r="B2" s="3">
        <v>14</v>
      </c>
      <c r="C2" s="3">
        <v>2</v>
      </c>
      <c r="D2" s="4">
        <v>1</v>
      </c>
      <c r="E2" s="8">
        <v>50</v>
      </c>
      <c r="F2" s="2"/>
      <c r="G2" s="29" cm="1">
        <f t="array" ref="G2:G4">MMULT(B2:D4,E27:E29)</f>
        <v>50</v>
      </c>
      <c r="J2" t="s">
        <v>14</v>
      </c>
    </row>
    <row r="3" spans="1:10" ht="16.149999999999999" thickBot="1">
      <c r="A3" s="2"/>
      <c r="B3" s="3">
        <v>4</v>
      </c>
      <c r="C3" s="3">
        <v>18</v>
      </c>
      <c r="D3" s="4">
        <v>1</v>
      </c>
      <c r="E3" s="8">
        <v>85</v>
      </c>
      <c r="F3" s="2"/>
      <c r="G3" s="29">
        <v>85</v>
      </c>
      <c r="J3" t="s">
        <v>15</v>
      </c>
    </row>
    <row r="4" spans="1:10" ht="16.149999999999999" thickBot="1">
      <c r="A4" s="2"/>
      <c r="B4" s="3">
        <v>0.2</v>
      </c>
      <c r="C4" s="3">
        <v>0.4</v>
      </c>
      <c r="D4" s="4">
        <v>1</v>
      </c>
      <c r="E4" s="8">
        <v>0.05</v>
      </c>
      <c r="F4" s="2"/>
      <c r="G4" s="29">
        <v>5.0000000000000266E-2</v>
      </c>
      <c r="J4" t="s">
        <v>16</v>
      </c>
    </row>
    <row r="5" spans="1:10" ht="15.6">
      <c r="A5" s="2"/>
      <c r="B5" s="2"/>
      <c r="C5" s="2"/>
      <c r="D5" s="2"/>
      <c r="E5" s="19"/>
      <c r="F5" s="2"/>
      <c r="G5" s="25"/>
      <c r="I5" s="12" t="s">
        <v>17</v>
      </c>
    </row>
    <row r="6" spans="1:10" ht="15.6">
      <c r="A6" s="5" t="s">
        <v>5</v>
      </c>
      <c r="B6" s="9">
        <f>IF($B$2=0,IF($B$3=0,IF($B$4=0,"Falla",B4),B3),B2)</f>
        <v>14</v>
      </c>
      <c r="C6" s="9">
        <f>IF($B$2=0,IF($B$3=0,IF($B$4=0,"Falla",C4),C3),C2)</f>
        <v>2</v>
      </c>
      <c r="D6" s="9">
        <f>IF($B$2=0,IF($B$3=0,IF($B$4=0,"Falla",D4),D3),D2)</f>
        <v>1</v>
      </c>
      <c r="E6" s="9">
        <f>IF($B$2=0,IF($B$3=0,IF($B$4=0,"Falla",E4),E3),E2)</f>
        <v>50</v>
      </c>
      <c r="F6" s="2" t="str">
        <f>IF(B6=B2,"aceptado 1",IF(B6=B3,"aceptado 2",IF(B6=B4,"aceptado 3","falla")))</f>
        <v>aceptado 1</v>
      </c>
      <c r="G6" s="2" cm="1">
        <f t="array" ref="G6:I8">MMULT(G23:I25,B23:D25)</f>
        <v>14</v>
      </c>
      <c r="H6" s="13">
        <v>2</v>
      </c>
      <c r="I6" s="13">
        <v>1</v>
      </c>
    </row>
    <row r="7" spans="1:10" ht="15.6">
      <c r="A7" s="2"/>
      <c r="B7" s="9">
        <f>IF($F$6="aceptado 2",B2,B3)</f>
        <v>4</v>
      </c>
      <c r="C7" s="9">
        <f>IF($F$6="aceptado 2",C2,C3)</f>
        <v>18</v>
      </c>
      <c r="D7" s="9">
        <f>IF($F$6="aceptado 2",D2,D3)</f>
        <v>1</v>
      </c>
      <c r="E7" s="9">
        <f>IF($F$6="aceptado 2",E2,E3)</f>
        <v>85</v>
      </c>
      <c r="F7" s="2"/>
      <c r="G7" s="2">
        <v>4</v>
      </c>
      <c r="H7" s="13">
        <v>18</v>
      </c>
      <c r="I7" s="13">
        <v>1</v>
      </c>
    </row>
    <row r="8" spans="1:10" ht="15.6">
      <c r="A8" s="2"/>
      <c r="B8" s="9">
        <f>IF($F$6="aceptado 3",B2,B4)</f>
        <v>0.2</v>
      </c>
      <c r="C8" s="9">
        <f>IF($F$6="aceptado 3",C2,C4)</f>
        <v>0.4</v>
      </c>
      <c r="D8" s="9">
        <f>IF($F$6="aceptado 3",D2,D4)</f>
        <v>1</v>
      </c>
      <c r="E8" s="9">
        <f>IF($F$6="aceptado 3",E2,E4)</f>
        <v>0.05</v>
      </c>
      <c r="F8" s="2"/>
      <c r="G8" s="2">
        <v>0.2</v>
      </c>
      <c r="H8" s="13">
        <v>0.4</v>
      </c>
      <c r="I8" s="13">
        <v>1</v>
      </c>
    </row>
    <row r="9" spans="1:10" ht="15">
      <c r="A9" s="2"/>
      <c r="B9" s="10"/>
      <c r="C9" s="10"/>
      <c r="D9" s="10"/>
      <c r="E9" s="10"/>
      <c r="F9" s="2"/>
      <c r="G9" s="2"/>
      <c r="H9" s="12" t="s">
        <v>6</v>
      </c>
    </row>
    <row r="10" spans="1:10" ht="15.6">
      <c r="A10" s="6" t="s">
        <v>7</v>
      </c>
      <c r="B10" s="9">
        <f>B6</f>
        <v>14</v>
      </c>
      <c r="C10" s="9">
        <f>C6</f>
        <v>2</v>
      </c>
      <c r="D10" s="9">
        <f>D6</f>
        <v>1</v>
      </c>
      <c r="E10" s="9">
        <f>E6</f>
        <v>50</v>
      </c>
      <c r="F10" s="2"/>
      <c r="G10" s="30">
        <v>1</v>
      </c>
      <c r="H10" s="31">
        <v>0</v>
      </c>
      <c r="I10" s="31">
        <v>0</v>
      </c>
    </row>
    <row r="11" spans="1:10" ht="15.6">
      <c r="A11" s="2"/>
      <c r="B11" s="11">
        <f>B7-($B$7/$B$6)*B6</f>
        <v>0</v>
      </c>
      <c r="C11" s="9">
        <f>C7-($B$7/$B$6)*C6</f>
        <v>17.428571428571427</v>
      </c>
      <c r="D11" s="9">
        <f>D7-($B$7/$B$6)*D6</f>
        <v>0.7142857142857143</v>
      </c>
      <c r="E11" s="9">
        <f>E7</f>
        <v>85</v>
      </c>
      <c r="F11" s="2"/>
      <c r="G11" s="32">
        <f>B7/B6</f>
        <v>0.2857142857142857</v>
      </c>
      <c r="H11" s="31">
        <v>1</v>
      </c>
      <c r="I11" s="31">
        <v>0</v>
      </c>
    </row>
    <row r="12" spans="1:10" ht="15.6">
      <c r="A12" s="2"/>
      <c r="B12" s="11">
        <f>B8-($B$8/$B$6)*B6</f>
        <v>0</v>
      </c>
      <c r="C12" s="9">
        <f>C8-($B$8/$B$6)*C6</f>
        <v>0.37142857142857144</v>
      </c>
      <c r="D12" s="9">
        <f>D8-($B$8/$B$6)*D6</f>
        <v>0.98571428571428577</v>
      </c>
      <c r="E12" s="9">
        <f>E8</f>
        <v>0.05</v>
      </c>
      <c r="F12" s="2"/>
      <c r="G12" s="32">
        <f>B8/B6</f>
        <v>1.4285714285714287E-2</v>
      </c>
      <c r="H12" s="41">
        <f>C8/C7</f>
        <v>2.2222222222222223E-2</v>
      </c>
      <c r="I12" s="31">
        <v>1</v>
      </c>
    </row>
    <row r="13" spans="1:10" ht="15.6">
      <c r="A13" s="2"/>
      <c r="B13" s="10"/>
      <c r="C13" s="10"/>
      <c r="D13" s="10"/>
      <c r="E13" s="10"/>
      <c r="F13" s="2"/>
      <c r="G13" s="2"/>
      <c r="H13" s="13"/>
      <c r="I13" s="13"/>
    </row>
    <row r="14" spans="1:10" ht="15.6">
      <c r="A14" s="5" t="s">
        <v>9</v>
      </c>
      <c r="B14" s="9">
        <f>B10</f>
        <v>14</v>
      </c>
      <c r="C14" s="9">
        <f>C10</f>
        <v>2</v>
      </c>
      <c r="D14" s="9">
        <f>D10</f>
        <v>1</v>
      </c>
      <c r="E14" s="9">
        <f>E10</f>
        <v>50</v>
      </c>
      <c r="F14" s="2" t="str">
        <f>IF(C15=C11,"aceptado 2",IF(C15=C12,"aceptado 3","falla"))</f>
        <v>aceptado 2</v>
      </c>
      <c r="G14" s="33">
        <f>G10</f>
        <v>1</v>
      </c>
      <c r="H14" s="34">
        <f>H10</f>
        <v>0</v>
      </c>
      <c r="I14" s="34">
        <f>I10</f>
        <v>0</v>
      </c>
    </row>
    <row r="15" spans="1:10" ht="15.6">
      <c r="A15" s="2"/>
      <c r="B15" s="9">
        <f>IF($C$11=0,IF($C$12=0,"falla",B12),B11)</f>
        <v>0</v>
      </c>
      <c r="C15" s="9">
        <f>IF($C$11=0,IF($C$12=0,"falla",C12),C11)</f>
        <v>17.428571428571427</v>
      </c>
      <c r="D15" s="9">
        <f>IF($C$11=0,IF($C$12=0,"falla",D12),D11)</f>
        <v>0.7142857142857143</v>
      </c>
      <c r="E15" s="9">
        <f>E11</f>
        <v>85</v>
      </c>
      <c r="F15" s="2"/>
      <c r="G15" s="35">
        <f>IF($C$11=0,IF($C$12=0,"falla",G12),G11)</f>
        <v>0.2857142857142857</v>
      </c>
      <c r="H15" s="34">
        <f>H11</f>
        <v>1</v>
      </c>
      <c r="I15" s="34">
        <f>I11</f>
        <v>0</v>
      </c>
    </row>
    <row r="16" spans="1:10" ht="15.6">
      <c r="A16" s="2"/>
      <c r="B16" s="9">
        <f>IF($F$14="aceptado 2",B12,B11)</f>
        <v>0</v>
      </c>
      <c r="C16" s="9">
        <f>IF($F$14="aceptado 2",C12,C11)</f>
        <v>0.37142857142857144</v>
      </c>
      <c r="D16" s="9">
        <f>IF($F$14="aceptado 2",D12,D11)</f>
        <v>0.98571428571428577</v>
      </c>
      <c r="E16" s="9">
        <f>E12</f>
        <v>0.05</v>
      </c>
      <c r="F16" s="2"/>
      <c r="G16" s="35">
        <f>IF($F$14="aceptado 2",G12,G11)</f>
        <v>1.4285714285714287E-2</v>
      </c>
      <c r="H16" s="42">
        <f>C12/C11</f>
        <v>2.1311475409836068E-2</v>
      </c>
      <c r="I16" s="34">
        <f>I12</f>
        <v>1</v>
      </c>
    </row>
    <row r="17" spans="1:15" ht="15.6">
      <c r="A17" s="2"/>
      <c r="B17" s="10"/>
      <c r="C17" s="10"/>
      <c r="D17" s="10"/>
      <c r="E17" s="10"/>
      <c r="F17" s="2"/>
      <c r="G17" s="2"/>
      <c r="H17" s="13"/>
      <c r="I17" s="13"/>
    </row>
    <row r="18" spans="1:15" ht="15.6">
      <c r="A18" s="6" t="s">
        <v>18</v>
      </c>
      <c r="B18" s="9">
        <f>B14</f>
        <v>14</v>
      </c>
      <c r="C18" s="9">
        <f>C14</f>
        <v>2</v>
      </c>
      <c r="D18" s="9">
        <f t="shared" ref="D18" si="0">D14</f>
        <v>1</v>
      </c>
      <c r="E18" s="9">
        <f>E14</f>
        <v>50</v>
      </c>
      <c r="F18" s="2"/>
      <c r="G18" s="36">
        <f>G14</f>
        <v>1</v>
      </c>
      <c r="H18" s="37">
        <f>H14</f>
        <v>0</v>
      </c>
      <c r="I18" s="37">
        <f>I14</f>
        <v>0</v>
      </c>
    </row>
    <row r="19" spans="1:15" ht="15.6">
      <c r="A19" s="2"/>
      <c r="B19" s="9">
        <f>B15</f>
        <v>0</v>
      </c>
      <c r="C19" s="9">
        <f>C15</f>
        <v>17.428571428571427</v>
      </c>
      <c r="D19" s="9">
        <f>D15</f>
        <v>0.7142857142857143</v>
      </c>
      <c r="E19" s="9">
        <f>E15</f>
        <v>85</v>
      </c>
      <c r="F19" s="2"/>
      <c r="G19" s="14">
        <f>IF($C$11=0,IF($C$12=0,"falla",G16),G15)</f>
        <v>0.2857142857142857</v>
      </c>
      <c r="H19" s="37">
        <f>H15</f>
        <v>1</v>
      </c>
      <c r="I19" s="37">
        <f>I15</f>
        <v>0</v>
      </c>
    </row>
    <row r="20" spans="1:15" ht="15.6">
      <c r="A20" s="2"/>
      <c r="B20" s="9">
        <f>B16-($C$16/$C$15)*B15</f>
        <v>0</v>
      </c>
      <c r="C20" s="9">
        <f>C16-($C$16/$C$15)*C15</f>
        <v>0</v>
      </c>
      <c r="D20" s="9">
        <f>D16-($C$16/$C$15)*D15</f>
        <v>0.97049180327868856</v>
      </c>
      <c r="E20" s="9">
        <f>E16</f>
        <v>0.05</v>
      </c>
      <c r="F20" s="2"/>
      <c r="G20" s="14">
        <f>IF($F$14="aceptado 2",G16,G15)</f>
        <v>1.4285714285714287E-2</v>
      </c>
      <c r="H20" s="38">
        <f>C16/C15</f>
        <v>2.1311475409836068E-2</v>
      </c>
      <c r="I20" s="37">
        <f>I16</f>
        <v>1</v>
      </c>
      <c r="O20" s="22"/>
    </row>
    <row r="22" spans="1:15" ht="15.6">
      <c r="A22" s="2"/>
      <c r="B22" s="10"/>
      <c r="C22" s="16" t="s">
        <v>8</v>
      </c>
      <c r="D22" s="10"/>
      <c r="E22" s="16" t="s">
        <v>2</v>
      </c>
      <c r="F22" s="2"/>
      <c r="G22" s="2"/>
      <c r="H22" s="18" t="s">
        <v>19</v>
      </c>
      <c r="I22" s="13"/>
    </row>
    <row r="23" spans="1:15" ht="15">
      <c r="A23" s="5" t="s">
        <v>20</v>
      </c>
      <c r="B23" s="14">
        <f>B18</f>
        <v>14</v>
      </c>
      <c r="C23" s="14">
        <f>C18</f>
        <v>2</v>
      </c>
      <c r="D23" s="14">
        <f>D18</f>
        <v>1</v>
      </c>
      <c r="E23" s="17">
        <f>E18</f>
        <v>50</v>
      </c>
      <c r="F23" s="2" t="str">
        <f>IF(D25=D20,"aceptado 3","falla")</f>
        <v>aceptado 3</v>
      </c>
      <c r="G23" s="39">
        <f>G18</f>
        <v>1</v>
      </c>
      <c r="H23" s="40">
        <f>H18</f>
        <v>0</v>
      </c>
      <c r="I23" s="40">
        <f>I18</f>
        <v>0</v>
      </c>
    </row>
    <row r="24" spans="1:15" ht="15">
      <c r="A24" s="2"/>
      <c r="B24" s="14">
        <f>B19</f>
        <v>0</v>
      </c>
      <c r="C24" s="14">
        <f>C19</f>
        <v>17.428571428571427</v>
      </c>
      <c r="D24" s="14">
        <f>D19</f>
        <v>0.7142857142857143</v>
      </c>
      <c r="E24" s="17">
        <f>E19</f>
        <v>85</v>
      </c>
      <c r="F24" s="2"/>
      <c r="G24" s="40">
        <f>G19</f>
        <v>0.2857142857142857</v>
      </c>
      <c r="H24" s="40">
        <f>H19</f>
        <v>1</v>
      </c>
      <c r="I24" s="40">
        <f>I19</f>
        <v>0</v>
      </c>
    </row>
    <row r="25" spans="1:15" ht="15">
      <c r="A25" s="2"/>
      <c r="B25" s="14">
        <f>IF($D$20=0,"falla",B20)</f>
        <v>0</v>
      </c>
      <c r="C25" s="14">
        <f>IF($D$20=0,"falla",C20)</f>
        <v>0</v>
      </c>
      <c r="D25" s="14">
        <f>IF($D$20=0,"falla",D20)</f>
        <v>0.97049180327868856</v>
      </c>
      <c r="E25" s="17">
        <f>IF($D$20=0,"falla",E20)</f>
        <v>0.05</v>
      </c>
      <c r="F25" s="2"/>
      <c r="G25" s="40">
        <f>IF($D$20=0,"falla",G20)</f>
        <v>1.4285714285714287E-2</v>
      </c>
      <c r="H25" s="40">
        <f>IF($D$20=0,"falla",H20)</f>
        <v>2.1311475409836068E-2</v>
      </c>
      <c r="I25" s="40">
        <f>IF($D$20=0,"falla",I20)</f>
        <v>1</v>
      </c>
    </row>
    <row r="26" spans="1:15" ht="15.6">
      <c r="A26" s="2"/>
      <c r="B26" s="10"/>
      <c r="C26" s="10"/>
      <c r="D26" s="10"/>
      <c r="E26" s="21" t="s">
        <v>10</v>
      </c>
      <c r="F26" s="2"/>
      <c r="G26" s="19" t="s">
        <v>11</v>
      </c>
    </row>
    <row r="27" spans="1:15" ht="15.6">
      <c r="A27" s="15"/>
      <c r="B27" s="10"/>
      <c r="C27" s="10"/>
      <c r="D27" s="10"/>
      <c r="E27" s="23">
        <f>(G27-C23*E28-D23*E29)/B23</f>
        <v>3.1385135135135132</v>
      </c>
      <c r="F27" s="2"/>
      <c r="G27" s="20">
        <f>E23</f>
        <v>50</v>
      </c>
    </row>
    <row r="28" spans="1:15" ht="15.6">
      <c r="A28" s="2"/>
      <c r="B28" s="10"/>
      <c r="C28" s="10"/>
      <c r="D28" s="10"/>
      <c r="E28" s="23">
        <f>(G28-D24*E29)/C24</f>
        <v>4.1490709459459465</v>
      </c>
      <c r="F28" s="2"/>
      <c r="G28" s="20">
        <f>E24-G24*G27</f>
        <v>70.714285714285722</v>
      </c>
      <c r="I28" t="s">
        <v>21</v>
      </c>
    </row>
    <row r="29" spans="1:15" ht="15.6">
      <c r="A29" s="2"/>
      <c r="B29" s="10"/>
      <c r="C29" s="10"/>
      <c r="D29" s="10"/>
      <c r="E29" s="23">
        <f>G29/D25</f>
        <v>-2.2373310810810811</v>
      </c>
      <c r="F29" s="2"/>
      <c r="G29" s="20">
        <f>E25-G25*G27-H25*G28</f>
        <v>-2.1713114754098362</v>
      </c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B484-C9FD-4DF0-96EC-F115DDAE38ED}">
  <dimension ref="A1:K45"/>
  <sheetViews>
    <sheetView topLeftCell="A20" zoomScaleNormal="100" workbookViewId="0">
      <selection sqref="A1:K45"/>
    </sheetView>
  </sheetViews>
  <sheetFormatPr defaultColWidth="11.42578125" defaultRowHeight="14.45"/>
  <cols>
    <col min="1" max="1" width="19.85546875" bestFit="1" customWidth="1"/>
    <col min="8" max="8" width="16.42578125" bestFit="1" customWidth="1"/>
    <col min="9" max="9" width="19.42578125" bestFit="1" customWidth="1"/>
  </cols>
  <sheetData>
    <row r="1" spans="1:11" ht="15.6">
      <c r="A1" s="97" t="s">
        <v>22</v>
      </c>
      <c r="B1" s="134" t="s">
        <v>1</v>
      </c>
      <c r="C1" s="134"/>
      <c r="D1" s="134"/>
      <c r="E1" s="134"/>
      <c r="F1" s="98" t="s">
        <v>2</v>
      </c>
      <c r="G1" s="75" t="s">
        <v>3</v>
      </c>
      <c r="H1" s="97" t="s">
        <v>4</v>
      </c>
      <c r="I1" s="13"/>
      <c r="J1" s="13"/>
      <c r="K1" s="13"/>
    </row>
    <row r="2" spans="1:11" ht="15.6">
      <c r="A2" s="75"/>
      <c r="B2" s="104">
        <v>3</v>
      </c>
      <c r="C2" s="104">
        <v>2</v>
      </c>
      <c r="D2" s="104">
        <v>1</v>
      </c>
      <c r="E2" s="105">
        <v>-1</v>
      </c>
      <c r="F2" s="106">
        <v>1</v>
      </c>
      <c r="G2" s="13"/>
      <c r="H2" s="75" cm="1">
        <f t="array" ref="H2:H5">MMULT(B2:E5,F42:F45)</f>
        <v>1</v>
      </c>
      <c r="I2" s="75"/>
      <c r="J2" s="75"/>
      <c r="K2" s="75"/>
    </row>
    <row r="3" spans="1:11" ht="15.6">
      <c r="A3" s="75"/>
      <c r="B3" s="104">
        <v>-1</v>
      </c>
      <c r="C3" s="104">
        <v>4</v>
      </c>
      <c r="D3" s="104">
        <v>-1</v>
      </c>
      <c r="E3" s="105">
        <v>8</v>
      </c>
      <c r="F3" s="106">
        <v>7</v>
      </c>
      <c r="G3" s="13"/>
      <c r="H3" s="75">
        <v>7</v>
      </c>
      <c r="I3" s="75"/>
      <c r="J3" s="75"/>
      <c r="K3" s="75"/>
    </row>
    <row r="4" spans="1:11" ht="15.6">
      <c r="A4" s="75"/>
      <c r="B4" s="104">
        <v>2</v>
      </c>
      <c r="C4" s="104">
        <v>1</v>
      </c>
      <c r="D4" s="104">
        <v>-5</v>
      </c>
      <c r="E4" s="105">
        <v>3</v>
      </c>
      <c r="F4" s="106">
        <v>-14</v>
      </c>
      <c r="G4" s="13"/>
      <c r="H4" s="75">
        <v>-14</v>
      </c>
      <c r="I4" s="75"/>
      <c r="J4" s="75"/>
      <c r="K4" s="75"/>
    </row>
    <row r="5" spans="1:11" ht="15.6">
      <c r="A5" s="75"/>
      <c r="B5" s="104">
        <v>1</v>
      </c>
      <c r="C5" s="104">
        <v>1</v>
      </c>
      <c r="D5" s="104">
        <v>-1</v>
      </c>
      <c r="E5" s="105">
        <v>2</v>
      </c>
      <c r="F5" s="106">
        <v>-4</v>
      </c>
      <c r="G5" s="13"/>
      <c r="H5" s="75">
        <v>-4</v>
      </c>
      <c r="I5" s="75"/>
      <c r="J5" s="75"/>
      <c r="K5" s="75"/>
    </row>
    <row r="6" spans="1:11" ht="15.6">
      <c r="A6" s="13"/>
      <c r="B6" s="13"/>
      <c r="C6" s="13"/>
      <c r="D6" s="13"/>
      <c r="E6" s="13"/>
      <c r="F6" s="13"/>
      <c r="G6" s="13"/>
      <c r="H6" s="134" t="s">
        <v>6</v>
      </c>
      <c r="I6" s="134"/>
      <c r="J6" s="134"/>
      <c r="K6" s="134"/>
    </row>
    <row r="7" spans="1:11" ht="15.6">
      <c r="A7" s="5" t="s">
        <v>5</v>
      </c>
      <c r="B7" s="75">
        <f>IF($B$2=0,IF($B$3=0,IF($B$4=0,IF($B$5=0,"falla",B5),B4),B3),B2)</f>
        <v>3</v>
      </c>
      <c r="C7" s="75">
        <f t="shared" ref="C7:F7" si="0">IF($B$2=0,IF($B$3=0,IF($B$4=0,IF($B$5=0,"falla",C5),C4),C3),C2)</f>
        <v>2</v>
      </c>
      <c r="D7" s="75">
        <f t="shared" si="0"/>
        <v>1</v>
      </c>
      <c r="E7" s="100">
        <f t="shared" si="0"/>
        <v>-1</v>
      </c>
      <c r="F7" s="75">
        <f t="shared" si="0"/>
        <v>1</v>
      </c>
      <c r="G7" s="75" t="str">
        <f>IF(B7=B2,"aceptado1",IF(B7=B3,"aceptado2",IF(B7=B4,"aceptado3",IF(B7=B5,"aceptado4","falla"))))</f>
        <v>aceptado1</v>
      </c>
      <c r="H7" s="75" cm="1">
        <f t="array" ref="H7:K10">MMULT(H37:K40,B37:E40)</f>
        <v>3</v>
      </c>
      <c r="I7" s="75">
        <v>2</v>
      </c>
      <c r="J7" s="75">
        <v>1</v>
      </c>
      <c r="K7" s="75">
        <v>-1</v>
      </c>
    </row>
    <row r="8" spans="1:11" ht="15.6">
      <c r="A8" s="13"/>
      <c r="B8" s="75">
        <f>IF($G$7="aceptado2",B2,B3)</f>
        <v>-1</v>
      </c>
      <c r="C8" s="75">
        <f>IF($G$7="aceptado2",C2,C3)</f>
        <v>4</v>
      </c>
      <c r="D8" s="75">
        <f>IF($G$7="aceptado2",D2,D3)</f>
        <v>-1</v>
      </c>
      <c r="E8" s="100">
        <f>IF($G$7="aceptado2",E2,E3)</f>
        <v>8</v>
      </c>
      <c r="F8" s="75">
        <f>IF($G$7="aceptado2",F2,F3)</f>
        <v>7</v>
      </c>
      <c r="G8" s="75"/>
      <c r="H8" s="75">
        <v>-1</v>
      </c>
      <c r="I8" s="75">
        <v>4</v>
      </c>
      <c r="J8" s="75">
        <v>-1</v>
      </c>
      <c r="K8" s="75">
        <v>8</v>
      </c>
    </row>
    <row r="9" spans="1:11" ht="15.6">
      <c r="A9" s="13"/>
      <c r="B9" s="75">
        <f>IF($G$7="aceptado3",B2,B4)</f>
        <v>2</v>
      </c>
      <c r="C9" s="75">
        <f>IF($G$7="aceptado3",C2,C4)</f>
        <v>1</v>
      </c>
      <c r="D9" s="75">
        <f>IF($G$7="aceptado3",D2,D4)</f>
        <v>-5</v>
      </c>
      <c r="E9" s="100">
        <f>IF($G$7="aceptado3",E2,E4)</f>
        <v>3</v>
      </c>
      <c r="F9" s="75">
        <f>IF($G$7="aceptado3",F2,F4)</f>
        <v>-14</v>
      </c>
      <c r="G9" s="75"/>
      <c r="H9" s="75">
        <v>2</v>
      </c>
      <c r="I9" s="75">
        <v>1</v>
      </c>
      <c r="J9" s="75">
        <v>-5</v>
      </c>
      <c r="K9" s="75">
        <v>2.9999999999999996</v>
      </c>
    </row>
    <row r="10" spans="1:11" ht="15.6">
      <c r="A10" s="13"/>
      <c r="B10" s="75">
        <f>IF($G$7="aceptado4",B2,B5)</f>
        <v>1</v>
      </c>
      <c r="C10" s="75">
        <f t="shared" ref="C10:F10" si="1">IF($G$7="aceptado4",C2,C5)</f>
        <v>1</v>
      </c>
      <c r="D10" s="75">
        <f t="shared" si="1"/>
        <v>-1</v>
      </c>
      <c r="E10" s="100">
        <f t="shared" si="1"/>
        <v>2</v>
      </c>
      <c r="F10" s="75">
        <f t="shared" si="1"/>
        <v>-4</v>
      </c>
      <c r="G10" s="75"/>
      <c r="H10" s="75">
        <v>1</v>
      </c>
      <c r="I10" s="75">
        <v>1</v>
      </c>
      <c r="J10" s="75">
        <v>-0.99999999999999989</v>
      </c>
      <c r="K10" s="75">
        <v>2</v>
      </c>
    </row>
    <row r="11" spans="1:11" ht="15.6">
      <c r="A11" s="13"/>
      <c r="B11" s="75"/>
      <c r="C11" s="75"/>
      <c r="D11" s="75"/>
      <c r="E11" s="75"/>
      <c r="F11" s="75"/>
      <c r="G11" s="75"/>
      <c r="H11" s="13"/>
      <c r="I11" s="13"/>
      <c r="J11" s="13"/>
      <c r="K11" s="13"/>
    </row>
    <row r="12" spans="1:11" ht="15.6">
      <c r="A12" s="6" t="s">
        <v>7</v>
      </c>
      <c r="B12" s="75">
        <f>B7</f>
        <v>3</v>
      </c>
      <c r="C12" s="75">
        <f t="shared" ref="C12:F15" si="2">C7</f>
        <v>2</v>
      </c>
      <c r="D12" s="75">
        <f t="shared" si="2"/>
        <v>1</v>
      </c>
      <c r="E12" s="100">
        <f>E7</f>
        <v>-1</v>
      </c>
      <c r="F12" s="75">
        <f t="shared" si="2"/>
        <v>1</v>
      </c>
      <c r="G12" s="75"/>
      <c r="H12" s="75">
        <v>1</v>
      </c>
      <c r="I12" s="75">
        <v>0</v>
      </c>
      <c r="J12" s="75">
        <v>0</v>
      </c>
      <c r="K12" s="75">
        <v>0</v>
      </c>
    </row>
    <row r="13" spans="1:11" ht="15.6">
      <c r="A13" s="13"/>
      <c r="B13" s="75">
        <f>B8-($B$8/$B$7)*B7</f>
        <v>0</v>
      </c>
      <c r="C13" s="75">
        <f t="shared" ref="C13:D13" si="3">C8-($B$8/$B$7)*C7</f>
        <v>4.666666666666667</v>
      </c>
      <c r="D13" s="75">
        <f t="shared" si="3"/>
        <v>-0.66666666666666674</v>
      </c>
      <c r="E13" s="100">
        <f>E8-($B$8/$B$7)*E7</f>
        <v>7.666666666666667</v>
      </c>
      <c r="F13" s="75">
        <f t="shared" si="2"/>
        <v>7</v>
      </c>
      <c r="G13" s="75"/>
      <c r="H13" s="75">
        <f>B8/B7</f>
        <v>-0.33333333333333331</v>
      </c>
      <c r="I13" s="75">
        <v>1</v>
      </c>
      <c r="J13" s="75">
        <v>0</v>
      </c>
      <c r="K13" s="75">
        <v>0</v>
      </c>
    </row>
    <row r="14" spans="1:11" ht="15.6">
      <c r="A14" s="13"/>
      <c r="B14" s="75">
        <f>B9-($B$9/$B$7)*B7</f>
        <v>0</v>
      </c>
      <c r="C14" s="75">
        <f t="shared" ref="C14:D14" si="4">C9-($B$9/$B$7)*C7</f>
        <v>-0.33333333333333326</v>
      </c>
      <c r="D14" s="75">
        <f t="shared" si="4"/>
        <v>-5.666666666666667</v>
      </c>
      <c r="E14" s="100">
        <f>E9-($B$9/$B$7)*E7</f>
        <v>3.6666666666666665</v>
      </c>
      <c r="F14" s="75">
        <f t="shared" si="2"/>
        <v>-14</v>
      </c>
      <c r="G14" s="75"/>
      <c r="H14" s="75">
        <f>B9/B7</f>
        <v>0.66666666666666663</v>
      </c>
      <c r="I14" s="75"/>
      <c r="J14" s="75">
        <v>1</v>
      </c>
      <c r="K14" s="75">
        <v>0</v>
      </c>
    </row>
    <row r="15" spans="1:11" ht="15.6">
      <c r="A15" s="13"/>
      <c r="B15" s="75">
        <f>B10-($B$10/$B$7)*B7</f>
        <v>0</v>
      </c>
      <c r="C15" s="75">
        <f t="shared" ref="C15:E15" si="5">C10-($B$10/$B$7)*C7</f>
        <v>0.33333333333333337</v>
      </c>
      <c r="D15" s="75">
        <f t="shared" si="5"/>
        <v>-1.3333333333333333</v>
      </c>
      <c r="E15" s="100">
        <f t="shared" si="5"/>
        <v>2.3333333333333335</v>
      </c>
      <c r="F15" s="75">
        <f t="shared" si="2"/>
        <v>-4</v>
      </c>
      <c r="G15" s="75"/>
      <c r="H15" s="75">
        <f>B10/B7</f>
        <v>0.33333333333333331</v>
      </c>
      <c r="I15" s="75"/>
      <c r="J15" s="75"/>
      <c r="K15" s="75">
        <v>1</v>
      </c>
    </row>
    <row r="16" spans="1:11" ht="15.6">
      <c r="A16" s="13"/>
      <c r="B16" s="75"/>
      <c r="C16" s="75"/>
      <c r="D16" s="75"/>
      <c r="E16" s="75"/>
      <c r="F16" s="75"/>
      <c r="G16" s="75"/>
      <c r="H16" s="13"/>
      <c r="I16" s="13"/>
      <c r="J16" s="13"/>
      <c r="K16" s="13"/>
    </row>
    <row r="17" spans="1:11" ht="15.6">
      <c r="A17" s="5" t="s">
        <v>9</v>
      </c>
      <c r="B17" s="75">
        <f>B12</f>
        <v>3</v>
      </c>
      <c r="C17" s="75">
        <f t="shared" ref="C17:F17" si="6">C12</f>
        <v>2</v>
      </c>
      <c r="D17" s="75">
        <f t="shared" si="6"/>
        <v>1</v>
      </c>
      <c r="E17" s="100">
        <f>E12</f>
        <v>-1</v>
      </c>
      <c r="F17" s="75">
        <f t="shared" si="6"/>
        <v>1</v>
      </c>
      <c r="G17" s="75"/>
      <c r="H17" s="75">
        <f>H12</f>
        <v>1</v>
      </c>
      <c r="I17" s="75">
        <f>I12</f>
        <v>0</v>
      </c>
      <c r="J17" s="75">
        <f>J12</f>
        <v>0</v>
      </c>
      <c r="K17" s="75">
        <f>K12</f>
        <v>0</v>
      </c>
    </row>
    <row r="18" spans="1:11" ht="15.6">
      <c r="A18" s="13"/>
      <c r="B18" s="75">
        <f>IF($C$13 =0,IF($C$14 = 0,IF($C$15=0,"falla",B15),B14),B13)</f>
        <v>0</v>
      </c>
      <c r="C18" s="75">
        <f>IF($C$13 =0,IF($C$14 = 0,IF($C$15=0,"falla",C15),C14),C13)</f>
        <v>4.666666666666667</v>
      </c>
      <c r="D18" s="75">
        <f t="shared" ref="D18:F18" si="7">IF($C$13 =0,IF($C$14 = 0,IF($C$15=0,"falla",D15),D14),D13)</f>
        <v>-0.66666666666666674</v>
      </c>
      <c r="E18" s="100">
        <f t="shared" si="7"/>
        <v>7.666666666666667</v>
      </c>
      <c r="F18" s="75">
        <f t="shared" si="7"/>
        <v>7</v>
      </c>
      <c r="G18" s="75" t="str">
        <f>IF(C18=C13,"aceptado2",IF(C18=C14,"aceptado3", IF(C18=C15,"aceptado4","falla")))</f>
        <v>aceptado2</v>
      </c>
      <c r="H18" s="75">
        <f>IF($C$13 =0,IF($C$14 = 0,IF($C$15=0,"falla",H15),H14),H13)</f>
        <v>-0.33333333333333331</v>
      </c>
      <c r="I18" s="75">
        <f t="shared" ref="I18:K20" si="8">I13</f>
        <v>1</v>
      </c>
      <c r="J18" s="75">
        <f t="shared" si="8"/>
        <v>0</v>
      </c>
      <c r="K18" s="75">
        <f t="shared" si="8"/>
        <v>0</v>
      </c>
    </row>
    <row r="19" spans="1:11" ht="15.6">
      <c r="A19" s="13"/>
      <c r="B19" s="75">
        <f>IF($G$18="aceptado3",B13,B14)</f>
        <v>0</v>
      </c>
      <c r="C19" s="75">
        <f>IF($G$18="aceptado3",C13,C14)</f>
        <v>-0.33333333333333326</v>
      </c>
      <c r="D19" s="75">
        <f>IF($G$18="aceptado3",D13,D14)</f>
        <v>-5.666666666666667</v>
      </c>
      <c r="E19" s="100">
        <f>IF($G$18="aceptado3",E13,E14)</f>
        <v>3.6666666666666665</v>
      </c>
      <c r="F19" s="75">
        <f>IF($G$18="aceptado3",F13,F14)</f>
        <v>-14</v>
      </c>
      <c r="G19" s="13"/>
      <c r="H19" s="75">
        <f>IF($G$18="aceptado3",H13,H14)</f>
        <v>0.66666666666666663</v>
      </c>
      <c r="I19" s="75">
        <f>IF($G$18="aceptado3",I13,I14)</f>
        <v>0</v>
      </c>
      <c r="J19" s="75">
        <f t="shared" si="8"/>
        <v>1</v>
      </c>
      <c r="K19" s="75">
        <f t="shared" si="8"/>
        <v>0</v>
      </c>
    </row>
    <row r="20" spans="1:11" ht="15.6">
      <c r="A20" s="13"/>
      <c r="B20" s="75">
        <f>IF($G$18="aceptado4",B13,B15)</f>
        <v>0</v>
      </c>
      <c r="C20" s="75">
        <f t="shared" ref="C20:J20" si="9">IF($G$18="aceptado4",C13,C15)</f>
        <v>0.33333333333333337</v>
      </c>
      <c r="D20" s="75">
        <f t="shared" si="9"/>
        <v>-1.3333333333333333</v>
      </c>
      <c r="E20" s="100">
        <f t="shared" si="9"/>
        <v>2.3333333333333335</v>
      </c>
      <c r="F20" s="75">
        <f t="shared" si="9"/>
        <v>-4</v>
      </c>
      <c r="G20" s="13"/>
      <c r="H20" s="75">
        <f t="shared" si="9"/>
        <v>0.33333333333333331</v>
      </c>
      <c r="I20" s="75">
        <f t="shared" si="9"/>
        <v>0</v>
      </c>
      <c r="J20" s="75">
        <f t="shared" si="9"/>
        <v>0</v>
      </c>
      <c r="K20" s="75">
        <f t="shared" si="8"/>
        <v>1</v>
      </c>
    </row>
    <row r="21" spans="1:11" ht="15.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6">
      <c r="A22" s="6" t="s">
        <v>7</v>
      </c>
      <c r="B22" s="75">
        <f>B17</f>
        <v>3</v>
      </c>
      <c r="C22" s="75">
        <f t="shared" ref="C22:F25" si="10">C17</f>
        <v>2</v>
      </c>
      <c r="D22" s="75">
        <f t="shared" si="10"/>
        <v>1</v>
      </c>
      <c r="E22" s="100">
        <f t="shared" si="10"/>
        <v>-1</v>
      </c>
      <c r="F22" s="75">
        <f>F17</f>
        <v>1</v>
      </c>
      <c r="G22" s="13"/>
      <c r="H22" s="31">
        <f>H17</f>
        <v>1</v>
      </c>
      <c r="I22" s="31">
        <f t="shared" ref="I22:K22" si="11">I17</f>
        <v>0</v>
      </c>
      <c r="J22" s="31">
        <f t="shared" si="11"/>
        <v>0</v>
      </c>
      <c r="K22" s="31">
        <f t="shared" si="11"/>
        <v>0</v>
      </c>
    </row>
    <row r="23" spans="1:11" ht="15.6">
      <c r="A23" s="13"/>
      <c r="B23" s="75">
        <f>B18</f>
        <v>0</v>
      </c>
      <c r="C23" s="75">
        <f t="shared" si="10"/>
        <v>4.666666666666667</v>
      </c>
      <c r="D23" s="75">
        <f t="shared" si="10"/>
        <v>-0.66666666666666674</v>
      </c>
      <c r="E23" s="100">
        <f t="shared" si="10"/>
        <v>7.666666666666667</v>
      </c>
      <c r="F23" s="75">
        <f t="shared" si="10"/>
        <v>7</v>
      </c>
      <c r="G23" s="13"/>
      <c r="H23" s="31">
        <f t="shared" ref="H23:K25" si="12">H18</f>
        <v>-0.33333333333333331</v>
      </c>
      <c r="I23" s="31">
        <f t="shared" si="12"/>
        <v>1</v>
      </c>
      <c r="J23" s="31">
        <f t="shared" si="12"/>
        <v>0</v>
      </c>
      <c r="K23" s="31">
        <f t="shared" si="12"/>
        <v>0</v>
      </c>
    </row>
    <row r="24" spans="1:11" ht="15.6">
      <c r="A24" s="13"/>
      <c r="B24" s="75">
        <f>B19-($C$19/$C$18)*B18</f>
        <v>0</v>
      </c>
      <c r="C24" s="75">
        <f>C19-($C$19/$C$18)*C18</f>
        <v>0</v>
      </c>
      <c r="D24" s="75">
        <f t="shared" ref="D24" si="13">D19-($C$19/$C$18)*D18</f>
        <v>-5.7142857142857144</v>
      </c>
      <c r="E24" s="100">
        <f>E19-($C$19/$C$18)*E18</f>
        <v>4.2142857142857135</v>
      </c>
      <c r="F24" s="75">
        <f t="shared" si="10"/>
        <v>-14</v>
      </c>
      <c r="G24" s="13"/>
      <c r="H24" s="31">
        <f t="shared" si="12"/>
        <v>0.66666666666666663</v>
      </c>
      <c r="I24" s="31">
        <f>C19/C18</f>
        <v>-7.1428571428571411E-2</v>
      </c>
      <c r="J24" s="31">
        <f t="shared" si="12"/>
        <v>1</v>
      </c>
      <c r="K24" s="31">
        <f t="shared" si="12"/>
        <v>0</v>
      </c>
    </row>
    <row r="25" spans="1:11" ht="15.6">
      <c r="A25" s="13"/>
      <c r="B25" s="75">
        <f>B20-($C$20/$C$18)*B18</f>
        <v>0</v>
      </c>
      <c r="C25" s="75">
        <f>C20-($C$20/$C$18)*C18</f>
        <v>0</v>
      </c>
      <c r="D25" s="75">
        <f t="shared" ref="D25:E25" si="14">D20-($C$20/$C$18)*D18</f>
        <v>-1.2857142857142856</v>
      </c>
      <c r="E25" s="100">
        <f t="shared" si="14"/>
        <v>1.7857142857142858</v>
      </c>
      <c r="F25" s="75">
        <f t="shared" si="10"/>
        <v>-4</v>
      </c>
      <c r="G25" s="13"/>
      <c r="H25" s="31">
        <f t="shared" si="12"/>
        <v>0.33333333333333331</v>
      </c>
      <c r="I25" s="31">
        <f>C20/C18</f>
        <v>7.1428571428571438E-2</v>
      </c>
      <c r="J25" s="31">
        <f t="shared" si="12"/>
        <v>0</v>
      </c>
      <c r="K25" s="31">
        <f t="shared" si="12"/>
        <v>1</v>
      </c>
    </row>
    <row r="26" spans="1:11" ht="15.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6">
      <c r="A27" s="5" t="s">
        <v>20</v>
      </c>
      <c r="B27" s="75">
        <f>B22</f>
        <v>3</v>
      </c>
      <c r="C27" s="75">
        <f t="shared" ref="C27:F28" si="15">C22</f>
        <v>2</v>
      </c>
      <c r="D27" s="75">
        <f t="shared" si="15"/>
        <v>1</v>
      </c>
      <c r="E27" s="100">
        <f t="shared" si="15"/>
        <v>-1</v>
      </c>
      <c r="F27" s="75">
        <f t="shared" si="15"/>
        <v>1</v>
      </c>
      <c r="G27" s="13"/>
      <c r="H27" s="34">
        <f>H22</f>
        <v>1</v>
      </c>
      <c r="I27" s="34">
        <f t="shared" ref="I27:K30" si="16">I22</f>
        <v>0</v>
      </c>
      <c r="J27" s="34">
        <f t="shared" si="16"/>
        <v>0</v>
      </c>
      <c r="K27" s="34">
        <f t="shared" si="16"/>
        <v>0</v>
      </c>
    </row>
    <row r="28" spans="1:11" ht="15.6">
      <c r="A28" s="13"/>
      <c r="B28" s="75">
        <f t="shared" ref="B28:F28" si="17">B23</f>
        <v>0</v>
      </c>
      <c r="C28" s="75">
        <f t="shared" si="17"/>
        <v>4.666666666666667</v>
      </c>
      <c r="D28" s="75">
        <f t="shared" si="17"/>
        <v>-0.66666666666666674</v>
      </c>
      <c r="E28" s="100">
        <f t="shared" si="15"/>
        <v>7.666666666666667</v>
      </c>
      <c r="F28" s="75">
        <f t="shared" si="17"/>
        <v>7</v>
      </c>
      <c r="G28" s="13"/>
      <c r="H28" s="34">
        <f>H23</f>
        <v>-0.33333333333333331</v>
      </c>
      <c r="I28" s="34">
        <f t="shared" si="16"/>
        <v>1</v>
      </c>
      <c r="J28" s="34">
        <f t="shared" si="16"/>
        <v>0</v>
      </c>
      <c r="K28" s="34">
        <f t="shared" si="16"/>
        <v>0</v>
      </c>
    </row>
    <row r="29" spans="1:11" ht="15.6">
      <c r="A29" s="13"/>
      <c r="B29" s="75">
        <f t="shared" ref="B29:C29" si="18">IF($D$24 = 0,IF($D$25=0,"falla",B25),B24)</f>
        <v>0</v>
      </c>
      <c r="C29" s="75">
        <f t="shared" si="18"/>
        <v>0</v>
      </c>
      <c r="D29" s="75">
        <f>IF($D$24 = 0,IF($D$25=0,"falla",D25),D24)</f>
        <v>-5.7142857142857144</v>
      </c>
      <c r="E29" s="100">
        <f>IF($D$24 = 0,IF($D$25=0,"falla",E25),E24)</f>
        <v>4.2142857142857135</v>
      </c>
      <c r="F29" s="75">
        <f>IF($D$24 = 0,IF($D$25=0,"falla",F25),F24)</f>
        <v>-14</v>
      </c>
      <c r="G29" s="75" t="str">
        <f>IF(D29=D24,"aceptado3",IF(D29=D25,"aceptado4","falla"))</f>
        <v>aceptado3</v>
      </c>
      <c r="H29" s="34">
        <f>IF($D$24 = 0,IF($D$25=0,"falla",H25),H24)</f>
        <v>0.66666666666666663</v>
      </c>
      <c r="I29" s="34">
        <f>IF($D$24 = 0,IF($D$25=0,"falla",I25),I24)</f>
        <v>-7.1428571428571411E-2</v>
      </c>
      <c r="J29" s="34">
        <f t="shared" si="16"/>
        <v>1</v>
      </c>
      <c r="K29" s="34">
        <f t="shared" si="16"/>
        <v>0</v>
      </c>
    </row>
    <row r="30" spans="1:11" ht="15.6">
      <c r="A30" s="13"/>
      <c r="B30" s="75">
        <f>IF($G$29="aceptado4",B24,B25)</f>
        <v>0</v>
      </c>
      <c r="C30" s="75">
        <f t="shared" ref="C30:I30" si="19">IF($G$29="aceptado4",C24,C25)</f>
        <v>0</v>
      </c>
      <c r="D30" s="75">
        <f t="shared" si="19"/>
        <v>-1.2857142857142856</v>
      </c>
      <c r="E30" s="100">
        <f t="shared" si="19"/>
        <v>1.7857142857142858</v>
      </c>
      <c r="F30" s="75">
        <f t="shared" si="19"/>
        <v>-4</v>
      </c>
      <c r="G30" s="13"/>
      <c r="H30" s="34">
        <f t="shared" si="19"/>
        <v>0.33333333333333331</v>
      </c>
      <c r="I30" s="34">
        <f t="shared" si="19"/>
        <v>7.1428571428571438E-2</v>
      </c>
      <c r="J30" s="34">
        <f t="shared" si="16"/>
        <v>0</v>
      </c>
      <c r="K30" s="34">
        <f t="shared" si="16"/>
        <v>1</v>
      </c>
    </row>
    <row r="31" spans="1:11" ht="15.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6">
      <c r="A32" s="6" t="s">
        <v>7</v>
      </c>
      <c r="B32" s="75">
        <f>B27</f>
        <v>3</v>
      </c>
      <c r="C32" s="75">
        <f t="shared" ref="C32:F35" si="20">C27</f>
        <v>2</v>
      </c>
      <c r="D32" s="75">
        <f t="shared" si="20"/>
        <v>1</v>
      </c>
      <c r="E32" s="100">
        <f t="shared" si="20"/>
        <v>-1</v>
      </c>
      <c r="F32" s="75">
        <f>F27</f>
        <v>1</v>
      </c>
      <c r="G32" s="13"/>
      <c r="H32" s="37">
        <f>H27</f>
        <v>1</v>
      </c>
      <c r="I32" s="37">
        <f t="shared" ref="I32:K32" si="21">I27</f>
        <v>0</v>
      </c>
      <c r="J32" s="37">
        <f t="shared" si="21"/>
        <v>0</v>
      </c>
      <c r="K32" s="37">
        <f t="shared" si="21"/>
        <v>0</v>
      </c>
    </row>
    <row r="33" spans="1:11" ht="15.6">
      <c r="A33" s="13"/>
      <c r="B33" s="75">
        <f>B28</f>
        <v>0</v>
      </c>
      <c r="C33" s="75">
        <f t="shared" si="20"/>
        <v>4.666666666666667</v>
      </c>
      <c r="D33" s="75">
        <f t="shared" si="20"/>
        <v>-0.66666666666666674</v>
      </c>
      <c r="E33" s="100">
        <f t="shared" si="20"/>
        <v>7.666666666666667</v>
      </c>
      <c r="F33" s="75">
        <f t="shared" si="20"/>
        <v>7</v>
      </c>
      <c r="G33" s="13"/>
      <c r="H33" s="37">
        <f t="shared" ref="H33:K35" si="22">H28</f>
        <v>-0.33333333333333331</v>
      </c>
      <c r="I33" s="37">
        <f t="shared" si="22"/>
        <v>1</v>
      </c>
      <c r="J33" s="37">
        <f t="shared" si="22"/>
        <v>0</v>
      </c>
      <c r="K33" s="37">
        <f t="shared" si="22"/>
        <v>0</v>
      </c>
    </row>
    <row r="34" spans="1:11" ht="15.6">
      <c r="A34" s="13"/>
      <c r="B34" s="75">
        <f>B29</f>
        <v>0</v>
      </c>
      <c r="C34" s="75">
        <f t="shared" si="20"/>
        <v>0</v>
      </c>
      <c r="D34" s="75">
        <f t="shared" si="20"/>
        <v>-5.7142857142857144</v>
      </c>
      <c r="E34" s="100">
        <f t="shared" si="20"/>
        <v>4.2142857142857135</v>
      </c>
      <c r="F34" s="75">
        <f t="shared" si="20"/>
        <v>-14</v>
      </c>
      <c r="G34" s="13"/>
      <c r="H34" s="37">
        <f t="shared" si="22"/>
        <v>0.66666666666666663</v>
      </c>
      <c r="I34" s="37">
        <f t="shared" si="22"/>
        <v>-7.1428571428571411E-2</v>
      </c>
      <c r="J34" s="37">
        <f t="shared" si="22"/>
        <v>1</v>
      </c>
      <c r="K34" s="37">
        <f t="shared" si="22"/>
        <v>0</v>
      </c>
    </row>
    <row r="35" spans="1:11" ht="15.6">
      <c r="A35" s="13"/>
      <c r="B35" s="75">
        <f t="shared" ref="B35:C35" si="23">B30-($D$30/$D$29)*B29</f>
        <v>0</v>
      </c>
      <c r="C35" s="75">
        <f t="shared" si="23"/>
        <v>0</v>
      </c>
      <c r="D35" s="75">
        <f>D30-($D$30/$D$29)*D29</f>
        <v>0</v>
      </c>
      <c r="E35" s="100">
        <f>E30-($D$30/$D$29)*E29</f>
        <v>0.83750000000000036</v>
      </c>
      <c r="F35" s="75">
        <f t="shared" si="20"/>
        <v>-4</v>
      </c>
      <c r="G35" s="13"/>
      <c r="H35" s="37">
        <f t="shared" si="22"/>
        <v>0.33333333333333331</v>
      </c>
      <c r="I35" s="37">
        <f t="shared" si="22"/>
        <v>7.1428571428571438E-2</v>
      </c>
      <c r="J35" s="37">
        <f>D30/D29</f>
        <v>0.22499999999999998</v>
      </c>
      <c r="K35" s="37">
        <f t="shared" si="22"/>
        <v>1</v>
      </c>
    </row>
    <row r="36" spans="1:11" ht="15.6">
      <c r="A36" s="13"/>
      <c r="B36" s="135" t="s">
        <v>8</v>
      </c>
      <c r="C36" s="135"/>
      <c r="D36" s="135"/>
      <c r="E36" s="135"/>
      <c r="F36" s="18" t="s">
        <v>2</v>
      </c>
      <c r="G36" s="99"/>
      <c r="H36" s="134" t="s">
        <v>19</v>
      </c>
      <c r="I36" s="134"/>
      <c r="J36" s="134"/>
      <c r="K36" s="134"/>
    </row>
    <row r="37" spans="1:11" ht="15.6">
      <c r="A37" s="5" t="s">
        <v>23</v>
      </c>
      <c r="B37" s="107">
        <f t="shared" ref="B37:F39" si="24">B32</f>
        <v>3</v>
      </c>
      <c r="C37" s="107">
        <f t="shared" si="24"/>
        <v>2</v>
      </c>
      <c r="D37" s="107">
        <f t="shared" si="24"/>
        <v>1</v>
      </c>
      <c r="E37" s="107">
        <f t="shared" si="24"/>
        <v>-1</v>
      </c>
      <c r="F37" s="31">
        <f t="shared" si="24"/>
        <v>1</v>
      </c>
      <c r="G37" s="13"/>
      <c r="H37" s="101">
        <f>H32</f>
        <v>1</v>
      </c>
      <c r="I37" s="101">
        <f t="shared" ref="I37:K37" si="25">I32</f>
        <v>0</v>
      </c>
      <c r="J37" s="101">
        <f t="shared" si="25"/>
        <v>0</v>
      </c>
      <c r="K37" s="101">
        <f t="shared" si="25"/>
        <v>0</v>
      </c>
    </row>
    <row r="38" spans="1:11" ht="15.6">
      <c r="A38" s="13"/>
      <c r="B38" s="107">
        <f t="shared" si="24"/>
        <v>0</v>
      </c>
      <c r="C38" s="107">
        <f t="shared" si="24"/>
        <v>4.666666666666667</v>
      </c>
      <c r="D38" s="107">
        <f t="shared" si="24"/>
        <v>-0.66666666666666674</v>
      </c>
      <c r="E38" s="107">
        <f t="shared" si="24"/>
        <v>7.666666666666667</v>
      </c>
      <c r="F38" s="31">
        <f t="shared" si="24"/>
        <v>7</v>
      </c>
      <c r="G38" s="13"/>
      <c r="H38" s="101">
        <f t="shared" ref="H38:K40" si="26">H33</f>
        <v>-0.33333333333333331</v>
      </c>
      <c r="I38" s="101">
        <f t="shared" si="26"/>
        <v>1</v>
      </c>
      <c r="J38" s="101">
        <f t="shared" si="26"/>
        <v>0</v>
      </c>
      <c r="K38" s="101">
        <f t="shared" si="26"/>
        <v>0</v>
      </c>
    </row>
    <row r="39" spans="1:11" ht="15.6">
      <c r="A39" s="13"/>
      <c r="B39" s="107">
        <f t="shared" si="24"/>
        <v>0</v>
      </c>
      <c r="C39" s="107">
        <f t="shared" si="24"/>
        <v>0</v>
      </c>
      <c r="D39" s="108">
        <f t="shared" si="24"/>
        <v>-5.7142857142857144</v>
      </c>
      <c r="E39" s="107">
        <f t="shared" si="24"/>
        <v>4.2142857142857135</v>
      </c>
      <c r="F39" s="31">
        <f t="shared" si="24"/>
        <v>-14</v>
      </c>
      <c r="G39" s="13"/>
      <c r="H39" s="101">
        <f t="shared" si="26"/>
        <v>0.66666666666666663</v>
      </c>
      <c r="I39" s="101">
        <f t="shared" si="26"/>
        <v>-7.1428571428571411E-2</v>
      </c>
      <c r="J39" s="101">
        <f t="shared" si="26"/>
        <v>1</v>
      </c>
      <c r="K39" s="101">
        <f t="shared" si="26"/>
        <v>0</v>
      </c>
    </row>
    <row r="40" spans="1:11" ht="15.6">
      <c r="A40" s="13"/>
      <c r="B40" s="107">
        <f t="shared" ref="B40:D40" si="27">IF($E$35 =0,"Falla",B35)</f>
        <v>0</v>
      </c>
      <c r="C40" s="107">
        <f t="shared" si="27"/>
        <v>0</v>
      </c>
      <c r="D40" s="107">
        <f t="shared" si="27"/>
        <v>0</v>
      </c>
      <c r="E40" s="107">
        <f>IF($E$35 =0,"Falla",E35)</f>
        <v>0.83750000000000036</v>
      </c>
      <c r="F40" s="31">
        <f>IF($E$35 =0,"Falla",F35)</f>
        <v>-4</v>
      </c>
      <c r="G40" s="13"/>
      <c r="H40" s="101">
        <f t="shared" ref="H40:J40" si="28">IF($E$35 =0,"Falla",H35)</f>
        <v>0.33333333333333331</v>
      </c>
      <c r="I40" s="101">
        <f t="shared" si="28"/>
        <v>7.1428571428571438E-2</v>
      </c>
      <c r="J40" s="101">
        <f t="shared" si="28"/>
        <v>0.22499999999999998</v>
      </c>
      <c r="K40" s="101">
        <f t="shared" si="26"/>
        <v>1</v>
      </c>
    </row>
    <row r="41" spans="1:11" ht="15.6">
      <c r="A41" s="13"/>
      <c r="B41" s="75"/>
      <c r="C41" s="75"/>
      <c r="D41" s="75"/>
      <c r="E41" s="75"/>
      <c r="F41" s="18" t="s">
        <v>10</v>
      </c>
      <c r="G41" s="98"/>
      <c r="H41" s="18" t="s">
        <v>11</v>
      </c>
      <c r="I41" s="13"/>
      <c r="J41" s="13"/>
      <c r="K41" s="13"/>
    </row>
    <row r="42" spans="1:11" ht="15.6">
      <c r="A42" s="13"/>
      <c r="B42" s="13"/>
      <c r="C42" s="13"/>
      <c r="D42" s="13"/>
      <c r="E42" s="13"/>
      <c r="F42" s="102">
        <f>(H42-E37*F45-D37*F44-C37*F43)/B37</f>
        <v>-3.9999999999999996</v>
      </c>
      <c r="G42" s="13"/>
      <c r="H42" s="103">
        <f>F37</f>
        <v>1</v>
      </c>
      <c r="I42" s="13"/>
      <c r="J42" s="13"/>
      <c r="K42" s="13"/>
    </row>
    <row r="43" spans="1:11" ht="15.6">
      <c r="A43" s="13"/>
      <c r="B43" s="13"/>
      <c r="C43" s="13"/>
      <c r="D43" s="13"/>
      <c r="E43" s="13"/>
      <c r="F43" s="102">
        <f>(H43-E38*F45-D38*F44)/C38</f>
        <v>4.9999999999999991</v>
      </c>
      <c r="G43" s="13"/>
      <c r="H43" s="103">
        <f>F38-(H38*F37)</f>
        <v>7.333333333333333</v>
      </c>
      <c r="I43" s="13"/>
      <c r="J43" s="13"/>
      <c r="K43" s="13"/>
    </row>
    <row r="44" spans="1:11" ht="15.6">
      <c r="A44" s="13"/>
      <c r="B44" s="13"/>
      <c r="C44" s="13"/>
      <c r="D44" s="13"/>
      <c r="E44" s="13"/>
      <c r="F44" s="102">
        <f>(H44-E39*F45)/D39</f>
        <v>1.0000000000000004</v>
      </c>
      <c r="G44" s="13"/>
      <c r="H44" s="103">
        <f>F39-(H39*F37)-(I39*H43)</f>
        <v>-14.142857142857142</v>
      </c>
      <c r="I44" s="13"/>
      <c r="J44" s="13"/>
      <c r="K44" s="13"/>
    </row>
    <row r="45" spans="1:11" ht="15.6">
      <c r="A45" s="13"/>
      <c r="B45" s="13"/>
      <c r="C45" s="13"/>
      <c r="D45" s="13"/>
      <c r="E45" s="13"/>
      <c r="F45" s="102">
        <f>H45/E40</f>
        <v>-1.9999999999999996</v>
      </c>
      <c r="G45" s="13"/>
      <c r="H45" s="103">
        <f>F40-(H40*F37)-(I40*H43)-(J40*H44)</f>
        <v>-1.6750000000000003</v>
      </c>
      <c r="I45" s="13"/>
      <c r="J45" s="13"/>
      <c r="K45" s="13"/>
    </row>
  </sheetData>
  <mergeCells count="4">
    <mergeCell ref="B1:E1"/>
    <mergeCell ref="H6:K6"/>
    <mergeCell ref="B36:E36"/>
    <mergeCell ref="H36:K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27F4-2C66-4820-8167-884E495A5010}">
  <dimension ref="A1:G15"/>
  <sheetViews>
    <sheetView workbookViewId="0">
      <selection activeCell="H15" sqref="H15"/>
    </sheetView>
  </sheetViews>
  <sheetFormatPr defaultColWidth="11.42578125" defaultRowHeight="14.45"/>
  <cols>
    <col min="1" max="1" width="18" bestFit="1" customWidth="1"/>
    <col min="6" max="6" width="15.140625" bestFit="1" customWidth="1"/>
  </cols>
  <sheetData>
    <row r="1" spans="1:7" ht="16.149999999999999" thickBot="1">
      <c r="A1" s="1" t="s">
        <v>0</v>
      </c>
      <c r="B1" s="2"/>
      <c r="C1" s="2" t="s">
        <v>1</v>
      </c>
      <c r="D1" s="2" t="s">
        <v>2</v>
      </c>
      <c r="E1" s="7" t="s">
        <v>3</v>
      </c>
      <c r="F1" s="44" t="s">
        <v>4</v>
      </c>
    </row>
    <row r="2" spans="1:7" ht="16.149999999999999" thickBot="1">
      <c r="A2" s="2"/>
      <c r="B2" s="3">
        <v>2</v>
      </c>
      <c r="C2" s="3">
        <v>3</v>
      </c>
      <c r="D2" s="8">
        <v>18</v>
      </c>
      <c r="E2" s="2"/>
      <c r="F2" s="29" cm="1">
        <f t="array" ref="F2:F3">MMULT(B2:C3,D14:D15)</f>
        <v>18</v>
      </c>
    </row>
    <row r="3" spans="1:7" ht="16.149999999999999" thickBot="1">
      <c r="A3" s="2"/>
      <c r="B3" s="3">
        <v>1</v>
      </c>
      <c r="C3" s="3">
        <v>-1</v>
      </c>
      <c r="D3" s="8">
        <v>3</v>
      </c>
      <c r="E3" s="2"/>
      <c r="F3" s="43">
        <v>3.0000000000000004</v>
      </c>
    </row>
    <row r="4" spans="1:7" ht="15.6">
      <c r="A4" s="2"/>
      <c r="B4" s="2"/>
      <c r="C4" s="2"/>
      <c r="D4" s="19"/>
      <c r="E4" s="2"/>
      <c r="F4" s="25"/>
    </row>
    <row r="5" spans="1:7" ht="15.6">
      <c r="A5" s="64" t="s">
        <v>5</v>
      </c>
      <c r="B5" s="10" cm="1">
        <f t="array" ref="B5">IF($B$2=0,IF($B$3=0,falla, B3),B2)</f>
        <v>2</v>
      </c>
      <c r="C5" s="10">
        <f>IF($B$2=0,IF($B$3=0,IF(#REF!=0,"Falla",#REF!),C3),C2)</f>
        <v>3</v>
      </c>
      <c r="D5" s="10">
        <f>IF($B$2=0,IF($B$3=0,IF(#REF!=0,"Falla",#REF!),D3),D2)</f>
        <v>18</v>
      </c>
      <c r="E5" s="2" t="str">
        <f>IF(B5=B2,"aceptado 1",IF(B5=B3,"aceptado 2","falla"))</f>
        <v>aceptado 1</v>
      </c>
      <c r="F5" s="2"/>
      <c r="G5" s="13"/>
    </row>
    <row r="6" spans="1:7" ht="15.6">
      <c r="A6" s="2"/>
      <c r="B6" s="10">
        <f>IF($E$5="aceptado 2",B2,B3)</f>
        <v>1</v>
      </c>
      <c r="C6" s="10">
        <f>IF($E$5="aceptado 2",C2,C3)</f>
        <v>-1</v>
      </c>
      <c r="D6" s="10">
        <f>IF($E$5="aceptado 2",D2,D3)</f>
        <v>3</v>
      </c>
      <c r="E6" s="2"/>
      <c r="F6" s="2"/>
      <c r="G6" s="13"/>
    </row>
    <row r="7" spans="1:7" ht="15">
      <c r="A7" s="2"/>
      <c r="B7" s="10"/>
      <c r="C7" s="10"/>
      <c r="D7" s="10"/>
      <c r="E7" s="2"/>
      <c r="F7" s="2"/>
      <c r="G7" s="12" t="s">
        <v>6</v>
      </c>
    </row>
    <row r="8" spans="1:7" ht="15.6">
      <c r="A8" s="65" t="s">
        <v>7</v>
      </c>
      <c r="B8" s="10">
        <f>B5</f>
        <v>2</v>
      </c>
      <c r="C8" s="10">
        <f>C5</f>
        <v>3</v>
      </c>
      <c r="D8" s="10">
        <f>D5</f>
        <v>18</v>
      </c>
      <c r="E8" s="2"/>
      <c r="F8" s="30">
        <v>1</v>
      </c>
      <c r="G8" s="31">
        <v>0</v>
      </c>
    </row>
    <row r="9" spans="1:7" ht="15.6">
      <c r="A9" s="2"/>
      <c r="B9" s="16">
        <f>B6-($B$6/$B$5)*B5</f>
        <v>0</v>
      </c>
      <c r="C9" s="47">
        <f>C6-($B$6/$B$5)*C5</f>
        <v>-2.5</v>
      </c>
      <c r="D9" s="10">
        <f>D6</f>
        <v>3</v>
      </c>
      <c r="E9" s="2"/>
      <c r="F9" s="50">
        <f>B6/B5</f>
        <v>0.5</v>
      </c>
      <c r="G9" s="31">
        <v>1</v>
      </c>
    </row>
    <row r="10" spans="1:7" ht="15.6">
      <c r="A10" s="2"/>
      <c r="B10" s="16" t="s">
        <v>8</v>
      </c>
      <c r="C10" s="10"/>
      <c r="D10" s="16" t="s">
        <v>2</v>
      </c>
      <c r="E10" s="2"/>
      <c r="F10" s="19"/>
      <c r="G10" s="13"/>
    </row>
    <row r="11" spans="1:7" ht="15.6">
      <c r="A11" s="64" t="s">
        <v>9</v>
      </c>
      <c r="B11" s="69">
        <f>B8</f>
        <v>2</v>
      </c>
      <c r="C11" s="69">
        <f>C8</f>
        <v>3</v>
      </c>
      <c r="D11" s="71">
        <f>D8</f>
        <v>18</v>
      </c>
      <c r="E11" s="2" t="str">
        <f>IF(C12=C9,"aceptado 2")</f>
        <v>aceptado 2</v>
      </c>
      <c r="F11" s="33">
        <f>F8</f>
        <v>1</v>
      </c>
      <c r="G11" s="34">
        <f>G8</f>
        <v>0</v>
      </c>
    </row>
    <row r="12" spans="1:7" ht="15.6">
      <c r="A12" s="2"/>
      <c r="B12" s="68">
        <f>IF($C$9=0,"falla",B9)</f>
        <v>0</v>
      </c>
      <c r="C12" s="68">
        <f>IF($C$9=0,"falla",C9)</f>
        <v>-2.5</v>
      </c>
      <c r="D12" s="71">
        <f>D9</f>
        <v>3</v>
      </c>
      <c r="E12" s="2"/>
      <c r="F12" s="54">
        <f>IF($C$9=0,"falla",F9)</f>
        <v>0.5</v>
      </c>
      <c r="G12" s="34">
        <f>G9</f>
        <v>1</v>
      </c>
    </row>
    <row r="13" spans="1:7" ht="15.6">
      <c r="A13" s="15"/>
      <c r="B13" s="10"/>
      <c r="C13" s="10"/>
      <c r="D13" s="21" t="s">
        <v>10</v>
      </c>
      <c r="E13" s="2"/>
      <c r="F13" s="19" t="s">
        <v>11</v>
      </c>
    </row>
    <row r="14" spans="1:7" ht="15.6">
      <c r="A14" s="2"/>
      <c r="B14" s="10"/>
      <c r="C14" s="10"/>
      <c r="D14" s="74">
        <f>(F14-C11*D15)/B11</f>
        <v>5.4</v>
      </c>
      <c r="E14" s="2"/>
      <c r="F14" s="62">
        <f>D11</f>
        <v>18</v>
      </c>
    </row>
    <row r="15" spans="1:7" ht="15.6">
      <c r="A15" s="2"/>
      <c r="B15" s="10"/>
      <c r="C15" s="10"/>
      <c r="D15" s="74">
        <f>F15/C12</f>
        <v>2.4</v>
      </c>
      <c r="E15" s="2"/>
      <c r="F15" s="62">
        <f>D12-F12*F14</f>
        <v>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F9A2-BBDA-4E28-B9C5-882531A88F74}">
  <dimension ref="A1:O32"/>
  <sheetViews>
    <sheetView zoomScaleNormal="100" workbookViewId="0">
      <selection activeCell="K25" sqref="K25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10" ht="16.149999999999999" thickBot="1">
      <c r="A1" s="1" t="s">
        <v>24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80"/>
      <c r="I1" s="80"/>
      <c r="J1" t="s">
        <v>13</v>
      </c>
    </row>
    <row r="2" spans="1:10" ht="16.149999999999999" thickBot="1">
      <c r="A2" s="2"/>
      <c r="B2" s="3">
        <v>2</v>
      </c>
      <c r="C2" s="3">
        <v>-1</v>
      </c>
      <c r="D2" s="4">
        <v>5</v>
      </c>
      <c r="E2" s="8">
        <v>13</v>
      </c>
      <c r="F2" s="2"/>
      <c r="G2" s="29" cm="1">
        <f t="array" ref="G2:G4">MMULT(B2:D4,E26:E28)</f>
        <v>13</v>
      </c>
      <c r="H2" s="80"/>
      <c r="I2" s="80"/>
      <c r="J2" t="s">
        <v>14</v>
      </c>
    </row>
    <row r="3" spans="1:10" ht="16.149999999999999" thickBot="1">
      <c r="A3" s="2"/>
      <c r="B3" s="3">
        <v>2</v>
      </c>
      <c r="C3" s="3">
        <v>3</v>
      </c>
      <c r="D3" s="4">
        <v>4</v>
      </c>
      <c r="E3" s="8">
        <v>20</v>
      </c>
      <c r="F3" s="2"/>
      <c r="G3" s="29">
        <v>20</v>
      </c>
      <c r="H3" s="80"/>
      <c r="I3" s="80"/>
      <c r="J3" t="s">
        <v>15</v>
      </c>
    </row>
    <row r="4" spans="1:10" ht="16.149999999999999" thickBot="1">
      <c r="A4" s="2"/>
      <c r="B4" s="3">
        <v>3</v>
      </c>
      <c r="C4" s="3">
        <v>-1</v>
      </c>
      <c r="D4" s="4">
        <v>3</v>
      </c>
      <c r="E4" s="8">
        <v>10</v>
      </c>
      <c r="F4" s="2"/>
      <c r="G4" s="29">
        <v>10</v>
      </c>
      <c r="H4" s="80"/>
      <c r="I4" s="80"/>
      <c r="J4" t="s">
        <v>16</v>
      </c>
    </row>
    <row r="5" spans="1:10" ht="15.6">
      <c r="A5" s="2"/>
      <c r="B5" s="2"/>
      <c r="C5" s="2"/>
      <c r="D5" s="2"/>
      <c r="E5" s="19"/>
      <c r="F5" s="2"/>
      <c r="G5" s="25"/>
      <c r="H5" s="80"/>
      <c r="I5" s="80" t="s">
        <v>17</v>
      </c>
    </row>
    <row r="6" spans="1:10" ht="15">
      <c r="A6" s="64" t="s">
        <v>5</v>
      </c>
      <c r="B6" s="10">
        <f>IF($B$2=0,IF($B$3=0,IF($B$4=0,"Falla",B4),B3),B2)</f>
        <v>2</v>
      </c>
      <c r="C6" s="10">
        <f>IF($B$2=0,IF($B$3=0,IF($B$4=0,"Falla",C4),C3),C2)</f>
        <v>-1</v>
      </c>
      <c r="D6" s="10">
        <f>IF($B$2=0,IF($B$3=0,IF($B$4=0,"Falla",D4),D3),D2)</f>
        <v>5</v>
      </c>
      <c r="E6" s="10">
        <f>IF($B$2=0,IF($B$3=0,IF($B$4=0,"Falla",E4),E3),E2)</f>
        <v>13</v>
      </c>
      <c r="F6" s="2" t="str">
        <f>IF(B6=B2,"aceptado 1",IF(B6=B3,"aceptado 2",IF(B6=B4,"aceptado 3","falla")))</f>
        <v>aceptado 1</v>
      </c>
      <c r="G6" s="2" cm="1">
        <f t="array" ref="G6:I8">MMULT(G22:I24,B22:D24)</f>
        <v>2</v>
      </c>
      <c r="H6" s="2">
        <v>-1</v>
      </c>
      <c r="I6" s="2">
        <v>5</v>
      </c>
    </row>
    <row r="7" spans="1:10" ht="15">
      <c r="A7" s="2"/>
      <c r="B7" s="10">
        <f>IF($F$6="aceptado 2",B2,B3)</f>
        <v>2</v>
      </c>
      <c r="C7" s="10">
        <f>IF($F$6="aceptado 2",C2,C3)</f>
        <v>3</v>
      </c>
      <c r="D7" s="10">
        <f>IF($F$6="aceptado 2",D2,D3)</f>
        <v>4</v>
      </c>
      <c r="E7" s="10">
        <f>IF($F$6="aceptado 2",E2,E3)</f>
        <v>20</v>
      </c>
      <c r="F7" s="2"/>
      <c r="G7" s="2">
        <v>2</v>
      </c>
      <c r="H7" s="2">
        <v>3</v>
      </c>
      <c r="I7" s="2">
        <v>4</v>
      </c>
    </row>
    <row r="8" spans="1:10" ht="15">
      <c r="A8" s="2"/>
      <c r="B8" s="10">
        <f>IF($F$6="aceptado 3",B2,B4)</f>
        <v>3</v>
      </c>
      <c r="C8" s="10">
        <f>IF($F$6="aceptado 3",C2,C4)</f>
        <v>-1</v>
      </c>
      <c r="D8" s="10">
        <f>IF($F$6="aceptado 3",D2,D4)</f>
        <v>3</v>
      </c>
      <c r="E8" s="10">
        <f>IF($F$6="aceptado 3",E2,E4)</f>
        <v>10</v>
      </c>
      <c r="F8" s="2"/>
      <c r="G8" s="2">
        <v>3</v>
      </c>
      <c r="H8" s="2">
        <v>-1</v>
      </c>
      <c r="I8" s="2">
        <v>3</v>
      </c>
    </row>
    <row r="9" spans="1:10" ht="15">
      <c r="A9" s="2"/>
      <c r="B9" s="10"/>
      <c r="C9" s="10"/>
      <c r="D9" s="10"/>
      <c r="E9" s="10"/>
      <c r="F9" s="2"/>
      <c r="G9" s="2"/>
      <c r="H9" s="80" t="s">
        <v>6</v>
      </c>
      <c r="I9" s="80"/>
    </row>
    <row r="10" spans="1:10" ht="15.6">
      <c r="A10" s="65" t="s">
        <v>7</v>
      </c>
      <c r="B10" s="10">
        <f>B6</f>
        <v>2</v>
      </c>
      <c r="C10" s="10">
        <f>C6</f>
        <v>-1</v>
      </c>
      <c r="D10" s="10">
        <f>D6</f>
        <v>5</v>
      </c>
      <c r="E10" s="10">
        <f>E6</f>
        <v>13</v>
      </c>
      <c r="F10" s="2"/>
      <c r="G10" s="30">
        <v>1</v>
      </c>
      <c r="H10" s="64">
        <v>0</v>
      </c>
      <c r="I10" s="64">
        <v>0</v>
      </c>
    </row>
    <row r="11" spans="1:10" ht="15.6">
      <c r="A11" s="2"/>
      <c r="B11" s="16">
        <f>B7-($B$7/$B$6)*B6</f>
        <v>0</v>
      </c>
      <c r="C11" s="10">
        <f>C7-($B$7/$B$6)*C6</f>
        <v>4</v>
      </c>
      <c r="D11" s="10">
        <f>D7-($B$7/$B$6)*D6</f>
        <v>-1</v>
      </c>
      <c r="E11" s="10">
        <f t="shared" ref="E11:E12" si="0">E7</f>
        <v>20</v>
      </c>
      <c r="F11" s="2"/>
      <c r="G11" s="51">
        <f>B7/B6</f>
        <v>1</v>
      </c>
      <c r="H11" s="64">
        <v>1</v>
      </c>
      <c r="I11" s="64">
        <v>0</v>
      </c>
    </row>
    <row r="12" spans="1:10" ht="15.6">
      <c r="A12" s="2"/>
      <c r="B12" s="16">
        <f>B8-($B$8/$B$6)*B6</f>
        <v>0</v>
      </c>
      <c r="C12" s="10">
        <f>C8-($B$8/$B$6)*C6</f>
        <v>0.5</v>
      </c>
      <c r="D12" s="10">
        <f>D8-($B$8/$B$6)*D6</f>
        <v>-4.5</v>
      </c>
      <c r="E12" s="10">
        <f t="shared" si="0"/>
        <v>10</v>
      </c>
      <c r="F12" s="2"/>
      <c r="G12" s="50">
        <f>B8/B6</f>
        <v>1.5</v>
      </c>
      <c r="H12" s="81">
        <f>C8/C7</f>
        <v>-0.33333333333333331</v>
      </c>
      <c r="I12" s="64">
        <v>1</v>
      </c>
    </row>
    <row r="13" spans="1:10" ht="15">
      <c r="A13" s="2"/>
      <c r="B13" s="10"/>
      <c r="C13" s="10"/>
      <c r="D13" s="10"/>
      <c r="E13" s="10"/>
      <c r="F13" s="2"/>
      <c r="G13" s="2"/>
      <c r="H13" s="2"/>
      <c r="I13" s="2"/>
    </row>
    <row r="14" spans="1:10" ht="15">
      <c r="A14" s="64" t="s">
        <v>9</v>
      </c>
      <c r="B14" s="10">
        <f>B10</f>
        <v>2</v>
      </c>
      <c r="C14" s="10">
        <f>C10</f>
        <v>-1</v>
      </c>
      <c r="D14" s="10">
        <f>D10</f>
        <v>5</v>
      </c>
      <c r="E14" s="10">
        <f>E10</f>
        <v>13</v>
      </c>
      <c r="F14" s="2" t="str">
        <f>IF(C15=C11,"aceptado 2",IF(C15=C12,"aceptado 3","falla"))</f>
        <v>aceptado 2</v>
      </c>
      <c r="G14" s="33">
        <f>G10</f>
        <v>1</v>
      </c>
      <c r="H14" s="82">
        <f>H10</f>
        <v>0</v>
      </c>
      <c r="I14" s="82">
        <f>I10</f>
        <v>0</v>
      </c>
    </row>
    <row r="15" spans="1:10" ht="15">
      <c r="A15" s="2"/>
      <c r="B15" s="10">
        <f>IF($C$11=0,IF($C$12=0,"falla",B12),B11)</f>
        <v>0</v>
      </c>
      <c r="C15" s="10">
        <f>IF($C$11=0,IF($C$12=0,"falla",C12),C11)</f>
        <v>4</v>
      </c>
      <c r="D15" s="10">
        <f>IF($C$11=0,IF($C$12=0,"falla",D12),D11)</f>
        <v>-1</v>
      </c>
      <c r="E15" s="10">
        <f>E11</f>
        <v>20</v>
      </c>
      <c r="F15" s="2"/>
      <c r="G15" s="33">
        <f>IF($C$11=0,IF($C$12=0,"falla",G12),G11)</f>
        <v>1</v>
      </c>
      <c r="H15" s="82">
        <f>H11</f>
        <v>1</v>
      </c>
      <c r="I15" s="82">
        <f>I11</f>
        <v>0</v>
      </c>
    </row>
    <row r="16" spans="1:10" ht="15">
      <c r="A16" s="2"/>
      <c r="B16" s="10">
        <f>IF($F$14="aceptado 2",B12,B11)</f>
        <v>0</v>
      </c>
      <c r="C16" s="10">
        <f>IF($F$14="aceptado 2",C12,C11)</f>
        <v>0.5</v>
      </c>
      <c r="D16" s="10">
        <f>IF($F$14="aceptado 2",D12,D11)</f>
        <v>-4.5</v>
      </c>
      <c r="E16" s="10">
        <f>E12</f>
        <v>10</v>
      </c>
      <c r="F16" s="2"/>
      <c r="G16" s="54">
        <f>IF($F$14="aceptado 2",G12,G11)</f>
        <v>1.5</v>
      </c>
      <c r="H16" s="52">
        <f>C12/C11</f>
        <v>0.125</v>
      </c>
      <c r="I16" s="82">
        <f>I12</f>
        <v>1</v>
      </c>
    </row>
    <row r="17" spans="1:15" ht="15">
      <c r="A17" s="2"/>
      <c r="B17" s="10"/>
      <c r="C17" s="10"/>
      <c r="D17" s="10"/>
      <c r="E17" s="10"/>
      <c r="F17" s="2"/>
      <c r="G17" s="2"/>
      <c r="H17" s="2"/>
      <c r="I17" s="2"/>
    </row>
    <row r="18" spans="1:15" ht="15">
      <c r="A18" s="65" t="s">
        <v>18</v>
      </c>
      <c r="B18" s="10">
        <f>B14</f>
        <v>2</v>
      </c>
      <c r="C18" s="10">
        <f>C14</f>
        <v>-1</v>
      </c>
      <c r="D18" s="10">
        <f t="shared" ref="D18" si="1">D14</f>
        <v>5</v>
      </c>
      <c r="E18" s="10">
        <f>E14</f>
        <v>13</v>
      </c>
      <c r="F18" s="2"/>
      <c r="G18" s="36">
        <f>G14</f>
        <v>1</v>
      </c>
      <c r="H18" s="65">
        <f>H14</f>
        <v>0</v>
      </c>
      <c r="I18" s="65">
        <f>I14</f>
        <v>0</v>
      </c>
    </row>
    <row r="19" spans="1:15" ht="15">
      <c r="A19" s="2"/>
      <c r="B19" s="10">
        <f>B15</f>
        <v>0</v>
      </c>
      <c r="C19" s="10">
        <f>C15</f>
        <v>4</v>
      </c>
      <c r="D19" s="10">
        <f>D15</f>
        <v>-1</v>
      </c>
      <c r="E19" s="10">
        <f>E15</f>
        <v>20</v>
      </c>
      <c r="F19" s="2"/>
      <c r="G19" s="36">
        <f>IF($C$11=0,IF($C$12=0,"falla",G16),G15)</f>
        <v>1</v>
      </c>
      <c r="H19" s="65">
        <f>H15</f>
        <v>1</v>
      </c>
      <c r="I19" s="65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10">
        <f>D16-($C$16/$C$15)*D15</f>
        <v>-4.375</v>
      </c>
      <c r="E20" s="10">
        <f>E16</f>
        <v>10</v>
      </c>
      <c r="F20" s="2"/>
      <c r="G20" s="56">
        <f>IF($F$14="aceptado 2",G16,G15)</f>
        <v>1.5</v>
      </c>
      <c r="H20" s="83">
        <f>C16/C15</f>
        <v>0.125</v>
      </c>
      <c r="I20" s="65">
        <f>I16</f>
        <v>1</v>
      </c>
      <c r="O20" s="22"/>
    </row>
    <row r="21" spans="1:15" ht="15.6">
      <c r="A21" s="2"/>
      <c r="B21" s="10"/>
      <c r="C21" s="16" t="s">
        <v>8</v>
      </c>
      <c r="D21" s="10"/>
      <c r="E21" s="16" t="s">
        <v>2</v>
      </c>
      <c r="F21" s="2"/>
      <c r="G21" s="2"/>
      <c r="H21" s="19" t="s">
        <v>19</v>
      </c>
      <c r="I21" s="2"/>
    </row>
    <row r="22" spans="1:15" ht="15">
      <c r="A22" s="64" t="s">
        <v>20</v>
      </c>
      <c r="B22" s="36">
        <f t="shared" ref="B22:E23" si="2">B18</f>
        <v>2</v>
      </c>
      <c r="C22" s="36">
        <f t="shared" si="2"/>
        <v>-1</v>
      </c>
      <c r="D22" s="36">
        <f t="shared" si="2"/>
        <v>5</v>
      </c>
      <c r="E22" s="63">
        <f t="shared" si="2"/>
        <v>13</v>
      </c>
      <c r="F22" s="2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4</v>
      </c>
      <c r="D23" s="36">
        <f t="shared" si="2"/>
        <v>-1</v>
      </c>
      <c r="E23" s="63">
        <f t="shared" si="2"/>
        <v>20</v>
      </c>
      <c r="F23" s="2"/>
      <c r="G23" s="39">
        <f t="shared" si="3"/>
        <v>1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55">
        <f>IF($D$20=0,"falla",D20)</f>
        <v>-4.375</v>
      </c>
      <c r="E24" s="63">
        <f>IF($D$20=0,"falla",E20)</f>
        <v>10</v>
      </c>
      <c r="F24" s="2"/>
      <c r="G24" s="58">
        <f>IF($D$20=0,"falla",G20)</f>
        <v>1.5</v>
      </c>
      <c r="H24" s="57">
        <f>IF($D$20=0,"falla",H20)</f>
        <v>0.125</v>
      </c>
      <c r="I24" s="39">
        <f>IF($D$20=0,"falla",I20)</f>
        <v>1</v>
      </c>
    </row>
    <row r="25" spans="1:15" ht="15.6">
      <c r="A25" s="2"/>
      <c r="B25" s="10"/>
      <c r="C25" s="10"/>
      <c r="D25" s="10"/>
      <c r="E25" s="21" t="s">
        <v>10</v>
      </c>
      <c r="F25" s="2"/>
      <c r="G25" s="19" t="s">
        <v>11</v>
      </c>
      <c r="H25" s="80"/>
      <c r="I25" s="80"/>
    </row>
    <row r="26" spans="1:15" ht="15.6">
      <c r="A26" s="15"/>
      <c r="B26" s="10"/>
      <c r="C26" s="10"/>
      <c r="D26" s="10"/>
      <c r="E26" s="23">
        <f>(G26-C22*E27-D22*E28)/B22</f>
        <v>1.7428571428571429</v>
      </c>
      <c r="F26" s="2"/>
      <c r="G26" s="62">
        <f>E22</f>
        <v>13</v>
      </c>
      <c r="H26" s="80"/>
      <c r="I26" s="80"/>
    </row>
    <row r="27" spans="1:15" ht="15.6">
      <c r="A27" s="2"/>
      <c r="B27" s="10"/>
      <c r="C27" s="10"/>
      <c r="D27" s="10"/>
      <c r="E27" s="23">
        <f>(G27-D23*E28)/C23</f>
        <v>2.342857142857143</v>
      </c>
      <c r="F27" s="2"/>
      <c r="G27" s="62">
        <f>E23-G23*G26</f>
        <v>7</v>
      </c>
      <c r="H27" s="80"/>
      <c r="I27" s="80" t="s">
        <v>21</v>
      </c>
    </row>
    <row r="28" spans="1:15" ht="15.6">
      <c r="A28" s="2"/>
      <c r="B28" s="10"/>
      <c r="C28" s="10"/>
      <c r="D28" s="10"/>
      <c r="E28" s="23">
        <f>G28/D24</f>
        <v>2.3714285714285714</v>
      </c>
      <c r="F28" s="2"/>
      <c r="G28" s="59">
        <f>E24-G24*G26-H24*G27</f>
        <v>-10.375</v>
      </c>
      <c r="H28" s="80"/>
      <c r="I28" s="80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E6C9-2102-43CF-83C3-6BA782DE64E8}">
  <dimension ref="A1:O32"/>
  <sheetViews>
    <sheetView zoomScaleNormal="100" workbookViewId="0">
      <selection activeCell="L24" sqref="L24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9" ht="16.149999999999999" thickBot="1">
      <c r="A1" s="1" t="s">
        <v>0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12"/>
      <c r="I1" s="12"/>
    </row>
    <row r="2" spans="1:9" ht="16.149999999999999" thickBot="1">
      <c r="A2" s="2"/>
      <c r="B2" s="3">
        <v>0</v>
      </c>
      <c r="C2" s="3">
        <v>1</v>
      </c>
      <c r="D2" s="4">
        <v>1</v>
      </c>
      <c r="E2" s="8">
        <v>19</v>
      </c>
      <c r="F2" s="2"/>
      <c r="G2" s="29" cm="1">
        <f t="array" ref="G2:G4">MMULT(B2:D4,E26:E28)</f>
        <v>19</v>
      </c>
      <c r="H2" s="12"/>
      <c r="I2" s="12"/>
    </row>
    <row r="3" spans="1:9" ht="16.149999999999999" thickBot="1">
      <c r="A3" s="2"/>
      <c r="B3" s="3">
        <v>2</v>
      </c>
      <c r="C3" s="3">
        <v>3</v>
      </c>
      <c r="D3" s="4">
        <v>-1</v>
      </c>
      <c r="E3" s="8">
        <v>18</v>
      </c>
      <c r="F3" s="2"/>
      <c r="G3" s="29">
        <v>18</v>
      </c>
      <c r="H3" s="12"/>
      <c r="I3" s="12"/>
    </row>
    <row r="4" spans="1:9" ht="16.149999999999999" thickBot="1">
      <c r="A4" s="2"/>
      <c r="B4" s="3">
        <v>2</v>
      </c>
      <c r="C4" s="3">
        <v>3</v>
      </c>
      <c r="D4" s="4">
        <v>4</v>
      </c>
      <c r="E4" s="8">
        <v>6</v>
      </c>
      <c r="F4" s="2"/>
      <c r="G4" s="29">
        <v>6.0000000000000018</v>
      </c>
      <c r="H4" s="12"/>
      <c r="I4" s="12"/>
    </row>
    <row r="5" spans="1:9" ht="15.6">
      <c r="A5" s="2"/>
      <c r="B5" s="2"/>
      <c r="C5" s="2"/>
      <c r="D5" s="2"/>
      <c r="E5" s="19"/>
      <c r="F5" s="2"/>
      <c r="G5" s="25"/>
      <c r="H5" s="12"/>
      <c r="I5" s="12" t="s">
        <v>17</v>
      </c>
    </row>
    <row r="6" spans="1:9" ht="15.6">
      <c r="A6" s="64" t="s">
        <v>5</v>
      </c>
      <c r="B6" s="10">
        <f>IF($B$2=0,IF($B$3=0,IF($B$4=0,"Falla",B4),B3),B2)</f>
        <v>2</v>
      </c>
      <c r="C6" s="10">
        <f>IF($B$2=0,IF($B$3=0,IF($B$4=0,"Falla",C4),C3),C2)</f>
        <v>3</v>
      </c>
      <c r="D6" s="10">
        <f>IF($B$2=0,IF($B$3=0,IF($B$4=0,"Falla",D4),D3),D2)</f>
        <v>-1</v>
      </c>
      <c r="E6" s="10">
        <f>IF($B$2=0,IF($B$3=0,IF($B$4=0,"Falla",E4),E3),E2)</f>
        <v>18</v>
      </c>
      <c r="F6" s="2" t="str">
        <f>IF(B6=B2,"aceptado 1",IF(B6=B3,"aceptado 2",IF(B6=B4,"aceptado 3","falla")))</f>
        <v>aceptado 2</v>
      </c>
      <c r="G6" s="2" cm="1">
        <f t="array" ref="G6:I8">MMULT(G22:I24,B22:D24)</f>
        <v>2</v>
      </c>
      <c r="H6" s="75">
        <v>3</v>
      </c>
      <c r="I6" s="75">
        <v>-1</v>
      </c>
    </row>
    <row r="7" spans="1:9" ht="15.6">
      <c r="A7" s="2"/>
      <c r="B7" s="10">
        <f>IF($F$6="aceptado 2",B2,B3)</f>
        <v>0</v>
      </c>
      <c r="C7" s="10">
        <f>IF($F$6="aceptado 2",C2,C3)</f>
        <v>1</v>
      </c>
      <c r="D7" s="10">
        <f>IF($F$6="aceptado 2",D2,D3)</f>
        <v>1</v>
      </c>
      <c r="E7" s="10">
        <f>IF($F$6="aceptado 2",E2,E3)</f>
        <v>19</v>
      </c>
      <c r="F7" s="2"/>
      <c r="G7" s="2">
        <v>0</v>
      </c>
      <c r="H7" s="75">
        <v>1</v>
      </c>
      <c r="I7" s="75">
        <v>1</v>
      </c>
    </row>
    <row r="8" spans="1:9" ht="15.6">
      <c r="A8" s="2"/>
      <c r="B8" s="10">
        <f>IF($F$6="aceptado 3",B2,B4)</f>
        <v>2</v>
      </c>
      <c r="C8" s="10">
        <f>IF($F$6="aceptado 3",C2,C4)</f>
        <v>3</v>
      </c>
      <c r="D8" s="10">
        <f>IF($F$6="aceptado 3",D2,D4)</f>
        <v>4</v>
      </c>
      <c r="E8" s="10">
        <f>IF($F$6="aceptado 3",E2,E4)</f>
        <v>6</v>
      </c>
      <c r="F8" s="2"/>
      <c r="G8" s="2">
        <v>2</v>
      </c>
      <c r="H8" s="75">
        <v>3</v>
      </c>
      <c r="I8" s="75">
        <v>4</v>
      </c>
    </row>
    <row r="9" spans="1:9" ht="15">
      <c r="A9" s="2"/>
      <c r="B9" s="10"/>
      <c r="C9" s="10"/>
      <c r="D9" s="10"/>
      <c r="E9" s="10"/>
      <c r="F9" s="2"/>
      <c r="G9" s="2"/>
      <c r="H9" s="12" t="s">
        <v>6</v>
      </c>
      <c r="I9" s="12"/>
    </row>
    <row r="10" spans="1:9" ht="15.6">
      <c r="A10" s="65" t="s">
        <v>7</v>
      </c>
      <c r="B10" s="10">
        <f>B6</f>
        <v>2</v>
      </c>
      <c r="C10" s="10">
        <f>C6</f>
        <v>3</v>
      </c>
      <c r="D10" s="10">
        <f>D6</f>
        <v>-1</v>
      </c>
      <c r="E10" s="10">
        <f>E6</f>
        <v>18</v>
      </c>
      <c r="F10" s="2"/>
      <c r="G10" s="30">
        <v>1</v>
      </c>
      <c r="H10" s="31">
        <v>0</v>
      </c>
      <c r="I10" s="31">
        <v>0</v>
      </c>
    </row>
    <row r="11" spans="1:9" ht="15.6">
      <c r="A11" s="2"/>
      <c r="B11" s="16">
        <f>B7-($B$7/$B$6)*B6</f>
        <v>0</v>
      </c>
      <c r="C11" s="10">
        <f>C7-($B$7/$B$6)*C6</f>
        <v>1</v>
      </c>
      <c r="D11" s="10">
        <f>D7-($B$7/$B$6)*D6</f>
        <v>1</v>
      </c>
      <c r="E11" s="10">
        <f t="shared" ref="E11:E12" si="0">E7</f>
        <v>19</v>
      </c>
      <c r="F11" s="2"/>
      <c r="G11" s="51">
        <f>B7/B6</f>
        <v>0</v>
      </c>
      <c r="H11" s="31">
        <v>1</v>
      </c>
      <c r="I11" s="31">
        <v>0</v>
      </c>
    </row>
    <row r="12" spans="1:9" ht="15.6">
      <c r="A12" s="2"/>
      <c r="B12" s="16">
        <f>B8-($B$8/$B$6)*B6</f>
        <v>0</v>
      </c>
      <c r="C12" s="10">
        <f>C8-($B$8/$B$6)*C6</f>
        <v>0</v>
      </c>
      <c r="D12" s="10">
        <f>D8-($B$8/$B$6)*D6</f>
        <v>5</v>
      </c>
      <c r="E12" s="10">
        <f t="shared" si="0"/>
        <v>6</v>
      </c>
      <c r="F12" s="2"/>
      <c r="G12" s="51">
        <f>B8/B6</f>
        <v>1</v>
      </c>
      <c r="H12" s="84">
        <f>C8/C7</f>
        <v>3</v>
      </c>
      <c r="I12" s="31">
        <v>1</v>
      </c>
    </row>
    <row r="13" spans="1:9" ht="15.6">
      <c r="A13" s="2"/>
      <c r="B13" s="10"/>
      <c r="C13" s="10"/>
      <c r="D13" s="10"/>
      <c r="E13" s="10"/>
      <c r="F13" s="2"/>
      <c r="G13" s="2"/>
      <c r="H13" s="75"/>
      <c r="I13" s="75"/>
    </row>
    <row r="14" spans="1:9" ht="15.6">
      <c r="A14" s="64" t="s">
        <v>9</v>
      </c>
      <c r="B14" s="10">
        <f>B10</f>
        <v>2</v>
      </c>
      <c r="C14" s="10">
        <f>C10</f>
        <v>3</v>
      </c>
      <c r="D14" s="10">
        <f>D10</f>
        <v>-1</v>
      </c>
      <c r="E14" s="10">
        <f>E10</f>
        <v>18</v>
      </c>
      <c r="F14" s="2" t="str">
        <f>IF(C15=C11,"aceptado 2",IF(C15=C12,"aceptado 3","falla"))</f>
        <v>aceptado 2</v>
      </c>
      <c r="G14" s="33">
        <f>G10</f>
        <v>1</v>
      </c>
      <c r="H14" s="34">
        <f>H10</f>
        <v>0</v>
      </c>
      <c r="I14" s="34">
        <f>I10</f>
        <v>0</v>
      </c>
    </row>
    <row r="15" spans="1:9" ht="15.6">
      <c r="A15" s="2"/>
      <c r="B15" s="10">
        <f>IF($C$11=0,IF($C$12=0,"falla",B12),B11)</f>
        <v>0</v>
      </c>
      <c r="C15" s="10">
        <f>IF($C$11=0,IF($C$12=0,"falla",C12),C11)</f>
        <v>1</v>
      </c>
      <c r="D15" s="10">
        <f>IF($C$11=0,IF($C$12=0,"falla",D12),D11)</f>
        <v>1</v>
      </c>
      <c r="E15" s="10">
        <f>E11</f>
        <v>19</v>
      </c>
      <c r="F15" s="2"/>
      <c r="G15" s="33">
        <f>IF($C$11=0,IF($C$12=0,"falla",G12),G11)</f>
        <v>0</v>
      </c>
      <c r="H15" s="34">
        <f>H11</f>
        <v>1</v>
      </c>
      <c r="I15" s="34">
        <f>I11</f>
        <v>0</v>
      </c>
    </row>
    <row r="16" spans="1:9" ht="15.6">
      <c r="A16" s="2"/>
      <c r="B16" s="10">
        <f>IF($F$14="aceptado 2",B12,B11)</f>
        <v>0</v>
      </c>
      <c r="C16" s="10">
        <f>IF($F$14="aceptado 2",C12,C11)</f>
        <v>0</v>
      </c>
      <c r="D16" s="10">
        <f>IF($F$14="aceptado 2",D12,D11)</f>
        <v>5</v>
      </c>
      <c r="E16" s="10">
        <f>E12</f>
        <v>6</v>
      </c>
      <c r="F16" s="2"/>
      <c r="G16" s="33">
        <f>IF($F$14="aceptado 2",G12,G11)</f>
        <v>1</v>
      </c>
      <c r="H16" s="77">
        <f>C12/C11</f>
        <v>0</v>
      </c>
      <c r="I16" s="34">
        <f>I12</f>
        <v>1</v>
      </c>
    </row>
    <row r="17" spans="1:15" ht="15.6">
      <c r="A17" s="2"/>
      <c r="B17" s="10"/>
      <c r="C17" s="10"/>
      <c r="D17" s="10"/>
      <c r="E17" s="10"/>
      <c r="F17" s="2"/>
      <c r="G17" s="2"/>
      <c r="H17" s="75"/>
      <c r="I17" s="75"/>
    </row>
    <row r="18" spans="1:15" ht="15.6">
      <c r="A18" s="65" t="s">
        <v>18</v>
      </c>
      <c r="B18" s="10">
        <f>B14</f>
        <v>2</v>
      </c>
      <c r="C18" s="10">
        <f>C14</f>
        <v>3</v>
      </c>
      <c r="D18" s="10">
        <f t="shared" ref="D18" si="1">D14</f>
        <v>-1</v>
      </c>
      <c r="E18" s="10">
        <f>E14</f>
        <v>18</v>
      </c>
      <c r="F18" s="2"/>
      <c r="G18" s="36">
        <f>G14</f>
        <v>1</v>
      </c>
      <c r="H18" s="37">
        <f>H14</f>
        <v>0</v>
      </c>
      <c r="I18" s="37">
        <f>I14</f>
        <v>0</v>
      </c>
    </row>
    <row r="19" spans="1:15" ht="15.6">
      <c r="A19" s="2"/>
      <c r="B19" s="10">
        <f>B15</f>
        <v>0</v>
      </c>
      <c r="C19" s="10">
        <f>C15</f>
        <v>1</v>
      </c>
      <c r="D19" s="10">
        <f>D15</f>
        <v>1</v>
      </c>
      <c r="E19" s="10">
        <f>E15</f>
        <v>19</v>
      </c>
      <c r="F19" s="2"/>
      <c r="G19" s="36">
        <f>IF($C$11=0,IF($C$12=0,"falla",G16),G15)</f>
        <v>0</v>
      </c>
      <c r="H19" s="37">
        <f>H15</f>
        <v>1</v>
      </c>
      <c r="I19" s="37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10">
        <f>D16-($C$16/$C$15)*D15</f>
        <v>5</v>
      </c>
      <c r="E20" s="10">
        <f>E16</f>
        <v>6</v>
      </c>
      <c r="F20" s="2"/>
      <c r="G20" s="36">
        <f>IF($F$14="aceptado 2",G16,G15)</f>
        <v>1</v>
      </c>
      <c r="H20" s="86">
        <f>C16/C15</f>
        <v>0</v>
      </c>
      <c r="I20" s="37">
        <f>I16</f>
        <v>1</v>
      </c>
      <c r="O20" s="22"/>
    </row>
    <row r="21" spans="1:15" ht="15.6">
      <c r="A21" s="2"/>
      <c r="B21" s="10"/>
      <c r="C21" s="16" t="s">
        <v>8</v>
      </c>
      <c r="D21" s="10"/>
      <c r="E21" s="16" t="s">
        <v>2</v>
      </c>
      <c r="F21" s="2"/>
      <c r="G21" s="2"/>
      <c r="H21" s="18" t="s">
        <v>19</v>
      </c>
      <c r="I21" s="75"/>
    </row>
    <row r="22" spans="1:15" ht="15">
      <c r="A22" s="64" t="s">
        <v>20</v>
      </c>
      <c r="B22" s="36">
        <f t="shared" ref="B22:E23" si="2">B18</f>
        <v>2</v>
      </c>
      <c r="C22" s="36">
        <f t="shared" si="2"/>
        <v>3</v>
      </c>
      <c r="D22" s="36">
        <f t="shared" si="2"/>
        <v>-1</v>
      </c>
      <c r="E22" s="63">
        <f t="shared" si="2"/>
        <v>18</v>
      </c>
      <c r="F22" s="2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1</v>
      </c>
      <c r="D23" s="36">
        <f t="shared" si="2"/>
        <v>1</v>
      </c>
      <c r="E23" s="63">
        <f t="shared" si="2"/>
        <v>19</v>
      </c>
      <c r="F23" s="2"/>
      <c r="G23" s="39">
        <f t="shared" si="3"/>
        <v>0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36">
        <f>IF($D$20=0,"falla",D20)</f>
        <v>5</v>
      </c>
      <c r="E24" s="63">
        <f>IF($D$20=0,"falla",E20)</f>
        <v>6</v>
      </c>
      <c r="F24" s="2"/>
      <c r="G24" s="39">
        <f>IF($D$20=0,"falla",G20)</f>
        <v>1</v>
      </c>
      <c r="H24" s="39">
        <f>IF($D$20=0,"falla",H20)</f>
        <v>0</v>
      </c>
      <c r="I24" s="39">
        <f>IF($D$20=0,"falla",I20)</f>
        <v>1</v>
      </c>
    </row>
    <row r="25" spans="1:15" ht="15.6">
      <c r="A25" s="2"/>
      <c r="B25" s="10"/>
      <c r="C25" s="10"/>
      <c r="D25" s="10"/>
      <c r="E25" s="21" t="s">
        <v>10</v>
      </c>
      <c r="F25" s="2"/>
      <c r="G25" s="19" t="s">
        <v>11</v>
      </c>
      <c r="H25" s="12"/>
      <c r="I25" s="12"/>
    </row>
    <row r="26" spans="1:15" ht="15.6">
      <c r="A26" s="15"/>
      <c r="B26" s="10"/>
      <c r="C26" s="10"/>
      <c r="D26" s="10"/>
      <c r="E26" s="74">
        <f>(G26-C22*E27-D22*E28)/B22</f>
        <v>-24.299999999999994</v>
      </c>
      <c r="F26" s="10"/>
      <c r="G26" s="62">
        <f>E22</f>
        <v>18</v>
      </c>
      <c r="H26" s="12"/>
      <c r="I26" s="12"/>
    </row>
    <row r="27" spans="1:15" ht="15.6">
      <c r="A27" s="2"/>
      <c r="B27" s="10"/>
      <c r="C27" s="10"/>
      <c r="D27" s="10"/>
      <c r="E27" s="74">
        <f>(G27-D23*E28)/C23</f>
        <v>21.4</v>
      </c>
      <c r="F27" s="10"/>
      <c r="G27" s="62">
        <f>E23-G23*G26</f>
        <v>19</v>
      </c>
      <c r="H27" s="12"/>
      <c r="I27" s="12" t="s">
        <v>21</v>
      </c>
    </row>
    <row r="28" spans="1:15" ht="15.6">
      <c r="A28" s="2"/>
      <c r="B28" s="10"/>
      <c r="C28" s="10"/>
      <c r="D28" s="10"/>
      <c r="E28" s="74">
        <f>G28/D24</f>
        <v>-2.4</v>
      </c>
      <c r="F28" s="10"/>
      <c r="G28" s="62">
        <f>E24-G24*G26-H24*G27</f>
        <v>-12</v>
      </c>
      <c r="H28" s="12"/>
      <c r="I28" s="12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1ED9-EB7A-4610-86C7-08B2B09EE5B1}">
  <dimension ref="A1:O32"/>
  <sheetViews>
    <sheetView zoomScaleNormal="100" workbookViewId="0">
      <selection activeCell="A2" sqref="A2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9" ht="16.149999999999999" thickBot="1">
      <c r="A1" s="1" t="s">
        <v>0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12"/>
      <c r="I1" s="12"/>
    </row>
    <row r="2" spans="1:9" ht="16.149999999999999" thickBot="1">
      <c r="A2" s="2"/>
      <c r="B2" s="3">
        <v>1</v>
      </c>
      <c r="C2" s="3">
        <v>10</v>
      </c>
      <c r="D2" s="4">
        <v>9</v>
      </c>
      <c r="E2" s="8">
        <v>7</v>
      </c>
      <c r="F2" s="2"/>
      <c r="G2" s="29" cm="1">
        <f t="array" ref="G2:G4">MMULT(B2:D4,E26:E28)</f>
        <v>7</v>
      </c>
      <c r="H2" s="12"/>
      <c r="I2" s="12"/>
    </row>
    <row r="3" spans="1:9" ht="16.149999999999999" thickBot="1">
      <c r="A3" s="2"/>
      <c r="B3" s="3">
        <v>2</v>
      </c>
      <c r="C3" s="3">
        <v>-7</v>
      </c>
      <c r="D3" s="4">
        <v>-10</v>
      </c>
      <c r="E3" s="8">
        <v>-17</v>
      </c>
      <c r="F3" s="2"/>
      <c r="G3" s="29">
        <v>-17</v>
      </c>
      <c r="H3" s="12"/>
      <c r="I3" s="12"/>
    </row>
    <row r="4" spans="1:9" ht="16.149999999999999" thickBot="1">
      <c r="A4" s="2"/>
      <c r="B4" s="3">
        <v>10</v>
      </c>
      <c r="C4" s="3">
        <v>2</v>
      </c>
      <c r="D4" s="4">
        <v>6</v>
      </c>
      <c r="E4" s="8">
        <v>28</v>
      </c>
      <c r="F4" s="2"/>
      <c r="G4" s="29">
        <v>27.999999999999993</v>
      </c>
      <c r="H4" s="12"/>
      <c r="I4" s="12"/>
    </row>
    <row r="5" spans="1:9" ht="15.6">
      <c r="A5" s="2"/>
      <c r="B5" s="2"/>
      <c r="C5" s="2"/>
      <c r="D5" s="2"/>
      <c r="E5" s="19"/>
      <c r="F5" s="2"/>
      <c r="G5" s="25"/>
      <c r="H5" s="12"/>
      <c r="I5" s="12" t="s">
        <v>17</v>
      </c>
    </row>
    <row r="6" spans="1:9" ht="15.6">
      <c r="A6" s="64" t="s">
        <v>5</v>
      </c>
      <c r="B6" s="10">
        <f>IF($B$2=0,IF($B$3=0,IF($B$4=0,"Falla",B4),B3),B2)</f>
        <v>1</v>
      </c>
      <c r="C6" s="10">
        <f>IF($B$2=0,IF($B$3=0,IF($B$4=0,"Falla",C4),C3),C2)</f>
        <v>10</v>
      </c>
      <c r="D6" s="10">
        <f>IF($B$2=0,IF($B$3=0,IF($B$4=0,"Falla",D4),D3),D2)</f>
        <v>9</v>
      </c>
      <c r="E6" s="10">
        <f>IF($B$2=0,IF($B$3=0,IF($B$4=0,"Falla",E4),E3),E2)</f>
        <v>7</v>
      </c>
      <c r="F6" s="47" t="str">
        <f>IF(B6=B2,"aceptado 1",IF(B6=B3,"aceptado 2",IF(B6=B4,"aceptado 3","falla")))</f>
        <v>aceptado 1</v>
      </c>
      <c r="G6" s="10" cm="1">
        <f t="array" ref="G6:I8">MMULT(G22:I24,B22:D24)</f>
        <v>1</v>
      </c>
      <c r="H6" s="76">
        <v>10</v>
      </c>
      <c r="I6" s="76">
        <v>9</v>
      </c>
    </row>
    <row r="7" spans="1:9" ht="15.6">
      <c r="A7" s="2"/>
      <c r="B7" s="10">
        <f>IF($F$6="aceptado 2",B2,B3)</f>
        <v>2</v>
      </c>
      <c r="C7" s="10">
        <f>IF($F$6="aceptado 2",C2,C3)</f>
        <v>-7</v>
      </c>
      <c r="D7" s="10">
        <f>IF($F$6="aceptado 2",D2,D3)</f>
        <v>-10</v>
      </c>
      <c r="E7" s="10">
        <f>IF($F$6="aceptado 2",E2,E3)</f>
        <v>-17</v>
      </c>
      <c r="F7" s="47"/>
      <c r="G7" s="10">
        <v>2</v>
      </c>
      <c r="H7" s="76">
        <v>-7</v>
      </c>
      <c r="I7" s="76">
        <v>-10</v>
      </c>
    </row>
    <row r="8" spans="1:9" ht="15.6">
      <c r="A8" s="2"/>
      <c r="B8" s="10">
        <f>IF($F$6="aceptado 3",B2,B4)</f>
        <v>10</v>
      </c>
      <c r="C8" s="10">
        <f>IF($F$6="aceptado 3",C2,C4)</f>
        <v>2</v>
      </c>
      <c r="D8" s="10">
        <f>IF($F$6="aceptado 3",D2,D4)</f>
        <v>6</v>
      </c>
      <c r="E8" s="10">
        <f>IF($F$6="aceptado 3",E2,E4)</f>
        <v>28</v>
      </c>
      <c r="F8" s="47"/>
      <c r="G8" s="10">
        <v>10</v>
      </c>
      <c r="H8" s="76">
        <v>2</v>
      </c>
      <c r="I8" s="76">
        <v>6</v>
      </c>
    </row>
    <row r="9" spans="1:9" ht="15">
      <c r="A9" s="2"/>
      <c r="B9" s="47"/>
      <c r="C9" s="47"/>
      <c r="D9" s="47"/>
      <c r="E9" s="47"/>
      <c r="F9" s="47"/>
      <c r="G9" s="47"/>
      <c r="H9" s="89" t="s">
        <v>6</v>
      </c>
      <c r="I9" s="89"/>
    </row>
    <row r="10" spans="1:9" ht="15.6">
      <c r="A10" s="65" t="s">
        <v>7</v>
      </c>
      <c r="B10" s="10">
        <f>B6</f>
        <v>1</v>
      </c>
      <c r="C10" s="10">
        <f>C6</f>
        <v>10</v>
      </c>
      <c r="D10" s="10">
        <f>D6</f>
        <v>9</v>
      </c>
      <c r="E10" s="10">
        <f>E6</f>
        <v>7</v>
      </c>
      <c r="F10" s="47"/>
      <c r="G10" s="92">
        <v>1</v>
      </c>
      <c r="H10" s="93">
        <v>0</v>
      </c>
      <c r="I10" s="93">
        <v>0</v>
      </c>
    </row>
    <row r="11" spans="1:9" ht="15.6">
      <c r="A11" s="2"/>
      <c r="B11" s="16">
        <f>B7-($B$7/$B$6)*B6</f>
        <v>0</v>
      </c>
      <c r="C11" s="10">
        <f>C7-($B$7/$B$6)*C6</f>
        <v>-27</v>
      </c>
      <c r="D11" s="10">
        <f>D7-($B$7/$B$6)*D6</f>
        <v>-28</v>
      </c>
      <c r="E11" s="10">
        <f t="shared" ref="E11:E12" si="0">E7</f>
        <v>-17</v>
      </c>
      <c r="F11" s="47"/>
      <c r="G11" s="51">
        <f>B7/B6</f>
        <v>2</v>
      </c>
      <c r="H11" s="93">
        <v>1</v>
      </c>
      <c r="I11" s="93">
        <v>0</v>
      </c>
    </row>
    <row r="12" spans="1:9" ht="15.6">
      <c r="A12" s="2"/>
      <c r="B12" s="16">
        <f>B8-($B$8/$B$6)*B6</f>
        <v>0</v>
      </c>
      <c r="C12" s="10">
        <f>C8-($B$8/$B$6)*C6</f>
        <v>-98</v>
      </c>
      <c r="D12" s="10">
        <f>D8-($B$8/$B$6)*D6</f>
        <v>-84</v>
      </c>
      <c r="E12" s="10">
        <f t="shared" si="0"/>
        <v>28</v>
      </c>
      <c r="F12" s="47"/>
      <c r="G12" s="51">
        <f>B8/B6</f>
        <v>10</v>
      </c>
      <c r="H12" s="41">
        <f>C8/C7</f>
        <v>-0.2857142857142857</v>
      </c>
      <c r="I12" s="93">
        <v>1</v>
      </c>
    </row>
    <row r="13" spans="1:9" ht="15.6">
      <c r="A13" s="2"/>
      <c r="B13" s="47"/>
      <c r="C13" s="47"/>
      <c r="D13" s="47"/>
      <c r="E13" s="47"/>
      <c r="F13" s="47"/>
      <c r="G13" s="47"/>
      <c r="H13" s="88"/>
      <c r="I13" s="88"/>
    </row>
    <row r="14" spans="1:9" ht="15.6">
      <c r="A14" s="64" t="s">
        <v>9</v>
      </c>
      <c r="B14" s="10">
        <f>B10</f>
        <v>1</v>
      </c>
      <c r="C14" s="10">
        <f>C10</f>
        <v>10</v>
      </c>
      <c r="D14" s="10">
        <f>D10</f>
        <v>9</v>
      </c>
      <c r="E14" s="10">
        <f>E10</f>
        <v>7</v>
      </c>
      <c r="F14" s="47" t="str">
        <f>IF(C15=C11,"aceptado 2",IF(C15=C12,"aceptado 3","falla"))</f>
        <v>aceptado 2</v>
      </c>
      <c r="G14" s="33">
        <f>G10</f>
        <v>1</v>
      </c>
      <c r="H14" s="77">
        <f>H10</f>
        <v>0</v>
      </c>
      <c r="I14" s="77">
        <f>I10</f>
        <v>0</v>
      </c>
    </row>
    <row r="15" spans="1:9" ht="15.6">
      <c r="A15" s="2"/>
      <c r="B15" s="10">
        <f>IF($C$11=0,IF($C$12=0,"falla",B12),B11)</f>
        <v>0</v>
      </c>
      <c r="C15" s="10">
        <f>IF($C$11=0,IF($C$12=0,"falla",C12),C11)</f>
        <v>-27</v>
      </c>
      <c r="D15" s="10">
        <f>IF($C$11=0,IF($C$12=0,"falla",D12),D11)</f>
        <v>-28</v>
      </c>
      <c r="E15" s="10">
        <f>E11</f>
        <v>-17</v>
      </c>
      <c r="F15" s="47"/>
      <c r="G15" s="33">
        <f>IF($C$11=0,IF($C$12=0,"falla",G12),G11)</f>
        <v>2</v>
      </c>
      <c r="H15" s="77">
        <f>H11</f>
        <v>1</v>
      </c>
      <c r="I15" s="77">
        <f>I11</f>
        <v>0</v>
      </c>
    </row>
    <row r="16" spans="1:9" ht="15.6">
      <c r="A16" s="2"/>
      <c r="B16" s="10">
        <f>IF($F$14="aceptado 2",B12,B11)</f>
        <v>0</v>
      </c>
      <c r="C16" s="10">
        <f>IF($F$14="aceptado 2",C12,C11)</f>
        <v>-98</v>
      </c>
      <c r="D16" s="10">
        <f>IF($F$14="aceptado 2",D12,D11)</f>
        <v>-84</v>
      </c>
      <c r="E16" s="10">
        <f>E12</f>
        <v>28</v>
      </c>
      <c r="F16" s="47"/>
      <c r="G16" s="33">
        <f>IF($F$14="aceptado 2",G12,G11)</f>
        <v>10</v>
      </c>
      <c r="H16" s="42">
        <f>C12/C11</f>
        <v>3.6296296296296298</v>
      </c>
      <c r="I16" s="77">
        <f>I12</f>
        <v>1</v>
      </c>
    </row>
    <row r="17" spans="1:15" ht="15.6">
      <c r="A17" s="2"/>
      <c r="B17" s="47"/>
      <c r="C17" s="47"/>
      <c r="D17" s="47"/>
      <c r="E17" s="47"/>
      <c r="F17" s="47"/>
      <c r="G17" s="47"/>
      <c r="H17" s="88"/>
      <c r="I17" s="88"/>
    </row>
    <row r="18" spans="1:15" ht="15.6">
      <c r="A18" s="65" t="s">
        <v>18</v>
      </c>
      <c r="B18" s="10">
        <f>B14</f>
        <v>1</v>
      </c>
      <c r="C18" s="10">
        <f>C14</f>
        <v>10</v>
      </c>
      <c r="D18" s="10">
        <f t="shared" ref="D18" si="1">D14</f>
        <v>9</v>
      </c>
      <c r="E18" s="10">
        <f>E14</f>
        <v>7</v>
      </c>
      <c r="F18" s="47"/>
      <c r="G18" s="36">
        <f>G14</f>
        <v>1</v>
      </c>
      <c r="H18" s="79">
        <f>H14</f>
        <v>0</v>
      </c>
      <c r="I18" s="79">
        <f>I14</f>
        <v>0</v>
      </c>
    </row>
    <row r="19" spans="1:15" ht="15.6">
      <c r="A19" s="2"/>
      <c r="B19" s="10">
        <f>B15</f>
        <v>0</v>
      </c>
      <c r="C19" s="10">
        <f>C15</f>
        <v>-27</v>
      </c>
      <c r="D19" s="10">
        <f>D15</f>
        <v>-28</v>
      </c>
      <c r="E19" s="10">
        <f>E15</f>
        <v>-17</v>
      </c>
      <c r="F19" s="47"/>
      <c r="G19" s="36">
        <f>IF($C$11=0,IF($C$12=0,"falla",G16),G15)</f>
        <v>2</v>
      </c>
      <c r="H19" s="79">
        <f>H15</f>
        <v>1</v>
      </c>
      <c r="I19" s="79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9">
        <f>D16-($C$16/$C$15)*D15</f>
        <v>17.629629629629633</v>
      </c>
      <c r="E20" s="10">
        <f>E16</f>
        <v>28</v>
      </c>
      <c r="F20" s="47"/>
      <c r="G20" s="36">
        <f>IF($F$14="aceptado 2",G16,G15)</f>
        <v>10</v>
      </c>
      <c r="H20" s="38">
        <f>C16/C15</f>
        <v>3.6296296296296298</v>
      </c>
      <c r="I20" s="79">
        <f>I16</f>
        <v>1</v>
      </c>
      <c r="O20" s="22"/>
    </row>
    <row r="21" spans="1:15" ht="15.6">
      <c r="A21" s="2"/>
      <c r="B21" s="47"/>
      <c r="C21" s="48" t="s">
        <v>8</v>
      </c>
      <c r="D21" s="47"/>
      <c r="E21" s="48" t="s">
        <v>2</v>
      </c>
      <c r="F21" s="47"/>
      <c r="G21" s="47"/>
      <c r="H21" s="90" t="s">
        <v>19</v>
      </c>
      <c r="I21" s="88"/>
    </row>
    <row r="22" spans="1:15" ht="15">
      <c r="A22" s="64" t="s">
        <v>20</v>
      </c>
      <c r="B22" s="36">
        <f t="shared" ref="B22:E23" si="2">B18</f>
        <v>1</v>
      </c>
      <c r="C22" s="36">
        <f t="shared" si="2"/>
        <v>10</v>
      </c>
      <c r="D22" s="36">
        <f t="shared" si="2"/>
        <v>9</v>
      </c>
      <c r="E22" s="63">
        <f t="shared" si="2"/>
        <v>7</v>
      </c>
      <c r="F22" s="47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-27</v>
      </c>
      <c r="D23" s="36">
        <f t="shared" si="2"/>
        <v>-28</v>
      </c>
      <c r="E23" s="63">
        <f t="shared" si="2"/>
        <v>-17</v>
      </c>
      <c r="F23" s="47"/>
      <c r="G23" s="39">
        <f t="shared" si="3"/>
        <v>2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14">
        <f>IF($D$20=0,"falla",D20)</f>
        <v>17.629629629629633</v>
      </c>
      <c r="E24" s="63">
        <f>IF($D$20=0,"falla",E20)</f>
        <v>28</v>
      </c>
      <c r="F24" s="47"/>
      <c r="G24" s="39">
        <f>IF($D$20=0,"falla",G20)</f>
        <v>10</v>
      </c>
      <c r="H24" s="40">
        <f>IF($D$20=0,"falla",H20)</f>
        <v>3.6296296296296298</v>
      </c>
      <c r="I24" s="39">
        <f>IF($D$20=0,"falla",I20)</f>
        <v>1</v>
      </c>
    </row>
    <row r="25" spans="1:15" ht="15.6">
      <c r="A25" s="2"/>
      <c r="B25" s="47"/>
      <c r="C25" s="47"/>
      <c r="D25" s="47"/>
      <c r="E25" s="91" t="s">
        <v>10</v>
      </c>
      <c r="F25" s="47"/>
      <c r="G25" s="48" t="s">
        <v>11</v>
      </c>
      <c r="H25" s="89"/>
      <c r="I25" s="89"/>
    </row>
    <row r="26" spans="1:15" ht="15.6">
      <c r="A26" s="15"/>
      <c r="B26" s="47"/>
      <c r="C26" s="47"/>
      <c r="D26" s="47"/>
      <c r="E26" s="87">
        <f>(G26-C22*E27-D22*E28)/B22</f>
        <v>1</v>
      </c>
      <c r="F26" s="47"/>
      <c r="G26" s="62">
        <f>E22</f>
        <v>7</v>
      </c>
      <c r="H26" s="89"/>
      <c r="I26" s="89"/>
    </row>
    <row r="27" spans="1:15" ht="15.6">
      <c r="A27" s="2"/>
      <c r="B27" s="47"/>
      <c r="C27" s="47"/>
      <c r="D27" s="47"/>
      <c r="E27" s="87">
        <f>(G27-D23*E28)/C23</f>
        <v>-2.9999999999999991</v>
      </c>
      <c r="F27" s="47"/>
      <c r="G27" s="62">
        <f>E23-G23*G26</f>
        <v>-31</v>
      </c>
      <c r="H27" s="89"/>
      <c r="I27" s="89" t="s">
        <v>21</v>
      </c>
    </row>
    <row r="28" spans="1:15" ht="15.6">
      <c r="A28" s="2"/>
      <c r="B28" s="47"/>
      <c r="C28" s="47"/>
      <c r="D28" s="47"/>
      <c r="E28" s="87">
        <f>G28/D24</f>
        <v>3.9999999999999991</v>
      </c>
      <c r="F28" s="47"/>
      <c r="G28" s="20">
        <f>E24-G24*G26-H24*G27</f>
        <v>70.518518518518519</v>
      </c>
      <c r="H28" s="89"/>
      <c r="I28" s="89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F38C-2095-49A7-8433-CE205F6A66A3}">
  <dimension ref="A1:K45"/>
  <sheetViews>
    <sheetView topLeftCell="A12" zoomScaleNormal="100" workbookViewId="0">
      <selection sqref="A1:K45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11" ht="15.6">
      <c r="A1" s="97" t="s">
        <v>22</v>
      </c>
      <c r="B1" s="99"/>
      <c r="C1" s="99"/>
      <c r="D1" s="99" t="s">
        <v>1</v>
      </c>
      <c r="E1" s="99"/>
      <c r="F1" s="98" t="s">
        <v>2</v>
      </c>
      <c r="G1" s="75" t="s">
        <v>3</v>
      </c>
      <c r="H1" s="97" t="s">
        <v>4</v>
      </c>
      <c r="I1" s="13"/>
      <c r="J1" s="13"/>
      <c r="K1" s="13"/>
    </row>
    <row r="2" spans="1:11" ht="15.6">
      <c r="A2" s="75"/>
      <c r="B2" s="109">
        <v>0</v>
      </c>
      <c r="C2" s="109">
        <v>1</v>
      </c>
      <c r="D2" s="109">
        <v>2</v>
      </c>
      <c r="E2" s="110">
        <v>-1</v>
      </c>
      <c r="F2" s="106">
        <v>1</v>
      </c>
      <c r="G2" s="13"/>
      <c r="H2" s="75" cm="1">
        <f t="array" ref="H2:H5">MMULT(B2:E5,F42:F45)</f>
        <v>0.99999999999999933</v>
      </c>
      <c r="I2" s="75"/>
      <c r="J2" s="75"/>
      <c r="K2" s="75"/>
    </row>
    <row r="3" spans="1:11" ht="15.6">
      <c r="A3" s="75"/>
      <c r="B3" s="109">
        <v>0</v>
      </c>
      <c r="C3" s="109">
        <v>1</v>
      </c>
      <c r="D3" s="109">
        <v>-1</v>
      </c>
      <c r="E3" s="110">
        <v>1</v>
      </c>
      <c r="F3" s="106">
        <v>2</v>
      </c>
      <c r="G3" s="13"/>
      <c r="H3" s="75">
        <v>2</v>
      </c>
      <c r="I3" s="75"/>
      <c r="J3" s="75"/>
      <c r="K3" s="75"/>
    </row>
    <row r="4" spans="1:11" ht="15.6">
      <c r="A4" s="75"/>
      <c r="B4" s="109">
        <v>0</v>
      </c>
      <c r="C4" s="109">
        <v>3</v>
      </c>
      <c r="D4" s="109">
        <v>-2</v>
      </c>
      <c r="E4" s="110">
        <v>-1</v>
      </c>
      <c r="F4" s="106">
        <v>0</v>
      </c>
      <c r="G4" s="13"/>
      <c r="H4" s="75">
        <v>2.2204460492503131E-16</v>
      </c>
      <c r="I4" s="75"/>
      <c r="J4" s="75"/>
      <c r="K4" s="75"/>
    </row>
    <row r="5" spans="1:11" ht="15.6">
      <c r="A5" s="75"/>
      <c r="B5" s="109">
        <v>3</v>
      </c>
      <c r="C5" s="109">
        <v>-1</v>
      </c>
      <c r="D5" s="109">
        <v>1</v>
      </c>
      <c r="E5" s="110">
        <v>2</v>
      </c>
      <c r="F5" s="106">
        <v>-2</v>
      </c>
      <c r="G5" s="13"/>
      <c r="H5" s="75">
        <v>-2.0000000000000004</v>
      </c>
      <c r="I5" s="75"/>
      <c r="J5" s="75"/>
      <c r="K5" s="75"/>
    </row>
    <row r="6" spans="1:11" ht="15.6">
      <c r="A6" s="13"/>
      <c r="B6" s="13"/>
      <c r="C6" s="13"/>
      <c r="D6" s="13"/>
      <c r="E6" s="13"/>
      <c r="F6" s="13"/>
      <c r="G6" s="13"/>
      <c r="H6" s="99"/>
      <c r="I6" s="99"/>
      <c r="J6" s="99" t="s">
        <v>6</v>
      </c>
      <c r="K6" s="99"/>
    </row>
    <row r="7" spans="1:11" ht="15.6">
      <c r="A7" s="5" t="s">
        <v>5</v>
      </c>
      <c r="B7" s="75">
        <f>IF($B$2=0,IF($B$3=0,IF($B$4=0,IF($B$5=0,"falla",B5),B4),B3),B2)</f>
        <v>3</v>
      </c>
      <c r="C7" s="75">
        <f t="shared" ref="C7:F7" si="0">IF($B$2=0,IF($B$3=0,IF($B$4=0,IF($B$5=0,"falla",C5),C4),C3),C2)</f>
        <v>-1</v>
      </c>
      <c r="D7" s="75">
        <f t="shared" si="0"/>
        <v>1</v>
      </c>
      <c r="E7" s="100">
        <f t="shared" si="0"/>
        <v>2</v>
      </c>
      <c r="F7" s="75">
        <f t="shared" si="0"/>
        <v>-2</v>
      </c>
      <c r="G7" s="75" t="str">
        <f>IF(B7=B2,"aceptado1",IF(B7=B3,"aceptado2",IF(B7=B4,"aceptado3",IF(B7=B5,"aceptado4","falla"))))</f>
        <v>aceptado4</v>
      </c>
      <c r="H7" s="75" cm="1">
        <f t="array" ref="H7:K10">MMULT(H37:K40,B37:E40)</f>
        <v>3</v>
      </c>
      <c r="I7" s="75">
        <v>-1</v>
      </c>
      <c r="J7" s="75">
        <v>1</v>
      </c>
      <c r="K7" s="75">
        <v>2</v>
      </c>
    </row>
    <row r="8" spans="1:11" ht="15.6">
      <c r="A8" s="13"/>
      <c r="B8" s="75">
        <f>IF($G$7="aceptado2",B2,B3)</f>
        <v>0</v>
      </c>
      <c r="C8" s="75">
        <f>IF($G$7="aceptado2",C2,C3)</f>
        <v>1</v>
      </c>
      <c r="D8" s="75">
        <f>IF($G$7="aceptado2",D2,D3)</f>
        <v>-1</v>
      </c>
      <c r="E8" s="100">
        <f>IF($G$7="aceptado2",E2,E3)</f>
        <v>1</v>
      </c>
      <c r="F8" s="75">
        <f>IF($G$7="aceptado2",F2,F3)</f>
        <v>2</v>
      </c>
      <c r="G8" s="75"/>
      <c r="H8" s="75">
        <v>0</v>
      </c>
      <c r="I8" s="75">
        <v>1</v>
      </c>
      <c r="J8" s="75">
        <v>-1</v>
      </c>
      <c r="K8" s="75">
        <v>1</v>
      </c>
    </row>
    <row r="9" spans="1:11" ht="15.6">
      <c r="A9" s="13"/>
      <c r="B9" s="75">
        <f>IF($G$7="aceptado3",B2,B4)</f>
        <v>0</v>
      </c>
      <c r="C9" s="75">
        <f>IF($G$7="aceptado3",C2,C4)</f>
        <v>3</v>
      </c>
      <c r="D9" s="75">
        <f>IF($G$7="aceptado3",D2,D4)</f>
        <v>-2</v>
      </c>
      <c r="E9" s="100">
        <f>IF($G$7="aceptado3",E2,E4)</f>
        <v>-1</v>
      </c>
      <c r="F9" s="75">
        <f>IF($G$7="aceptado3",F2,F4)</f>
        <v>0</v>
      </c>
      <c r="G9" s="75"/>
      <c r="H9" s="75">
        <v>0</v>
      </c>
      <c r="I9" s="75">
        <v>3</v>
      </c>
      <c r="J9" s="75">
        <v>-2</v>
      </c>
      <c r="K9" s="75">
        <v>-1</v>
      </c>
    </row>
    <row r="10" spans="1:11" ht="15.6">
      <c r="A10" s="13"/>
      <c r="B10" s="75">
        <f>IF($G$7="aceptado4",B2,B5)</f>
        <v>0</v>
      </c>
      <c r="C10" s="75">
        <f t="shared" ref="C10:F10" si="1">IF($G$7="aceptado4",C2,C5)</f>
        <v>1</v>
      </c>
      <c r="D10" s="75">
        <f t="shared" si="1"/>
        <v>2</v>
      </c>
      <c r="E10" s="100">
        <f t="shared" si="1"/>
        <v>-1</v>
      </c>
      <c r="F10" s="75">
        <f t="shared" si="1"/>
        <v>1</v>
      </c>
      <c r="G10" s="75"/>
      <c r="H10" s="75">
        <v>0</v>
      </c>
      <c r="I10" s="75">
        <v>1</v>
      </c>
      <c r="J10" s="75">
        <v>2</v>
      </c>
      <c r="K10" s="75">
        <v>-1</v>
      </c>
    </row>
    <row r="11" spans="1:11" ht="15.6">
      <c r="A11" s="13"/>
      <c r="B11" s="75"/>
      <c r="C11" s="75"/>
      <c r="D11" s="75"/>
      <c r="E11" s="75"/>
      <c r="F11" s="75"/>
      <c r="G11" s="75"/>
      <c r="H11" s="13"/>
      <c r="I11" s="13"/>
      <c r="J11" s="13"/>
      <c r="K11" s="13"/>
    </row>
    <row r="12" spans="1:11" ht="15.6">
      <c r="A12" s="6" t="s">
        <v>7</v>
      </c>
      <c r="B12" s="75">
        <f>B7</f>
        <v>3</v>
      </c>
      <c r="C12" s="75">
        <f t="shared" ref="C12:F15" si="2">C7</f>
        <v>-1</v>
      </c>
      <c r="D12" s="75">
        <f t="shared" si="2"/>
        <v>1</v>
      </c>
      <c r="E12" s="100">
        <f>E7</f>
        <v>2</v>
      </c>
      <c r="F12" s="75">
        <f t="shared" si="2"/>
        <v>-2</v>
      </c>
      <c r="G12" s="75"/>
      <c r="H12" s="75">
        <v>1</v>
      </c>
      <c r="I12" s="75">
        <v>0</v>
      </c>
      <c r="J12" s="75">
        <v>0</v>
      </c>
      <c r="K12" s="75">
        <v>0</v>
      </c>
    </row>
    <row r="13" spans="1:11" ht="15.6">
      <c r="A13" s="13"/>
      <c r="B13" s="75">
        <f>B8-($B$8/$B$7)*B7</f>
        <v>0</v>
      </c>
      <c r="C13" s="75">
        <f t="shared" ref="C13:D13" si="3">C8-($B$8/$B$7)*C7</f>
        <v>1</v>
      </c>
      <c r="D13" s="75">
        <f t="shared" si="3"/>
        <v>-1</v>
      </c>
      <c r="E13" s="100">
        <f>E8-($B$8/$B$7)*E7</f>
        <v>1</v>
      </c>
      <c r="F13" s="75">
        <f t="shared" si="2"/>
        <v>2</v>
      </c>
      <c r="G13" s="75"/>
      <c r="H13" s="75">
        <f>B8/B7</f>
        <v>0</v>
      </c>
      <c r="I13" s="75">
        <v>1</v>
      </c>
      <c r="J13" s="75">
        <v>0</v>
      </c>
      <c r="K13" s="75">
        <v>0</v>
      </c>
    </row>
    <row r="14" spans="1:11" ht="15.6">
      <c r="A14" s="13"/>
      <c r="B14" s="75">
        <f>B9-($B$9/$B$7)*B7</f>
        <v>0</v>
      </c>
      <c r="C14" s="75">
        <f t="shared" ref="C14:D14" si="4">C9-($B$9/$B$7)*C7</f>
        <v>3</v>
      </c>
      <c r="D14" s="75">
        <f t="shared" si="4"/>
        <v>-2</v>
      </c>
      <c r="E14" s="100">
        <f>E9-($B$9/$B$7)*E7</f>
        <v>-1</v>
      </c>
      <c r="F14" s="75">
        <f t="shared" si="2"/>
        <v>0</v>
      </c>
      <c r="G14" s="75"/>
      <c r="H14" s="75">
        <f>B9/B7</f>
        <v>0</v>
      </c>
      <c r="I14" s="75"/>
      <c r="J14" s="75">
        <v>1</v>
      </c>
      <c r="K14" s="75">
        <v>0</v>
      </c>
    </row>
    <row r="15" spans="1:11" ht="15.6">
      <c r="A15" s="13"/>
      <c r="B15" s="75">
        <f>B10-($B$10/$B$7)*B7</f>
        <v>0</v>
      </c>
      <c r="C15" s="75">
        <f t="shared" ref="C15:E15" si="5">C10-($B$10/$B$7)*C7</f>
        <v>1</v>
      </c>
      <c r="D15" s="75">
        <f t="shared" si="5"/>
        <v>2</v>
      </c>
      <c r="E15" s="100">
        <f t="shared" si="5"/>
        <v>-1</v>
      </c>
      <c r="F15" s="75">
        <f t="shared" si="2"/>
        <v>1</v>
      </c>
      <c r="G15" s="75"/>
      <c r="H15" s="75">
        <f>B10/B7</f>
        <v>0</v>
      </c>
      <c r="I15" s="75"/>
      <c r="J15" s="75"/>
      <c r="K15" s="75">
        <v>1</v>
      </c>
    </row>
    <row r="16" spans="1:11" ht="15.6">
      <c r="A16" s="13"/>
      <c r="B16" s="75"/>
      <c r="C16" s="75"/>
      <c r="D16" s="75"/>
      <c r="E16" s="75"/>
      <c r="F16" s="75"/>
      <c r="G16" s="75"/>
      <c r="H16" s="13"/>
      <c r="I16" s="13"/>
      <c r="J16" s="13"/>
      <c r="K16" s="13"/>
    </row>
    <row r="17" spans="1:11" ht="15.6">
      <c r="A17" s="5" t="s">
        <v>9</v>
      </c>
      <c r="B17" s="75">
        <f>B12</f>
        <v>3</v>
      </c>
      <c r="C17" s="75">
        <f t="shared" ref="C17:F17" si="6">C12</f>
        <v>-1</v>
      </c>
      <c r="D17" s="75">
        <f t="shared" si="6"/>
        <v>1</v>
      </c>
      <c r="E17" s="100">
        <f>E12</f>
        <v>2</v>
      </c>
      <c r="F17" s="75">
        <f t="shared" si="6"/>
        <v>-2</v>
      </c>
      <c r="G17" s="75"/>
      <c r="H17" s="75">
        <f>H12</f>
        <v>1</v>
      </c>
      <c r="I17" s="75">
        <f>I12</f>
        <v>0</v>
      </c>
      <c r="J17" s="75">
        <f>J12</f>
        <v>0</v>
      </c>
      <c r="K17" s="75">
        <f>K12</f>
        <v>0</v>
      </c>
    </row>
    <row r="18" spans="1:11" ht="15.6">
      <c r="A18" s="13"/>
      <c r="B18" s="75">
        <f>IF($C$13 =0,IF($C$14 = 0,IF($C$15=0,"falla",B15),B14),B13)</f>
        <v>0</v>
      </c>
      <c r="C18" s="75">
        <f>IF($C$13 =0,IF($C$14 = 0,IF($C$15=0,"falla",C15),C14),C13)</f>
        <v>1</v>
      </c>
      <c r="D18" s="75">
        <f t="shared" ref="D18:F18" si="7">IF($C$13 =0,IF($C$14 = 0,IF($C$15=0,"falla",D15),D14),D13)</f>
        <v>-1</v>
      </c>
      <c r="E18" s="100">
        <f t="shared" si="7"/>
        <v>1</v>
      </c>
      <c r="F18" s="75">
        <f t="shared" si="7"/>
        <v>2</v>
      </c>
      <c r="G18" s="75" t="str">
        <f>IF(C18=C13,"aceptado2",IF(C18=C14,"aceptado3", IF(C18=C15,"aceptado4","falla")))</f>
        <v>aceptado2</v>
      </c>
      <c r="H18" s="75">
        <f>IF($C$13 =0,IF($C$14 = 0,IF($C$15=0,"falla",H15),H14),H13)</f>
        <v>0</v>
      </c>
      <c r="I18" s="75">
        <f t="shared" ref="I18:K20" si="8">I13</f>
        <v>1</v>
      </c>
      <c r="J18" s="75">
        <f t="shared" si="8"/>
        <v>0</v>
      </c>
      <c r="K18" s="75">
        <f t="shared" si="8"/>
        <v>0</v>
      </c>
    </row>
    <row r="19" spans="1:11" ht="15.6">
      <c r="A19" s="13"/>
      <c r="B19" s="75">
        <f>IF($G$18="aceptado3",B13,B14)</f>
        <v>0</v>
      </c>
      <c r="C19" s="75">
        <f>IF($G$18="aceptado3",C13,C14)</f>
        <v>3</v>
      </c>
      <c r="D19" s="75">
        <f>IF($G$18="aceptado3",D13,D14)</f>
        <v>-2</v>
      </c>
      <c r="E19" s="100">
        <f>IF($G$18="aceptado3",E13,E14)</f>
        <v>-1</v>
      </c>
      <c r="F19" s="75">
        <f>IF($G$18="aceptado3",F13,F14)</f>
        <v>0</v>
      </c>
      <c r="G19" s="13"/>
      <c r="H19" s="75">
        <f>IF($G$18="aceptado3",H13,H14)</f>
        <v>0</v>
      </c>
      <c r="I19" s="75">
        <f>IF($G$18="aceptado3",I13,I14)</f>
        <v>0</v>
      </c>
      <c r="J19" s="75">
        <f t="shared" si="8"/>
        <v>1</v>
      </c>
      <c r="K19" s="75">
        <f t="shared" si="8"/>
        <v>0</v>
      </c>
    </row>
    <row r="20" spans="1:11" ht="15.6">
      <c r="A20" s="13"/>
      <c r="B20" s="75">
        <f>IF($G$18="aceptado4",B13,B15)</f>
        <v>0</v>
      </c>
      <c r="C20" s="75">
        <f t="shared" ref="C20:J20" si="9">IF($G$18="aceptado4",C13,C15)</f>
        <v>1</v>
      </c>
      <c r="D20" s="75">
        <f t="shared" si="9"/>
        <v>2</v>
      </c>
      <c r="E20" s="100">
        <f t="shared" si="9"/>
        <v>-1</v>
      </c>
      <c r="F20" s="75">
        <f t="shared" si="9"/>
        <v>1</v>
      </c>
      <c r="G20" s="13"/>
      <c r="H20" s="75">
        <f t="shared" si="9"/>
        <v>0</v>
      </c>
      <c r="I20" s="75">
        <f t="shared" si="9"/>
        <v>0</v>
      </c>
      <c r="J20" s="75">
        <f t="shared" si="9"/>
        <v>0</v>
      </c>
      <c r="K20" s="75">
        <f t="shared" si="8"/>
        <v>1</v>
      </c>
    </row>
    <row r="21" spans="1:11" ht="15.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6">
      <c r="A22" s="6" t="s">
        <v>7</v>
      </c>
      <c r="B22" s="75">
        <f>B17</f>
        <v>3</v>
      </c>
      <c r="C22" s="75">
        <f t="shared" ref="C22:F25" si="10">C17</f>
        <v>-1</v>
      </c>
      <c r="D22" s="75">
        <f t="shared" si="10"/>
        <v>1</v>
      </c>
      <c r="E22" s="100">
        <f t="shared" si="10"/>
        <v>2</v>
      </c>
      <c r="F22" s="75">
        <f>F17</f>
        <v>-2</v>
      </c>
      <c r="G22" s="13"/>
      <c r="H22" s="31">
        <f>H17</f>
        <v>1</v>
      </c>
      <c r="I22" s="31">
        <f t="shared" ref="I22:K22" si="11">I17</f>
        <v>0</v>
      </c>
      <c r="J22" s="31">
        <f t="shared" si="11"/>
        <v>0</v>
      </c>
      <c r="K22" s="31">
        <f t="shared" si="11"/>
        <v>0</v>
      </c>
    </row>
    <row r="23" spans="1:11" ht="15.6">
      <c r="A23" s="13"/>
      <c r="B23" s="75">
        <f>B18</f>
        <v>0</v>
      </c>
      <c r="C23" s="75">
        <f t="shared" si="10"/>
        <v>1</v>
      </c>
      <c r="D23" s="75">
        <f t="shared" si="10"/>
        <v>-1</v>
      </c>
      <c r="E23" s="100">
        <f t="shared" si="10"/>
        <v>1</v>
      </c>
      <c r="F23" s="75">
        <f t="shared" si="10"/>
        <v>2</v>
      </c>
      <c r="G23" s="13"/>
      <c r="H23" s="31">
        <f t="shared" ref="H23:K25" si="12">H18</f>
        <v>0</v>
      </c>
      <c r="I23" s="31">
        <f t="shared" si="12"/>
        <v>1</v>
      </c>
      <c r="J23" s="31">
        <f t="shared" si="12"/>
        <v>0</v>
      </c>
      <c r="K23" s="31">
        <f t="shared" si="12"/>
        <v>0</v>
      </c>
    </row>
    <row r="24" spans="1:11" ht="15.6">
      <c r="A24" s="13"/>
      <c r="B24" s="75">
        <f>B19-($C$19/$C$18)*B18</f>
        <v>0</v>
      </c>
      <c r="C24" s="75">
        <f>C19-($C$19/$C$18)*C18</f>
        <v>0</v>
      </c>
      <c r="D24" s="75">
        <f t="shared" ref="D24" si="13">D19-($C$19/$C$18)*D18</f>
        <v>1</v>
      </c>
      <c r="E24" s="100">
        <f>E19-($C$19/$C$18)*E18</f>
        <v>-4</v>
      </c>
      <c r="F24" s="75">
        <f t="shared" si="10"/>
        <v>0</v>
      </c>
      <c r="G24" s="13"/>
      <c r="H24" s="31">
        <f t="shared" si="12"/>
        <v>0</v>
      </c>
      <c r="I24" s="31">
        <f>C19/C18</f>
        <v>3</v>
      </c>
      <c r="J24" s="31">
        <f t="shared" si="12"/>
        <v>1</v>
      </c>
      <c r="K24" s="31">
        <f t="shared" si="12"/>
        <v>0</v>
      </c>
    </row>
    <row r="25" spans="1:11" ht="15.6">
      <c r="A25" s="13"/>
      <c r="B25" s="75">
        <f>B20-($C$20/$C$18)*B18</f>
        <v>0</v>
      </c>
      <c r="C25" s="75">
        <f>C20-($C$20/$C$18)*C18</f>
        <v>0</v>
      </c>
      <c r="D25" s="75">
        <f t="shared" ref="D25:E25" si="14">D20-($C$20/$C$18)*D18</f>
        <v>3</v>
      </c>
      <c r="E25" s="100">
        <f t="shared" si="14"/>
        <v>-2</v>
      </c>
      <c r="F25" s="75">
        <f t="shared" si="10"/>
        <v>1</v>
      </c>
      <c r="G25" s="13"/>
      <c r="H25" s="31">
        <f t="shared" si="12"/>
        <v>0</v>
      </c>
      <c r="I25" s="31">
        <f>C20/C18</f>
        <v>1</v>
      </c>
      <c r="J25" s="31">
        <f t="shared" si="12"/>
        <v>0</v>
      </c>
      <c r="K25" s="31">
        <f t="shared" si="12"/>
        <v>1</v>
      </c>
    </row>
    <row r="26" spans="1:11" ht="15.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6">
      <c r="A27" s="5" t="s">
        <v>20</v>
      </c>
      <c r="B27" s="75">
        <f>B22</f>
        <v>3</v>
      </c>
      <c r="C27" s="75">
        <f t="shared" ref="C27:F28" si="15">C22</f>
        <v>-1</v>
      </c>
      <c r="D27" s="75">
        <f t="shared" si="15"/>
        <v>1</v>
      </c>
      <c r="E27" s="100">
        <f t="shared" si="15"/>
        <v>2</v>
      </c>
      <c r="F27" s="75">
        <f t="shared" si="15"/>
        <v>-2</v>
      </c>
      <c r="G27" s="13"/>
      <c r="H27" s="34">
        <f>H22</f>
        <v>1</v>
      </c>
      <c r="I27" s="34">
        <f t="shared" ref="I27:K30" si="16">I22</f>
        <v>0</v>
      </c>
      <c r="J27" s="34">
        <f t="shared" si="16"/>
        <v>0</v>
      </c>
      <c r="K27" s="34">
        <f t="shared" si="16"/>
        <v>0</v>
      </c>
    </row>
    <row r="28" spans="1:11" ht="15.6">
      <c r="A28" s="13"/>
      <c r="B28" s="75">
        <f t="shared" ref="B28:F28" si="17">B23</f>
        <v>0</v>
      </c>
      <c r="C28" s="75">
        <f t="shared" si="17"/>
        <v>1</v>
      </c>
      <c r="D28" s="75">
        <f t="shared" si="17"/>
        <v>-1</v>
      </c>
      <c r="E28" s="100">
        <f t="shared" si="15"/>
        <v>1</v>
      </c>
      <c r="F28" s="75">
        <f t="shared" si="17"/>
        <v>2</v>
      </c>
      <c r="G28" s="13"/>
      <c r="H28" s="34">
        <f>H23</f>
        <v>0</v>
      </c>
      <c r="I28" s="34">
        <f t="shared" si="16"/>
        <v>1</v>
      </c>
      <c r="J28" s="34">
        <f t="shared" si="16"/>
        <v>0</v>
      </c>
      <c r="K28" s="34">
        <f t="shared" si="16"/>
        <v>0</v>
      </c>
    </row>
    <row r="29" spans="1:11" ht="15.6">
      <c r="A29" s="13"/>
      <c r="B29" s="75">
        <f t="shared" ref="B29:C29" si="18">IF($D$24 = 0,IF($D$25=0,"falla",B25),B24)</f>
        <v>0</v>
      </c>
      <c r="C29" s="75">
        <f t="shared" si="18"/>
        <v>0</v>
      </c>
      <c r="D29" s="75">
        <f>IF($D$24 = 0,IF($D$25=0,"falla",D25),D24)</f>
        <v>1</v>
      </c>
      <c r="E29" s="100">
        <f>IF($D$24 = 0,IF($D$25=0,"falla",E25),E24)</f>
        <v>-4</v>
      </c>
      <c r="F29" s="75">
        <f>IF($D$24 = 0,IF($D$25=0,"falla",F25),F24)</f>
        <v>0</v>
      </c>
      <c r="G29" s="75" t="str">
        <f>IF(D29=D24,"aceptado3",IF(D29=D25,"aceptado4","falla"))</f>
        <v>aceptado3</v>
      </c>
      <c r="H29" s="34">
        <f>IF($D$24 = 0,IF($D$25=0,"falla",H25),H24)</f>
        <v>0</v>
      </c>
      <c r="I29" s="34">
        <f>IF($D$24 = 0,IF($D$25=0,"falla",I25),I24)</f>
        <v>3</v>
      </c>
      <c r="J29" s="34">
        <f t="shared" si="16"/>
        <v>1</v>
      </c>
      <c r="K29" s="34">
        <f t="shared" si="16"/>
        <v>0</v>
      </c>
    </row>
    <row r="30" spans="1:11" ht="15.6">
      <c r="A30" s="13"/>
      <c r="B30" s="75">
        <f>IF($G$29="aceptado4",B24,B25)</f>
        <v>0</v>
      </c>
      <c r="C30" s="75">
        <f t="shared" ref="C30:I30" si="19">IF($G$29="aceptado4",C24,C25)</f>
        <v>0</v>
      </c>
      <c r="D30" s="75">
        <f t="shared" si="19"/>
        <v>3</v>
      </c>
      <c r="E30" s="100">
        <f t="shared" si="19"/>
        <v>-2</v>
      </c>
      <c r="F30" s="75">
        <f t="shared" si="19"/>
        <v>1</v>
      </c>
      <c r="G30" s="13"/>
      <c r="H30" s="34">
        <f t="shared" si="19"/>
        <v>0</v>
      </c>
      <c r="I30" s="34">
        <f t="shared" si="19"/>
        <v>1</v>
      </c>
      <c r="J30" s="34">
        <f t="shared" si="16"/>
        <v>0</v>
      </c>
      <c r="K30" s="34">
        <f t="shared" si="16"/>
        <v>1</v>
      </c>
    </row>
    <row r="31" spans="1:11" ht="15.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6">
      <c r="A32" s="6" t="s">
        <v>7</v>
      </c>
      <c r="B32" s="75">
        <f>B27</f>
        <v>3</v>
      </c>
      <c r="C32" s="75">
        <f t="shared" ref="C32:F35" si="20">C27</f>
        <v>-1</v>
      </c>
      <c r="D32" s="75">
        <f t="shared" si="20"/>
        <v>1</v>
      </c>
      <c r="E32" s="100">
        <f t="shared" si="20"/>
        <v>2</v>
      </c>
      <c r="F32" s="75">
        <f>F27</f>
        <v>-2</v>
      </c>
      <c r="G32" s="13"/>
      <c r="H32" s="37">
        <f>H27</f>
        <v>1</v>
      </c>
      <c r="I32" s="37">
        <f t="shared" ref="I32:K32" si="21">I27</f>
        <v>0</v>
      </c>
      <c r="J32" s="37">
        <f t="shared" si="21"/>
        <v>0</v>
      </c>
      <c r="K32" s="37">
        <f t="shared" si="21"/>
        <v>0</v>
      </c>
    </row>
    <row r="33" spans="1:11" ht="15.6">
      <c r="A33" s="13"/>
      <c r="B33" s="75">
        <f>B28</f>
        <v>0</v>
      </c>
      <c r="C33" s="75">
        <f t="shared" si="20"/>
        <v>1</v>
      </c>
      <c r="D33" s="75">
        <f t="shared" si="20"/>
        <v>-1</v>
      </c>
      <c r="E33" s="100">
        <f t="shared" si="20"/>
        <v>1</v>
      </c>
      <c r="F33" s="75">
        <f t="shared" si="20"/>
        <v>2</v>
      </c>
      <c r="G33" s="13"/>
      <c r="H33" s="37">
        <f t="shared" ref="H33:K35" si="22">H28</f>
        <v>0</v>
      </c>
      <c r="I33" s="37">
        <f t="shared" si="22"/>
        <v>1</v>
      </c>
      <c r="J33" s="37">
        <f t="shared" si="22"/>
        <v>0</v>
      </c>
      <c r="K33" s="37">
        <f t="shared" si="22"/>
        <v>0</v>
      </c>
    </row>
    <row r="34" spans="1:11" ht="15.6">
      <c r="A34" s="13"/>
      <c r="B34" s="75">
        <f>B29</f>
        <v>0</v>
      </c>
      <c r="C34" s="75">
        <f t="shared" si="20"/>
        <v>0</v>
      </c>
      <c r="D34" s="75">
        <f t="shared" si="20"/>
        <v>1</v>
      </c>
      <c r="E34" s="100">
        <f t="shared" si="20"/>
        <v>-4</v>
      </c>
      <c r="F34" s="75">
        <f t="shared" si="20"/>
        <v>0</v>
      </c>
      <c r="G34" s="13"/>
      <c r="H34" s="37">
        <f t="shared" si="22"/>
        <v>0</v>
      </c>
      <c r="I34" s="37">
        <f t="shared" si="22"/>
        <v>3</v>
      </c>
      <c r="J34" s="37">
        <f t="shared" si="22"/>
        <v>1</v>
      </c>
      <c r="K34" s="37">
        <f t="shared" si="22"/>
        <v>0</v>
      </c>
    </row>
    <row r="35" spans="1:11" ht="15.6">
      <c r="A35" s="13"/>
      <c r="B35" s="75">
        <f t="shared" ref="B35:C35" si="23">B30-($D$30/$D$29)*B29</f>
        <v>0</v>
      </c>
      <c r="C35" s="75">
        <f t="shared" si="23"/>
        <v>0</v>
      </c>
      <c r="D35" s="75">
        <f>D30-($D$30/$D$29)*D29</f>
        <v>0</v>
      </c>
      <c r="E35" s="100">
        <f>E30-($D$30/$D$29)*E29</f>
        <v>10</v>
      </c>
      <c r="F35" s="75">
        <f t="shared" si="20"/>
        <v>1</v>
      </c>
      <c r="G35" s="13"/>
      <c r="H35" s="37">
        <f t="shared" si="22"/>
        <v>0</v>
      </c>
      <c r="I35" s="37">
        <f t="shared" si="22"/>
        <v>1</v>
      </c>
      <c r="J35" s="37">
        <f>D30/D29</f>
        <v>3</v>
      </c>
      <c r="K35" s="37">
        <f t="shared" si="22"/>
        <v>1</v>
      </c>
    </row>
    <row r="36" spans="1:11" ht="15.6">
      <c r="A36" s="13"/>
      <c r="B36" s="111"/>
      <c r="C36" s="111" t="s">
        <v>8</v>
      </c>
      <c r="D36" s="111"/>
      <c r="E36" s="111"/>
      <c r="F36" s="18" t="s">
        <v>2</v>
      </c>
      <c r="G36" s="99"/>
      <c r="H36" s="99"/>
      <c r="I36" s="99"/>
      <c r="J36" s="99" t="s">
        <v>19</v>
      </c>
      <c r="K36" s="99"/>
    </row>
    <row r="37" spans="1:11" ht="15.6">
      <c r="A37" s="5" t="s">
        <v>23</v>
      </c>
      <c r="B37" s="107">
        <f t="shared" ref="B37:F39" si="24">B32</f>
        <v>3</v>
      </c>
      <c r="C37" s="107">
        <f t="shared" si="24"/>
        <v>-1</v>
      </c>
      <c r="D37" s="107">
        <f t="shared" si="24"/>
        <v>1</v>
      </c>
      <c r="E37" s="107">
        <f t="shared" si="24"/>
        <v>2</v>
      </c>
      <c r="F37" s="31">
        <f t="shared" si="24"/>
        <v>-2</v>
      </c>
      <c r="G37" s="13"/>
      <c r="H37" s="101">
        <f>H32</f>
        <v>1</v>
      </c>
      <c r="I37" s="101">
        <f t="shared" ref="I37:K37" si="25">I32</f>
        <v>0</v>
      </c>
      <c r="J37" s="101">
        <f t="shared" si="25"/>
        <v>0</v>
      </c>
      <c r="K37" s="101">
        <f t="shared" si="25"/>
        <v>0</v>
      </c>
    </row>
    <row r="38" spans="1:11" ht="15.6">
      <c r="A38" s="13"/>
      <c r="B38" s="107">
        <f t="shared" si="24"/>
        <v>0</v>
      </c>
      <c r="C38" s="107">
        <f t="shared" si="24"/>
        <v>1</v>
      </c>
      <c r="D38" s="107">
        <f t="shared" si="24"/>
        <v>-1</v>
      </c>
      <c r="E38" s="107">
        <f t="shared" si="24"/>
        <v>1</v>
      </c>
      <c r="F38" s="31">
        <f t="shared" si="24"/>
        <v>2</v>
      </c>
      <c r="G38" s="13"/>
      <c r="H38" s="101">
        <f t="shared" ref="H38:K40" si="26">H33</f>
        <v>0</v>
      </c>
      <c r="I38" s="101">
        <f t="shared" si="26"/>
        <v>1</v>
      </c>
      <c r="J38" s="101">
        <f t="shared" si="26"/>
        <v>0</v>
      </c>
      <c r="K38" s="101">
        <f t="shared" si="26"/>
        <v>0</v>
      </c>
    </row>
    <row r="39" spans="1:11" ht="15.6">
      <c r="A39" s="13"/>
      <c r="B39" s="107">
        <f t="shared" si="24"/>
        <v>0</v>
      </c>
      <c r="C39" s="107">
        <f t="shared" si="24"/>
        <v>0</v>
      </c>
      <c r="D39" s="115">
        <f t="shared" si="24"/>
        <v>1</v>
      </c>
      <c r="E39" s="107">
        <f t="shared" si="24"/>
        <v>-4</v>
      </c>
      <c r="F39" s="31">
        <f t="shared" si="24"/>
        <v>0</v>
      </c>
      <c r="G39" s="13"/>
      <c r="H39" s="101">
        <f t="shared" si="26"/>
        <v>0</v>
      </c>
      <c r="I39" s="101">
        <f t="shared" si="26"/>
        <v>3</v>
      </c>
      <c r="J39" s="101">
        <f t="shared" si="26"/>
        <v>1</v>
      </c>
      <c r="K39" s="101">
        <f t="shared" si="26"/>
        <v>0</v>
      </c>
    </row>
    <row r="40" spans="1:11" ht="15.6">
      <c r="A40" s="13"/>
      <c r="B40" s="107">
        <f t="shared" ref="B40:D40" si="27">IF($E$35 =0,"Falla",B35)</f>
        <v>0</v>
      </c>
      <c r="C40" s="107">
        <f t="shared" si="27"/>
        <v>0</v>
      </c>
      <c r="D40" s="107">
        <f t="shared" si="27"/>
        <v>0</v>
      </c>
      <c r="E40" s="107">
        <f>IF($E$35 =0,"Falla",E35)</f>
        <v>10</v>
      </c>
      <c r="F40" s="31">
        <f>IF($E$35 =0,"Falla",F35)</f>
        <v>1</v>
      </c>
      <c r="G40" s="13"/>
      <c r="H40" s="101">
        <f t="shared" ref="H40:J40" si="28">IF($E$35 =0,"Falla",H35)</f>
        <v>0</v>
      </c>
      <c r="I40" s="101">
        <f t="shared" si="28"/>
        <v>1</v>
      </c>
      <c r="J40" s="101">
        <f t="shared" si="28"/>
        <v>3</v>
      </c>
      <c r="K40" s="101">
        <f t="shared" si="26"/>
        <v>1</v>
      </c>
    </row>
    <row r="41" spans="1:11" ht="15.6">
      <c r="A41" s="13"/>
      <c r="B41" s="75"/>
      <c r="C41" s="75"/>
      <c r="D41" s="75"/>
      <c r="E41" s="75"/>
      <c r="F41" s="18" t="s">
        <v>10</v>
      </c>
      <c r="G41" s="98"/>
      <c r="H41" s="18" t="s">
        <v>11</v>
      </c>
      <c r="I41" s="13"/>
      <c r="J41" s="13"/>
      <c r="K41" s="13"/>
    </row>
    <row r="42" spans="1:11" ht="15.6">
      <c r="A42" s="13"/>
      <c r="B42" s="13"/>
      <c r="C42" s="13"/>
      <c r="D42" s="13"/>
      <c r="E42" s="13"/>
      <c r="F42" s="112">
        <f>(H42-E37*F45-D37*F44-C37*F43)/B37</f>
        <v>-1.7000000000000002</v>
      </c>
      <c r="G42" s="13"/>
      <c r="H42" s="114">
        <f>F37</f>
        <v>-2</v>
      </c>
      <c r="I42" s="13"/>
      <c r="J42" s="13"/>
      <c r="K42" s="13"/>
    </row>
    <row r="43" spans="1:11" ht="15.6">
      <c r="A43" s="13"/>
      <c r="B43" s="13"/>
      <c r="C43" s="13"/>
      <c r="D43" s="13"/>
      <c r="E43" s="13"/>
      <c r="F43" s="112">
        <f>(H43-E38*F45-D38*F44)/C38</f>
        <v>1.0999999999999999</v>
      </c>
      <c r="G43" s="13"/>
      <c r="H43" s="114">
        <f>F38-(H38*F37)</f>
        <v>2</v>
      </c>
      <c r="I43" s="13"/>
      <c r="J43" s="13"/>
      <c r="K43" s="13"/>
    </row>
    <row r="44" spans="1:11" ht="15.6">
      <c r="A44" s="13"/>
      <c r="B44" s="13"/>
      <c r="C44" s="13"/>
      <c r="D44" s="13"/>
      <c r="E44" s="13"/>
      <c r="F44" s="112">
        <f>(H44-E39*F45)/D39</f>
        <v>0.79999999999999982</v>
      </c>
      <c r="G44" s="13"/>
      <c r="H44" s="114">
        <f>F39-(H39*F37)-(I39*H43)</f>
        <v>-6</v>
      </c>
      <c r="I44" s="13"/>
      <c r="J44" s="13"/>
      <c r="K44" s="13"/>
    </row>
    <row r="45" spans="1:11" ht="15.6">
      <c r="A45" s="13"/>
      <c r="B45" s="13"/>
      <c r="C45" s="13"/>
      <c r="D45" s="13"/>
      <c r="E45" s="13"/>
      <c r="F45" s="112">
        <f>H45/E40</f>
        <v>1.7</v>
      </c>
      <c r="G45" s="13"/>
      <c r="H45" s="114">
        <f>F40-(H40*F37)-(I40*H43)-(J40*H44)</f>
        <v>17</v>
      </c>
      <c r="I45" s="13"/>
      <c r="J45" s="13"/>
      <c r="K45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A260-0ABB-4ABD-BA30-799735F055AB}">
  <dimension ref="A1:K45"/>
  <sheetViews>
    <sheetView zoomScaleNormal="100" workbookViewId="0">
      <selection activeCell="I13" sqref="I13:K15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11" ht="15.6">
      <c r="A1" s="97" t="s">
        <v>22</v>
      </c>
      <c r="B1" s="99"/>
      <c r="C1" s="99"/>
      <c r="D1" s="99" t="s">
        <v>1</v>
      </c>
      <c r="E1" s="99"/>
      <c r="F1" s="98" t="s">
        <v>2</v>
      </c>
      <c r="G1" s="75" t="s">
        <v>3</v>
      </c>
      <c r="H1" s="97" t="s">
        <v>4</v>
      </c>
      <c r="I1" s="13"/>
      <c r="J1" s="13"/>
      <c r="K1" s="13"/>
    </row>
    <row r="2" spans="1:11" ht="15.6">
      <c r="A2" s="75"/>
      <c r="B2" s="109">
        <v>3</v>
      </c>
      <c r="C2" s="109">
        <v>2</v>
      </c>
      <c r="D2" s="109">
        <v>1</v>
      </c>
      <c r="E2" s="110">
        <v>-1</v>
      </c>
      <c r="F2" s="106">
        <v>1</v>
      </c>
      <c r="G2" s="13"/>
      <c r="H2" s="75" cm="1">
        <f t="array" ref="H2:H5">MMULT(B2:E5,F42:F45)</f>
        <v>1</v>
      </c>
      <c r="I2" s="75"/>
      <c r="J2" s="75"/>
      <c r="K2" s="75"/>
    </row>
    <row r="3" spans="1:11" ht="15.6">
      <c r="A3" s="75"/>
      <c r="B3" s="109">
        <v>-1</v>
      </c>
      <c r="C3" s="109">
        <v>4</v>
      </c>
      <c r="D3" s="109">
        <v>-1</v>
      </c>
      <c r="E3" s="110">
        <v>8</v>
      </c>
      <c r="F3" s="106">
        <v>7</v>
      </c>
      <c r="G3" s="13"/>
      <c r="H3" s="75">
        <v>7</v>
      </c>
      <c r="I3" s="75"/>
      <c r="J3" s="75"/>
      <c r="K3" s="75"/>
    </row>
    <row r="4" spans="1:11" ht="15.6">
      <c r="A4" s="75"/>
      <c r="B4" s="109">
        <v>2</v>
      </c>
      <c r="C4" s="109">
        <v>1</v>
      </c>
      <c r="D4" s="109">
        <v>-5</v>
      </c>
      <c r="E4" s="110">
        <v>3</v>
      </c>
      <c r="F4" s="106">
        <v>-14</v>
      </c>
      <c r="G4" s="13"/>
      <c r="H4" s="75">
        <v>-14</v>
      </c>
      <c r="I4" s="75"/>
      <c r="J4" s="75"/>
      <c r="K4" s="75"/>
    </row>
    <row r="5" spans="1:11" ht="15.6">
      <c r="A5" s="75"/>
      <c r="B5" s="109">
        <v>1</v>
      </c>
      <c r="C5" s="109">
        <v>1</v>
      </c>
      <c r="D5" s="109">
        <v>-1</v>
      </c>
      <c r="E5" s="110">
        <v>2</v>
      </c>
      <c r="F5" s="106">
        <v>-4</v>
      </c>
      <c r="G5" s="13"/>
      <c r="H5" s="75">
        <v>-4</v>
      </c>
      <c r="I5" s="75"/>
      <c r="J5" s="75"/>
      <c r="K5" s="75"/>
    </row>
    <row r="6" spans="1:11" ht="15.6">
      <c r="A6" s="13"/>
      <c r="B6" s="13"/>
      <c r="C6" s="13"/>
      <c r="D6" s="13"/>
      <c r="E6" s="13"/>
      <c r="F6" s="13"/>
      <c r="G6" s="13"/>
      <c r="H6" s="99"/>
      <c r="I6" s="99"/>
      <c r="J6" s="99" t="s">
        <v>6</v>
      </c>
      <c r="K6" s="99"/>
    </row>
    <row r="7" spans="1:11" ht="15.6">
      <c r="A7" s="5" t="s">
        <v>5</v>
      </c>
      <c r="B7" s="76">
        <f>IF($B$2=0,IF($B$3=0,IF($B$4=0,IF($B$5=0,"falla",B5),B4),B3),B2)</f>
        <v>3</v>
      </c>
      <c r="C7" s="76">
        <f t="shared" ref="C7:F7" si="0">IF($B$2=0,IF($B$3=0,IF($B$4=0,IF($B$5=0,"falla",C5),C4),C3),C2)</f>
        <v>2</v>
      </c>
      <c r="D7" s="76">
        <f t="shared" si="0"/>
        <v>1</v>
      </c>
      <c r="E7" s="126">
        <f t="shared" si="0"/>
        <v>-1</v>
      </c>
      <c r="F7" s="76">
        <f t="shared" si="0"/>
        <v>1</v>
      </c>
      <c r="G7" s="116" t="str">
        <f>IF(B7=B2,"aceptado1",IF(B7=B3,"aceptado2",IF(B7=B4,"aceptado3",IF(B7=B5,"aceptado4","falla"))))</f>
        <v>aceptado1</v>
      </c>
      <c r="H7" s="76" cm="1">
        <f t="array" ref="H7:K10">MMULT(H37:K40,B37:E40)</f>
        <v>3</v>
      </c>
      <c r="I7" s="76">
        <v>2</v>
      </c>
      <c r="J7" s="76">
        <v>1</v>
      </c>
      <c r="K7" s="76">
        <v>-1</v>
      </c>
    </row>
    <row r="8" spans="1:11" ht="15.6">
      <c r="A8" s="13"/>
      <c r="B8" s="76">
        <f>IF($G$7="aceptado2",B2,B3)</f>
        <v>-1</v>
      </c>
      <c r="C8" s="76">
        <f>IF($G$7="aceptado2",C2,C3)</f>
        <v>4</v>
      </c>
      <c r="D8" s="76">
        <f>IF($G$7="aceptado2",D2,D3)</f>
        <v>-1</v>
      </c>
      <c r="E8" s="126">
        <f>IF($G$7="aceptado2",E2,E3)</f>
        <v>8</v>
      </c>
      <c r="F8" s="76">
        <f>IF($G$7="aceptado2",F2,F3)</f>
        <v>7</v>
      </c>
      <c r="G8" s="116"/>
      <c r="H8" s="76">
        <v>-1</v>
      </c>
      <c r="I8" s="76">
        <v>4</v>
      </c>
      <c r="J8" s="76">
        <v>-1</v>
      </c>
      <c r="K8" s="76">
        <v>8</v>
      </c>
    </row>
    <row r="9" spans="1:11" ht="15.6">
      <c r="A9" s="13"/>
      <c r="B9" s="76">
        <f>IF($G$7="aceptado3",B2,B4)</f>
        <v>2</v>
      </c>
      <c r="C9" s="76">
        <f>IF($G$7="aceptado3",C2,C4)</f>
        <v>1</v>
      </c>
      <c r="D9" s="76">
        <f>IF($G$7="aceptado3",D2,D4)</f>
        <v>-5</v>
      </c>
      <c r="E9" s="126">
        <f>IF($G$7="aceptado3",E2,E4)</f>
        <v>3</v>
      </c>
      <c r="F9" s="76">
        <f>IF($G$7="aceptado3",F2,F4)</f>
        <v>-14</v>
      </c>
      <c r="G9" s="116"/>
      <c r="H9" s="76">
        <v>2</v>
      </c>
      <c r="I9" s="76">
        <v>1</v>
      </c>
      <c r="J9" s="76">
        <v>-5</v>
      </c>
      <c r="K9" s="76">
        <v>2.9999999999999996</v>
      </c>
    </row>
    <row r="10" spans="1:11" ht="15.6">
      <c r="A10" s="13"/>
      <c r="B10" s="76">
        <f>IF($G$7="aceptado4",B2,B5)</f>
        <v>1</v>
      </c>
      <c r="C10" s="76">
        <f t="shared" ref="C10:F10" si="1">IF($G$7="aceptado4",C2,C5)</f>
        <v>1</v>
      </c>
      <c r="D10" s="76">
        <f t="shared" si="1"/>
        <v>-1</v>
      </c>
      <c r="E10" s="126">
        <f t="shared" si="1"/>
        <v>2</v>
      </c>
      <c r="F10" s="76">
        <f t="shared" si="1"/>
        <v>-4</v>
      </c>
      <c r="G10" s="116"/>
      <c r="H10" s="76">
        <v>1</v>
      </c>
      <c r="I10" s="76">
        <v>1</v>
      </c>
      <c r="J10" s="76">
        <v>-0.99999999999999989</v>
      </c>
      <c r="K10" s="76">
        <v>2</v>
      </c>
    </row>
    <row r="11" spans="1:11" ht="15.6">
      <c r="A11" s="13"/>
      <c r="B11" s="116"/>
      <c r="C11" s="116"/>
      <c r="D11" s="116"/>
      <c r="E11" s="116"/>
      <c r="F11" s="116"/>
      <c r="G11" s="116"/>
      <c r="H11" s="118"/>
      <c r="I11" s="118"/>
      <c r="J11" s="118"/>
      <c r="K11" s="118"/>
    </row>
    <row r="12" spans="1:11" ht="15.6">
      <c r="A12" s="6" t="s">
        <v>7</v>
      </c>
      <c r="B12" s="76">
        <f>B7</f>
        <v>3</v>
      </c>
      <c r="C12" s="76">
        <f t="shared" ref="C12:F15" si="2">C7</f>
        <v>2</v>
      </c>
      <c r="D12" s="76">
        <f t="shared" si="2"/>
        <v>1</v>
      </c>
      <c r="E12" s="126">
        <f>E7</f>
        <v>-1</v>
      </c>
      <c r="F12" s="76">
        <f t="shared" si="2"/>
        <v>1</v>
      </c>
      <c r="G12" s="116"/>
      <c r="H12" s="76">
        <v>1</v>
      </c>
      <c r="I12" s="76">
        <v>0</v>
      </c>
      <c r="J12" s="76">
        <v>0</v>
      </c>
      <c r="K12" s="76">
        <v>0</v>
      </c>
    </row>
    <row r="13" spans="1:11" ht="15.6">
      <c r="A13" s="13"/>
      <c r="B13" s="76">
        <f>B8-($B$8/$B$7)*B7</f>
        <v>0</v>
      </c>
      <c r="C13" s="116">
        <f t="shared" ref="C13:D13" si="3">C8-($B$8/$B$7)*C7</f>
        <v>4.666666666666667</v>
      </c>
      <c r="D13" s="116">
        <f t="shared" si="3"/>
        <v>-0.66666666666666674</v>
      </c>
      <c r="E13" s="117">
        <f>E8-($B$8/$B$7)*E7</f>
        <v>7.666666666666667</v>
      </c>
      <c r="F13" s="76">
        <f t="shared" si="2"/>
        <v>7</v>
      </c>
      <c r="G13" s="116"/>
      <c r="H13" s="116">
        <f>B8/B7</f>
        <v>-0.33333333333333331</v>
      </c>
      <c r="I13" s="76">
        <v>1</v>
      </c>
      <c r="J13" s="76">
        <v>0</v>
      </c>
      <c r="K13" s="76">
        <v>0</v>
      </c>
    </row>
    <row r="14" spans="1:11" ht="15.6">
      <c r="A14" s="13"/>
      <c r="B14" s="76">
        <f>B9-($B$9/$B$7)*B7</f>
        <v>0</v>
      </c>
      <c r="C14" s="116">
        <f t="shared" ref="C14:D14" si="4">C9-($B$9/$B$7)*C7</f>
        <v>-0.33333333333333326</v>
      </c>
      <c r="D14" s="116">
        <f t="shared" si="4"/>
        <v>-5.666666666666667</v>
      </c>
      <c r="E14" s="117">
        <f>E9-($B$9/$B$7)*E7</f>
        <v>3.6666666666666665</v>
      </c>
      <c r="F14" s="76">
        <f t="shared" si="2"/>
        <v>-14</v>
      </c>
      <c r="G14" s="116"/>
      <c r="H14" s="116">
        <f>B9/B7</f>
        <v>0.66666666666666663</v>
      </c>
      <c r="I14" s="76"/>
      <c r="J14" s="76">
        <v>1</v>
      </c>
      <c r="K14" s="76">
        <v>0</v>
      </c>
    </row>
    <row r="15" spans="1:11" ht="15.6">
      <c r="A15" s="13"/>
      <c r="B15" s="76">
        <f>B10-($B$10/$B$7)*B7</f>
        <v>0</v>
      </c>
      <c r="C15" s="116">
        <f t="shared" ref="C15:E15" si="5">C10-($B$10/$B$7)*C7</f>
        <v>0.33333333333333337</v>
      </c>
      <c r="D15" s="116">
        <f t="shared" si="5"/>
        <v>-1.3333333333333333</v>
      </c>
      <c r="E15" s="117">
        <f t="shared" si="5"/>
        <v>2.3333333333333335</v>
      </c>
      <c r="F15" s="76">
        <f t="shared" si="2"/>
        <v>-4</v>
      </c>
      <c r="G15" s="116"/>
      <c r="H15" s="116">
        <f>B10/B7</f>
        <v>0.33333333333333331</v>
      </c>
      <c r="I15" s="76"/>
      <c r="J15" s="76"/>
      <c r="K15" s="76">
        <v>1</v>
      </c>
    </row>
    <row r="16" spans="1:11" ht="15.6">
      <c r="A16" s="13"/>
      <c r="B16" s="116"/>
      <c r="C16" s="116"/>
      <c r="D16" s="116"/>
      <c r="E16" s="116"/>
      <c r="F16" s="116"/>
      <c r="G16" s="116"/>
      <c r="H16" s="118"/>
      <c r="I16" s="118"/>
      <c r="J16" s="118"/>
      <c r="K16" s="118"/>
    </row>
    <row r="17" spans="1:11" ht="15.6">
      <c r="A17" s="5" t="s">
        <v>9</v>
      </c>
      <c r="B17" s="76">
        <f>B12</f>
        <v>3</v>
      </c>
      <c r="C17" s="76">
        <f t="shared" ref="C17:F17" si="6">C12</f>
        <v>2</v>
      </c>
      <c r="D17" s="76">
        <f t="shared" si="6"/>
        <v>1</v>
      </c>
      <c r="E17" s="126">
        <f>E12</f>
        <v>-1</v>
      </c>
      <c r="F17" s="76">
        <f t="shared" si="6"/>
        <v>1</v>
      </c>
      <c r="G17" s="116"/>
      <c r="H17" s="76">
        <f>H12</f>
        <v>1</v>
      </c>
      <c r="I17" s="76">
        <f>I12</f>
        <v>0</v>
      </c>
      <c r="J17" s="76">
        <f>J12</f>
        <v>0</v>
      </c>
      <c r="K17" s="76">
        <f>K12</f>
        <v>0</v>
      </c>
    </row>
    <row r="18" spans="1:11" ht="15.6">
      <c r="A18" s="13"/>
      <c r="B18" s="76">
        <f>IF($C$13 =0,IF($C$14 = 0,IF($C$15=0,"falla",B15),B14),B13)</f>
        <v>0</v>
      </c>
      <c r="C18" s="116">
        <f>IF($C$13 =0,IF($C$14 = 0,IF($C$15=0,"falla",C15),C14),C13)</f>
        <v>4.666666666666667</v>
      </c>
      <c r="D18" s="116">
        <f t="shared" ref="D18:F18" si="7">IF($C$13 =0,IF($C$14 = 0,IF($C$15=0,"falla",D15),D14),D13)</f>
        <v>-0.66666666666666674</v>
      </c>
      <c r="E18" s="117">
        <f t="shared" si="7"/>
        <v>7.666666666666667</v>
      </c>
      <c r="F18" s="76">
        <f t="shared" si="7"/>
        <v>7</v>
      </c>
      <c r="G18" s="116" t="str">
        <f>IF(C18=C13,"aceptado2",IF(C18=C14,"aceptado3", IF(C18=C15,"aceptado4","falla")))</f>
        <v>aceptado2</v>
      </c>
      <c r="H18" s="116">
        <f>IF($C$13 =0,IF($C$14 = 0,IF($C$15=0,"falla",H15),H14),H13)</f>
        <v>-0.33333333333333331</v>
      </c>
      <c r="I18" s="76">
        <f t="shared" ref="I18:K20" si="8">I13</f>
        <v>1</v>
      </c>
      <c r="J18" s="76">
        <f t="shared" si="8"/>
        <v>0</v>
      </c>
      <c r="K18" s="76">
        <f t="shared" si="8"/>
        <v>0</v>
      </c>
    </row>
    <row r="19" spans="1:11" ht="15.6">
      <c r="A19" s="13"/>
      <c r="B19" s="76">
        <f>IF($G$18="aceptado3",B13,B14)</f>
        <v>0</v>
      </c>
      <c r="C19" s="116">
        <f>IF($G$18="aceptado3",C13,C14)</f>
        <v>-0.33333333333333326</v>
      </c>
      <c r="D19" s="116">
        <f>IF($G$18="aceptado3",D13,D14)</f>
        <v>-5.666666666666667</v>
      </c>
      <c r="E19" s="117">
        <f>IF($G$18="aceptado3",E13,E14)</f>
        <v>3.6666666666666665</v>
      </c>
      <c r="F19" s="76">
        <f>IF($G$18="aceptado3",F13,F14)</f>
        <v>-14</v>
      </c>
      <c r="G19" s="118"/>
      <c r="H19" s="116">
        <f>IF($G$18="aceptado3",H13,H14)</f>
        <v>0.66666666666666663</v>
      </c>
      <c r="I19" s="76">
        <f>IF($G$18="aceptado3",I13,I14)</f>
        <v>0</v>
      </c>
      <c r="J19" s="76">
        <f t="shared" si="8"/>
        <v>1</v>
      </c>
      <c r="K19" s="76">
        <f t="shared" si="8"/>
        <v>0</v>
      </c>
    </row>
    <row r="20" spans="1:11" ht="15.6">
      <c r="A20" s="13"/>
      <c r="B20" s="76">
        <f>IF($G$18="aceptado4",B13,B15)</f>
        <v>0</v>
      </c>
      <c r="C20" s="116">
        <f t="shared" ref="C20:J20" si="9">IF($G$18="aceptado4",C13,C15)</f>
        <v>0.33333333333333337</v>
      </c>
      <c r="D20" s="116">
        <f t="shared" si="9"/>
        <v>-1.3333333333333333</v>
      </c>
      <c r="E20" s="117">
        <f t="shared" si="9"/>
        <v>2.3333333333333335</v>
      </c>
      <c r="F20" s="76">
        <f t="shared" si="9"/>
        <v>-4</v>
      </c>
      <c r="G20" s="118"/>
      <c r="H20" s="116">
        <f t="shared" si="9"/>
        <v>0.33333333333333331</v>
      </c>
      <c r="I20" s="76">
        <f t="shared" si="9"/>
        <v>0</v>
      </c>
      <c r="J20" s="76">
        <f t="shared" si="9"/>
        <v>0</v>
      </c>
      <c r="K20" s="76">
        <f t="shared" si="8"/>
        <v>1</v>
      </c>
    </row>
    <row r="21" spans="1:11" ht="15.6">
      <c r="A21" s="13"/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1:11" ht="15.6">
      <c r="A22" s="6" t="s">
        <v>7</v>
      </c>
      <c r="B22" s="76">
        <f>B17</f>
        <v>3</v>
      </c>
      <c r="C22" s="76">
        <f t="shared" ref="C22:F25" si="10">C17</f>
        <v>2</v>
      </c>
      <c r="D22" s="76">
        <f t="shared" si="10"/>
        <v>1</v>
      </c>
      <c r="E22" s="126">
        <f t="shared" si="10"/>
        <v>-1</v>
      </c>
      <c r="F22" s="76">
        <f>F17</f>
        <v>1</v>
      </c>
      <c r="G22" s="118"/>
      <c r="H22" s="93">
        <f>H17</f>
        <v>1</v>
      </c>
      <c r="I22" s="93">
        <f t="shared" ref="I22:K22" si="11">I17</f>
        <v>0</v>
      </c>
      <c r="J22" s="93">
        <f t="shared" si="11"/>
        <v>0</v>
      </c>
      <c r="K22" s="93">
        <f t="shared" si="11"/>
        <v>0</v>
      </c>
    </row>
    <row r="23" spans="1:11" ht="15.6">
      <c r="A23" s="13"/>
      <c r="B23" s="76">
        <f>B18</f>
        <v>0</v>
      </c>
      <c r="C23" s="116">
        <f t="shared" si="10"/>
        <v>4.666666666666667</v>
      </c>
      <c r="D23" s="116">
        <f t="shared" si="10"/>
        <v>-0.66666666666666674</v>
      </c>
      <c r="E23" s="117">
        <f t="shared" si="10"/>
        <v>7.666666666666667</v>
      </c>
      <c r="F23" s="76">
        <f t="shared" si="10"/>
        <v>7</v>
      </c>
      <c r="G23" s="118"/>
      <c r="H23" s="119">
        <f t="shared" ref="H23:K25" si="12">H18</f>
        <v>-0.33333333333333331</v>
      </c>
      <c r="I23" s="93">
        <f t="shared" si="12"/>
        <v>1</v>
      </c>
      <c r="J23" s="93">
        <f t="shared" si="12"/>
        <v>0</v>
      </c>
      <c r="K23" s="93">
        <f t="shared" si="12"/>
        <v>0</v>
      </c>
    </row>
    <row r="24" spans="1:11" ht="15.6">
      <c r="A24" s="13"/>
      <c r="B24" s="76">
        <f>B19-($C$19/$C$18)*B18</f>
        <v>0</v>
      </c>
      <c r="C24" s="116">
        <f>C19-($C$19/$C$18)*C18</f>
        <v>0</v>
      </c>
      <c r="D24" s="116">
        <f t="shared" ref="D24" si="13">D19-($C$19/$C$18)*D18</f>
        <v>-5.7142857142857144</v>
      </c>
      <c r="E24" s="117">
        <f>E19-($C$19/$C$18)*E18</f>
        <v>4.2142857142857135</v>
      </c>
      <c r="F24" s="76">
        <f t="shared" si="10"/>
        <v>-14</v>
      </c>
      <c r="G24" s="118"/>
      <c r="H24" s="119">
        <f t="shared" si="12"/>
        <v>0.66666666666666663</v>
      </c>
      <c r="I24" s="119">
        <f>C19/C18</f>
        <v>-7.1428571428571411E-2</v>
      </c>
      <c r="J24" s="93">
        <f t="shared" si="12"/>
        <v>1</v>
      </c>
      <c r="K24" s="93">
        <f t="shared" si="12"/>
        <v>0</v>
      </c>
    </row>
    <row r="25" spans="1:11" ht="15.6">
      <c r="A25" s="13"/>
      <c r="B25" s="76">
        <f>B20-($C$20/$C$18)*B18</f>
        <v>0</v>
      </c>
      <c r="C25" s="116">
        <f>C20-($C$20/$C$18)*C18</f>
        <v>0</v>
      </c>
      <c r="D25" s="116">
        <f t="shared" ref="D25:E25" si="14">D20-($C$20/$C$18)*D18</f>
        <v>-1.2857142857142856</v>
      </c>
      <c r="E25" s="117">
        <f t="shared" si="14"/>
        <v>1.7857142857142858</v>
      </c>
      <c r="F25" s="76">
        <f t="shared" si="10"/>
        <v>-4</v>
      </c>
      <c r="G25" s="118"/>
      <c r="H25" s="119">
        <f t="shared" si="12"/>
        <v>0.33333333333333331</v>
      </c>
      <c r="I25" s="119">
        <f>C20/C18</f>
        <v>7.1428571428571438E-2</v>
      </c>
      <c r="J25" s="93">
        <f t="shared" si="12"/>
        <v>0</v>
      </c>
      <c r="K25" s="93">
        <f t="shared" si="12"/>
        <v>1</v>
      </c>
    </row>
    <row r="26" spans="1:11" ht="15.6">
      <c r="A26" s="13"/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1:11" ht="15.6">
      <c r="A27" s="5" t="s">
        <v>20</v>
      </c>
      <c r="B27" s="76">
        <f>B22</f>
        <v>3</v>
      </c>
      <c r="C27" s="76">
        <f t="shared" ref="C27:F28" si="15">C22</f>
        <v>2</v>
      </c>
      <c r="D27" s="76">
        <f t="shared" si="15"/>
        <v>1</v>
      </c>
      <c r="E27" s="126">
        <f t="shared" si="15"/>
        <v>-1</v>
      </c>
      <c r="F27" s="76">
        <f t="shared" si="15"/>
        <v>1</v>
      </c>
      <c r="G27" s="118"/>
      <c r="H27" s="77">
        <f>H22</f>
        <v>1</v>
      </c>
      <c r="I27" s="77">
        <f t="shared" ref="I27:K30" si="16">I22</f>
        <v>0</v>
      </c>
      <c r="J27" s="77">
        <f t="shared" si="16"/>
        <v>0</v>
      </c>
      <c r="K27" s="77">
        <f t="shared" si="16"/>
        <v>0</v>
      </c>
    </row>
    <row r="28" spans="1:11" ht="15.6">
      <c r="A28" s="13"/>
      <c r="B28" s="76">
        <f t="shared" ref="B28:F28" si="17">B23</f>
        <v>0</v>
      </c>
      <c r="C28" s="116">
        <f t="shared" si="17"/>
        <v>4.666666666666667</v>
      </c>
      <c r="D28" s="116">
        <f t="shared" si="17"/>
        <v>-0.66666666666666674</v>
      </c>
      <c r="E28" s="117">
        <f t="shared" si="15"/>
        <v>7.666666666666667</v>
      </c>
      <c r="F28" s="76">
        <f t="shared" si="17"/>
        <v>7</v>
      </c>
      <c r="G28" s="118"/>
      <c r="H28" s="42">
        <f>H23</f>
        <v>-0.33333333333333331</v>
      </c>
      <c r="I28" s="77">
        <f t="shared" si="16"/>
        <v>1</v>
      </c>
      <c r="J28" s="77">
        <f t="shared" si="16"/>
        <v>0</v>
      </c>
      <c r="K28" s="77">
        <f t="shared" si="16"/>
        <v>0</v>
      </c>
    </row>
    <row r="29" spans="1:11" ht="15.6">
      <c r="A29" s="13"/>
      <c r="B29" s="76">
        <f t="shared" ref="B29:C29" si="18">IF($D$24 = 0,IF($D$25=0,"falla",B25),B24)</f>
        <v>0</v>
      </c>
      <c r="C29" s="76">
        <f t="shared" si="18"/>
        <v>0</v>
      </c>
      <c r="D29" s="116">
        <f>IF($D$24 = 0,IF($D$25=0,"falla",D25),D24)</f>
        <v>-5.7142857142857144</v>
      </c>
      <c r="E29" s="117">
        <f>IF($D$24 = 0,IF($D$25=0,"falla",E25),E24)</f>
        <v>4.2142857142857135</v>
      </c>
      <c r="F29" s="76">
        <f>IF($D$24 = 0,IF($D$25=0,"falla",F25),F24)</f>
        <v>-14</v>
      </c>
      <c r="G29" s="116" t="str">
        <f>IF(D29=D24,"aceptado3",IF(D29=D25,"aceptado4","falla"))</f>
        <v>aceptado3</v>
      </c>
      <c r="H29" s="42">
        <f>IF($D$24 = 0,IF($D$25=0,"falla",H25),H24)</f>
        <v>0.66666666666666663</v>
      </c>
      <c r="I29" s="42">
        <f>IF($D$24 = 0,IF($D$25=0,"falla",I25),I24)</f>
        <v>-7.1428571428571411E-2</v>
      </c>
      <c r="J29" s="77">
        <f t="shared" si="16"/>
        <v>1</v>
      </c>
      <c r="K29" s="77">
        <f t="shared" si="16"/>
        <v>0</v>
      </c>
    </row>
    <row r="30" spans="1:11" ht="15.6">
      <c r="A30" s="13"/>
      <c r="B30" s="76">
        <f>IF($G$29="aceptado4",B24,B25)</f>
        <v>0</v>
      </c>
      <c r="C30" s="76">
        <f t="shared" ref="C30:I30" si="19">IF($G$29="aceptado4",C24,C25)</f>
        <v>0</v>
      </c>
      <c r="D30" s="116">
        <f t="shared" si="19"/>
        <v>-1.2857142857142856</v>
      </c>
      <c r="E30" s="117">
        <f t="shared" si="19"/>
        <v>1.7857142857142858</v>
      </c>
      <c r="F30" s="76">
        <f t="shared" si="19"/>
        <v>-4</v>
      </c>
      <c r="G30" s="118"/>
      <c r="H30" s="42">
        <f t="shared" si="19"/>
        <v>0.33333333333333331</v>
      </c>
      <c r="I30" s="42">
        <f t="shared" si="19"/>
        <v>7.1428571428571438E-2</v>
      </c>
      <c r="J30" s="77">
        <f t="shared" si="16"/>
        <v>0</v>
      </c>
      <c r="K30" s="77">
        <f t="shared" si="16"/>
        <v>1</v>
      </c>
    </row>
    <row r="31" spans="1:11" ht="15.6">
      <c r="A31" s="13"/>
      <c r="B31" s="118"/>
      <c r="C31" s="118"/>
      <c r="D31" s="118"/>
      <c r="E31" s="118"/>
      <c r="F31" s="118"/>
      <c r="G31" s="118"/>
      <c r="H31" s="118"/>
      <c r="I31" s="118"/>
      <c r="J31" s="118"/>
      <c r="K31" s="118"/>
    </row>
    <row r="32" spans="1:11" ht="15.6">
      <c r="A32" s="6" t="s">
        <v>7</v>
      </c>
      <c r="B32" s="76">
        <f>B27</f>
        <v>3</v>
      </c>
      <c r="C32" s="76">
        <f t="shared" ref="C32:F35" si="20">C27</f>
        <v>2</v>
      </c>
      <c r="D32" s="76">
        <f t="shared" si="20"/>
        <v>1</v>
      </c>
      <c r="E32" s="126">
        <f t="shared" si="20"/>
        <v>-1</v>
      </c>
      <c r="F32" s="76">
        <f>F27</f>
        <v>1</v>
      </c>
      <c r="G32" s="118"/>
      <c r="H32" s="79">
        <f>H27</f>
        <v>1</v>
      </c>
      <c r="I32" s="79">
        <f t="shared" ref="I32:K32" si="21">I27</f>
        <v>0</v>
      </c>
      <c r="J32" s="79">
        <f t="shared" si="21"/>
        <v>0</v>
      </c>
      <c r="K32" s="79">
        <f t="shared" si="21"/>
        <v>0</v>
      </c>
    </row>
    <row r="33" spans="1:11" ht="15.6">
      <c r="A33" s="13"/>
      <c r="B33" s="76">
        <f>B28</f>
        <v>0</v>
      </c>
      <c r="C33" s="116">
        <f t="shared" si="20"/>
        <v>4.666666666666667</v>
      </c>
      <c r="D33" s="116">
        <f t="shared" si="20"/>
        <v>-0.66666666666666674</v>
      </c>
      <c r="E33" s="117">
        <f t="shared" si="20"/>
        <v>7.666666666666667</v>
      </c>
      <c r="F33" s="76">
        <f t="shared" si="20"/>
        <v>7</v>
      </c>
      <c r="G33" s="118"/>
      <c r="H33" s="120">
        <f t="shared" ref="H33:K35" si="22">H28</f>
        <v>-0.33333333333333331</v>
      </c>
      <c r="I33" s="79">
        <f t="shared" si="22"/>
        <v>1</v>
      </c>
      <c r="J33" s="79">
        <f t="shared" si="22"/>
        <v>0</v>
      </c>
      <c r="K33" s="79">
        <f t="shared" si="22"/>
        <v>0</v>
      </c>
    </row>
    <row r="34" spans="1:11" ht="15.6">
      <c r="A34" s="13"/>
      <c r="B34" s="76">
        <f>B29</f>
        <v>0</v>
      </c>
      <c r="C34" s="76">
        <f t="shared" si="20"/>
        <v>0</v>
      </c>
      <c r="D34" s="116">
        <f t="shared" si="20"/>
        <v>-5.7142857142857144</v>
      </c>
      <c r="E34" s="117">
        <f t="shared" si="20"/>
        <v>4.2142857142857135</v>
      </c>
      <c r="F34" s="76">
        <f t="shared" si="20"/>
        <v>-14</v>
      </c>
      <c r="G34" s="118"/>
      <c r="H34" s="120">
        <f t="shared" si="22"/>
        <v>0.66666666666666663</v>
      </c>
      <c r="I34" s="120">
        <f t="shared" si="22"/>
        <v>-7.1428571428571411E-2</v>
      </c>
      <c r="J34" s="79">
        <f t="shared" si="22"/>
        <v>1</v>
      </c>
      <c r="K34" s="79">
        <f t="shared" si="22"/>
        <v>0</v>
      </c>
    </row>
    <row r="35" spans="1:11" ht="15.6">
      <c r="A35" s="13"/>
      <c r="B35" s="76">
        <f t="shared" ref="B35:C35" si="23">B30-($D$30/$D$29)*B29</f>
        <v>0</v>
      </c>
      <c r="C35" s="76">
        <f t="shared" si="23"/>
        <v>0</v>
      </c>
      <c r="D35" s="76">
        <f>D30-($D$30/$D$29)*D29</f>
        <v>0</v>
      </c>
      <c r="E35" s="117">
        <f>E30-($D$30/$D$29)*E29</f>
        <v>0.83750000000000036</v>
      </c>
      <c r="F35" s="76">
        <f t="shared" si="20"/>
        <v>-4</v>
      </c>
      <c r="G35" s="118"/>
      <c r="H35" s="120">
        <f t="shared" si="22"/>
        <v>0.33333333333333331</v>
      </c>
      <c r="I35" s="120">
        <f t="shared" si="22"/>
        <v>7.1428571428571438E-2</v>
      </c>
      <c r="J35" s="127">
        <f>D30/D29</f>
        <v>0.22499999999999998</v>
      </c>
      <c r="K35" s="79">
        <f t="shared" si="22"/>
        <v>1</v>
      </c>
    </row>
    <row r="36" spans="1:11" ht="15.6">
      <c r="A36" s="13"/>
      <c r="B36" s="121"/>
      <c r="C36" s="121"/>
      <c r="D36" s="121" t="s">
        <v>8</v>
      </c>
      <c r="E36" s="121"/>
      <c r="F36" s="122" t="s">
        <v>2</v>
      </c>
      <c r="G36" s="123"/>
      <c r="H36" s="123"/>
      <c r="I36" s="123"/>
      <c r="J36" s="123" t="s">
        <v>19</v>
      </c>
      <c r="K36" s="123"/>
    </row>
    <row r="37" spans="1:11" ht="15.6">
      <c r="A37" s="5" t="s">
        <v>23</v>
      </c>
      <c r="B37" s="115">
        <f t="shared" ref="B37:F39" si="24">B32</f>
        <v>3</v>
      </c>
      <c r="C37" s="115">
        <f t="shared" si="24"/>
        <v>2</v>
      </c>
      <c r="D37" s="115">
        <f t="shared" si="24"/>
        <v>1</v>
      </c>
      <c r="E37" s="115">
        <f t="shared" si="24"/>
        <v>-1</v>
      </c>
      <c r="F37" s="93">
        <f t="shared" si="24"/>
        <v>1</v>
      </c>
      <c r="G37" s="118"/>
      <c r="H37" s="129">
        <f>H32</f>
        <v>1</v>
      </c>
      <c r="I37" s="129">
        <f t="shared" ref="I37:K37" si="25">I32</f>
        <v>0</v>
      </c>
      <c r="J37" s="129">
        <f t="shared" si="25"/>
        <v>0</v>
      </c>
      <c r="K37" s="129">
        <f t="shared" si="25"/>
        <v>0</v>
      </c>
    </row>
    <row r="38" spans="1:11" ht="15.6">
      <c r="A38" s="13"/>
      <c r="B38" s="115">
        <f t="shared" si="24"/>
        <v>0</v>
      </c>
      <c r="C38" s="108">
        <f t="shared" si="24"/>
        <v>4.666666666666667</v>
      </c>
      <c r="D38" s="108">
        <f t="shared" si="24"/>
        <v>-0.66666666666666674</v>
      </c>
      <c r="E38" s="108">
        <f t="shared" si="24"/>
        <v>7.666666666666667</v>
      </c>
      <c r="F38" s="93">
        <f t="shared" si="24"/>
        <v>7</v>
      </c>
      <c r="G38" s="118"/>
      <c r="H38" s="124">
        <f t="shared" ref="H38:K40" si="26">H33</f>
        <v>-0.33333333333333331</v>
      </c>
      <c r="I38" s="129">
        <f t="shared" si="26"/>
        <v>1</v>
      </c>
      <c r="J38" s="129">
        <f t="shared" si="26"/>
        <v>0</v>
      </c>
      <c r="K38" s="129">
        <f t="shared" si="26"/>
        <v>0</v>
      </c>
    </row>
    <row r="39" spans="1:11" ht="15.6">
      <c r="A39" s="13"/>
      <c r="B39" s="115">
        <f t="shared" si="24"/>
        <v>0</v>
      </c>
      <c r="C39" s="115">
        <f t="shared" si="24"/>
        <v>0</v>
      </c>
      <c r="D39" s="108">
        <f t="shared" si="24"/>
        <v>-5.7142857142857144</v>
      </c>
      <c r="E39" s="108">
        <f t="shared" si="24"/>
        <v>4.2142857142857135</v>
      </c>
      <c r="F39" s="93">
        <f t="shared" si="24"/>
        <v>-14</v>
      </c>
      <c r="G39" s="118"/>
      <c r="H39" s="124">
        <f t="shared" si="26"/>
        <v>0.66666666666666663</v>
      </c>
      <c r="I39" s="124">
        <f t="shared" si="26"/>
        <v>-7.1428571428571411E-2</v>
      </c>
      <c r="J39" s="129">
        <f t="shared" si="26"/>
        <v>1</v>
      </c>
      <c r="K39" s="129">
        <f t="shared" si="26"/>
        <v>0</v>
      </c>
    </row>
    <row r="40" spans="1:11" ht="15.6">
      <c r="A40" s="13"/>
      <c r="B40" s="115">
        <f t="shared" ref="B40:D40" si="27">IF($E$35 =0,"Falla",B35)</f>
        <v>0</v>
      </c>
      <c r="C40" s="115">
        <f t="shared" si="27"/>
        <v>0</v>
      </c>
      <c r="D40" s="115">
        <f t="shared" si="27"/>
        <v>0</v>
      </c>
      <c r="E40" s="108">
        <f>IF($E$35 =0,"Falla",E35)</f>
        <v>0.83750000000000036</v>
      </c>
      <c r="F40" s="93">
        <f>IF($E$35 =0,"Falla",F35)</f>
        <v>-4</v>
      </c>
      <c r="G40" s="118"/>
      <c r="H40" s="124">
        <f t="shared" ref="H40:J40" si="28">IF($E$35 =0,"Falla",H35)</f>
        <v>0.33333333333333331</v>
      </c>
      <c r="I40" s="124">
        <f t="shared" si="28"/>
        <v>7.1428571428571438E-2</v>
      </c>
      <c r="J40" s="128">
        <f t="shared" si="28"/>
        <v>0.22499999999999998</v>
      </c>
      <c r="K40" s="129">
        <f t="shared" si="26"/>
        <v>1</v>
      </c>
    </row>
    <row r="41" spans="1:11" ht="15.6">
      <c r="A41" s="13"/>
      <c r="B41" s="116"/>
      <c r="C41" s="116"/>
      <c r="D41" s="116"/>
      <c r="E41" s="116"/>
      <c r="F41" s="122" t="s">
        <v>10</v>
      </c>
      <c r="G41" s="125"/>
      <c r="H41" s="122" t="s">
        <v>11</v>
      </c>
      <c r="I41" s="118"/>
      <c r="J41" s="118"/>
      <c r="K41" s="118"/>
    </row>
    <row r="42" spans="1:11" ht="15.6">
      <c r="A42" s="13"/>
      <c r="B42" s="118"/>
      <c r="C42" s="118"/>
      <c r="D42" s="118"/>
      <c r="E42" s="118"/>
      <c r="F42" s="130">
        <f>(H42-E37*F45-D37*F44-C37*F43)/B37</f>
        <v>-3.9999999999999996</v>
      </c>
      <c r="G42" s="118"/>
      <c r="H42" s="114">
        <f>F37</f>
        <v>1</v>
      </c>
      <c r="I42" s="118"/>
      <c r="J42" s="118"/>
      <c r="K42" s="118"/>
    </row>
    <row r="43" spans="1:11" ht="15.6">
      <c r="A43" s="13"/>
      <c r="B43" s="118"/>
      <c r="C43" s="118"/>
      <c r="D43" s="118"/>
      <c r="E43" s="118"/>
      <c r="F43" s="130">
        <f>(H43-E38*F45-D38*F44)/C38</f>
        <v>4.9999999999999991</v>
      </c>
      <c r="G43" s="118"/>
      <c r="H43" s="103">
        <f>F38-(H38*F37)</f>
        <v>7.333333333333333</v>
      </c>
      <c r="I43" s="118"/>
      <c r="J43" s="118"/>
      <c r="K43" s="118"/>
    </row>
    <row r="44" spans="1:11" ht="15.6">
      <c r="A44" s="13"/>
      <c r="B44" s="118"/>
      <c r="C44" s="118"/>
      <c r="D44" s="118"/>
      <c r="E44" s="118"/>
      <c r="F44" s="130">
        <f>(H44-E39*F45)/D39</f>
        <v>1.0000000000000004</v>
      </c>
      <c r="G44" s="118"/>
      <c r="H44" s="103">
        <f>F39-(H39*F37)-(I39*H43)</f>
        <v>-14.142857142857142</v>
      </c>
      <c r="I44" s="118"/>
      <c r="J44" s="118"/>
      <c r="K44" s="118"/>
    </row>
    <row r="45" spans="1:11" ht="15.6">
      <c r="A45" s="13"/>
      <c r="B45" s="118"/>
      <c r="C45" s="118"/>
      <c r="D45" s="118"/>
      <c r="E45" s="118"/>
      <c r="F45" s="130">
        <f>H45/E40</f>
        <v>-1.9999999999999996</v>
      </c>
      <c r="G45" s="118"/>
      <c r="H45" s="113">
        <f>F40-(H40*F37)-(I40*H43)-(J40*H44)</f>
        <v>-1.6750000000000003</v>
      </c>
      <c r="I45" s="118"/>
      <c r="J45" s="118"/>
      <c r="K45" s="1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E151-E474-45DC-8850-80695F7E5CFE}">
  <dimension ref="A1:K45"/>
  <sheetViews>
    <sheetView topLeftCell="A16" zoomScaleNormal="100" workbookViewId="0">
      <selection activeCell="K45" sqref="A1:K45"/>
    </sheetView>
  </sheetViews>
  <sheetFormatPr defaultColWidth="11.42578125" defaultRowHeight="14.45"/>
  <cols>
    <col min="1" max="1" width="19.85546875" bestFit="1" customWidth="1"/>
    <col min="7" max="7" width="19.42578125" bestFit="1" customWidth="1"/>
    <col min="8" max="8" width="16.42578125" bestFit="1" customWidth="1"/>
  </cols>
  <sheetData>
    <row r="1" spans="1:11" ht="15.6">
      <c r="A1" s="97" t="s">
        <v>22</v>
      </c>
      <c r="B1" s="99"/>
      <c r="C1" s="99"/>
      <c r="D1" s="99" t="s">
        <v>1</v>
      </c>
      <c r="E1" s="99"/>
      <c r="F1" s="98" t="s">
        <v>2</v>
      </c>
      <c r="G1" s="75" t="s">
        <v>3</v>
      </c>
      <c r="H1" s="97" t="s">
        <v>4</v>
      </c>
      <c r="I1" s="13"/>
      <c r="J1" s="13"/>
      <c r="K1" s="13"/>
    </row>
    <row r="2" spans="1:11" ht="15.6">
      <c r="A2" s="75"/>
      <c r="B2" s="109">
        <v>0</v>
      </c>
      <c r="C2" s="109">
        <v>0</v>
      </c>
      <c r="D2" s="109">
        <v>1</v>
      </c>
      <c r="E2" s="110">
        <v>1</v>
      </c>
      <c r="F2" s="106">
        <v>2</v>
      </c>
      <c r="G2" s="13"/>
      <c r="H2" s="75" cm="1">
        <f t="array" ref="H2:H5">MMULT(B2:E5,F42:F45)</f>
        <v>2</v>
      </c>
      <c r="I2" s="75"/>
      <c r="J2" s="75"/>
      <c r="K2" s="75"/>
    </row>
    <row r="3" spans="1:11" ht="15.6">
      <c r="A3" s="75"/>
      <c r="B3" s="109">
        <v>1</v>
      </c>
      <c r="C3" s="109">
        <v>0</v>
      </c>
      <c r="D3" s="109">
        <v>0</v>
      </c>
      <c r="E3" s="110">
        <v>1</v>
      </c>
      <c r="F3" s="106">
        <v>2</v>
      </c>
      <c r="G3" s="13"/>
      <c r="H3" s="75">
        <v>2</v>
      </c>
      <c r="I3" s="75"/>
      <c r="J3" s="75"/>
      <c r="K3" s="75"/>
    </row>
    <row r="4" spans="1:11" ht="15.6">
      <c r="A4" s="75"/>
      <c r="B4" s="109">
        <v>1</v>
      </c>
      <c r="C4" s="109">
        <v>4</v>
      </c>
      <c r="D4" s="109">
        <v>0</v>
      </c>
      <c r="E4" s="110">
        <v>-1</v>
      </c>
      <c r="F4" s="106">
        <v>4</v>
      </c>
      <c r="G4" s="13"/>
      <c r="H4" s="75">
        <v>4</v>
      </c>
      <c r="I4" s="75"/>
      <c r="J4" s="75"/>
      <c r="K4" s="75"/>
    </row>
    <row r="5" spans="1:11" ht="15.6">
      <c r="A5" s="75"/>
      <c r="B5" s="109">
        <v>1</v>
      </c>
      <c r="C5" s="109">
        <v>0</v>
      </c>
      <c r="D5" s="109">
        <v>1</v>
      </c>
      <c r="E5" s="110">
        <v>0</v>
      </c>
      <c r="F5" s="106">
        <v>2</v>
      </c>
      <c r="G5" s="13"/>
      <c r="H5" s="75">
        <v>2</v>
      </c>
      <c r="I5" s="75"/>
      <c r="J5" s="75"/>
      <c r="K5" s="75"/>
    </row>
    <row r="6" spans="1:11" ht="15.6">
      <c r="A6" s="13"/>
      <c r="B6" s="13"/>
      <c r="C6" s="13"/>
      <c r="D6" s="13"/>
      <c r="E6" s="13"/>
      <c r="F6" s="13"/>
      <c r="G6" s="13"/>
      <c r="I6" s="99"/>
      <c r="J6" s="99" t="s">
        <v>6</v>
      </c>
      <c r="K6" s="99"/>
    </row>
    <row r="7" spans="1:11" ht="15.6">
      <c r="A7" s="5" t="s">
        <v>5</v>
      </c>
      <c r="B7" s="76">
        <f>IF($B$2=0,IF($B$3=0,IF($B$4=0,IF($B$5=0,"falla",B5),B4),B3),B2)</f>
        <v>1</v>
      </c>
      <c r="C7" s="76">
        <f t="shared" ref="C7:F7" si="0">IF($B$2=0,IF($B$3=0,IF($B$4=0,IF($B$5=0,"falla",C5),C4),C3),C2)</f>
        <v>0</v>
      </c>
      <c r="D7" s="76">
        <f t="shared" si="0"/>
        <v>0</v>
      </c>
      <c r="E7" s="126">
        <f t="shared" si="0"/>
        <v>1</v>
      </c>
      <c r="F7" s="76">
        <f t="shared" si="0"/>
        <v>2</v>
      </c>
      <c r="G7" s="76" t="str">
        <f>IF(B7=B2,"aceptado1",IF(B7=B3,"aceptado2",IF(B7=B4,"aceptado3",IF(B7=B5,"aceptado4","falla"))))</f>
        <v>aceptado2</v>
      </c>
      <c r="H7" s="76" cm="1">
        <f t="array" ref="H7:K10">MMULT(H37:K40,B37:E40)</f>
        <v>1</v>
      </c>
      <c r="I7" s="76">
        <v>0</v>
      </c>
      <c r="J7" s="76">
        <v>0</v>
      </c>
      <c r="K7" s="76">
        <v>1</v>
      </c>
    </row>
    <row r="8" spans="1:11" ht="15.6">
      <c r="A8" s="13"/>
      <c r="B8" s="76">
        <f>IF($G$7="aceptado2",B2,B3)</f>
        <v>0</v>
      </c>
      <c r="C8" s="76">
        <f>IF($G$7="aceptado2",C2,C3)</f>
        <v>0</v>
      </c>
      <c r="D8" s="76">
        <f>IF($G$7="aceptado2",D2,D3)</f>
        <v>1</v>
      </c>
      <c r="E8" s="126">
        <f>IF($G$7="aceptado2",E2,E3)</f>
        <v>1</v>
      </c>
      <c r="F8" s="76">
        <f>IF($G$7="aceptado2",F2,F3)</f>
        <v>2</v>
      </c>
      <c r="G8" s="76"/>
      <c r="H8" s="76">
        <v>1</v>
      </c>
      <c r="I8" s="76">
        <v>4</v>
      </c>
      <c r="J8" s="76">
        <v>0</v>
      </c>
      <c r="K8" s="76">
        <v>-1</v>
      </c>
    </row>
    <row r="9" spans="1:11" ht="15.6">
      <c r="A9" s="13"/>
      <c r="B9" s="76">
        <f>IF($G$7="aceptado3",B2,B4)</f>
        <v>1</v>
      </c>
      <c r="C9" s="76">
        <f>IF($G$7="aceptado3",C2,C4)</f>
        <v>4</v>
      </c>
      <c r="D9" s="76">
        <f>IF($G$7="aceptado3",D2,D4)</f>
        <v>0</v>
      </c>
      <c r="E9" s="126">
        <f>IF($G$7="aceptado3",E2,E4)</f>
        <v>-1</v>
      </c>
      <c r="F9" s="76">
        <f>IF($G$7="aceptado3",F2,F4)</f>
        <v>4</v>
      </c>
      <c r="G9" s="76"/>
      <c r="H9" s="76">
        <v>0</v>
      </c>
      <c r="I9" s="76">
        <v>0</v>
      </c>
      <c r="J9" s="76">
        <v>1</v>
      </c>
      <c r="K9" s="76">
        <v>1</v>
      </c>
    </row>
    <row r="10" spans="1:11" ht="15.6">
      <c r="A10" s="13"/>
      <c r="B10" s="76">
        <f>IF($G$7="aceptado4",B2,B5)</f>
        <v>1</v>
      </c>
      <c r="C10" s="76">
        <f t="shared" ref="C10:F10" si="1">IF($G$7="aceptado4",C2,C5)</f>
        <v>0</v>
      </c>
      <c r="D10" s="76">
        <f t="shared" si="1"/>
        <v>1</v>
      </c>
      <c r="E10" s="126">
        <f t="shared" si="1"/>
        <v>0</v>
      </c>
      <c r="F10" s="76">
        <f t="shared" si="1"/>
        <v>2</v>
      </c>
      <c r="G10" s="76"/>
      <c r="H10" s="76">
        <v>1</v>
      </c>
      <c r="I10" s="76">
        <v>0</v>
      </c>
      <c r="J10" s="76">
        <v>1</v>
      </c>
      <c r="K10" s="76">
        <v>0</v>
      </c>
    </row>
    <row r="11" spans="1:11" ht="15.6">
      <c r="A11" s="13"/>
      <c r="B11" s="76"/>
      <c r="C11" s="76"/>
      <c r="D11" s="76"/>
      <c r="E11" s="76"/>
      <c r="F11" s="76"/>
      <c r="G11" s="76"/>
      <c r="H11" s="96"/>
      <c r="I11" s="96"/>
      <c r="J11" s="96"/>
      <c r="K11" s="96"/>
    </row>
    <row r="12" spans="1:11" ht="15.6">
      <c r="A12" s="6" t="s">
        <v>7</v>
      </c>
      <c r="B12" s="76">
        <f>B7</f>
        <v>1</v>
      </c>
      <c r="C12" s="76">
        <f t="shared" ref="C12:F15" si="2">C7</f>
        <v>0</v>
      </c>
      <c r="D12" s="76">
        <f t="shared" si="2"/>
        <v>0</v>
      </c>
      <c r="E12" s="126">
        <f>E7</f>
        <v>1</v>
      </c>
      <c r="F12" s="76">
        <f t="shared" si="2"/>
        <v>2</v>
      </c>
      <c r="G12" s="76"/>
      <c r="H12" s="76">
        <v>1</v>
      </c>
      <c r="I12" s="76">
        <v>0</v>
      </c>
      <c r="J12" s="76">
        <v>0</v>
      </c>
      <c r="K12" s="76">
        <v>0</v>
      </c>
    </row>
    <row r="13" spans="1:11" ht="15.6">
      <c r="A13" s="13"/>
      <c r="B13" s="76">
        <f>B8-($B$8/$B$7)*B7</f>
        <v>0</v>
      </c>
      <c r="C13" s="76">
        <f t="shared" ref="C13:D13" si="3">C8-($B$8/$B$7)*C7</f>
        <v>0</v>
      </c>
      <c r="D13" s="76">
        <f t="shared" si="3"/>
        <v>1</v>
      </c>
      <c r="E13" s="126">
        <f>E8-($B$8/$B$7)*E7</f>
        <v>1</v>
      </c>
      <c r="F13" s="76">
        <f t="shared" si="2"/>
        <v>2</v>
      </c>
      <c r="G13" s="76"/>
      <c r="H13" s="76">
        <f>B8/B7</f>
        <v>0</v>
      </c>
      <c r="I13" s="76">
        <v>1</v>
      </c>
      <c r="J13" s="76">
        <v>0</v>
      </c>
      <c r="K13" s="76">
        <v>0</v>
      </c>
    </row>
    <row r="14" spans="1:11" ht="15.6">
      <c r="A14" s="13"/>
      <c r="B14" s="76">
        <f>B9-($B$9/$B$7)*B7</f>
        <v>0</v>
      </c>
      <c r="C14" s="76">
        <f t="shared" ref="C14:D14" si="4">C9-($B$9/$B$7)*C7</f>
        <v>4</v>
      </c>
      <c r="D14" s="76">
        <f t="shared" si="4"/>
        <v>0</v>
      </c>
      <c r="E14" s="126">
        <f>E9-($B$9/$B$7)*E7</f>
        <v>-2</v>
      </c>
      <c r="F14" s="76">
        <f t="shared" si="2"/>
        <v>4</v>
      </c>
      <c r="G14" s="76"/>
      <c r="H14" s="76">
        <f>B9/B7</f>
        <v>1</v>
      </c>
      <c r="I14" s="76"/>
      <c r="J14" s="76">
        <v>1</v>
      </c>
      <c r="K14" s="76">
        <v>0</v>
      </c>
    </row>
    <row r="15" spans="1:11" ht="15.6">
      <c r="A15" s="13"/>
      <c r="B15" s="76">
        <f>B10-($B$10/$B$7)*B7</f>
        <v>0</v>
      </c>
      <c r="C15" s="76">
        <f t="shared" ref="C15:E15" si="5">C10-($B$10/$B$7)*C7</f>
        <v>0</v>
      </c>
      <c r="D15" s="76">
        <f t="shared" si="5"/>
        <v>1</v>
      </c>
      <c r="E15" s="126">
        <f t="shared" si="5"/>
        <v>-1</v>
      </c>
      <c r="F15" s="76">
        <f t="shared" si="2"/>
        <v>2</v>
      </c>
      <c r="G15" s="76"/>
      <c r="H15" s="76">
        <f>B10/B7</f>
        <v>1</v>
      </c>
      <c r="I15" s="76"/>
      <c r="J15" s="76"/>
      <c r="K15" s="76">
        <v>1</v>
      </c>
    </row>
    <row r="16" spans="1:11" ht="15.6">
      <c r="A16" s="13"/>
      <c r="B16" s="76"/>
      <c r="C16" s="76"/>
      <c r="D16" s="76"/>
      <c r="E16" s="76"/>
      <c r="F16" s="76"/>
      <c r="G16" s="76"/>
      <c r="H16" s="96"/>
      <c r="I16" s="96"/>
      <c r="J16" s="96"/>
      <c r="K16" s="96"/>
    </row>
    <row r="17" spans="1:11" ht="15.6">
      <c r="A17" s="5" t="s">
        <v>9</v>
      </c>
      <c r="B17" s="76">
        <f>B12</f>
        <v>1</v>
      </c>
      <c r="C17" s="76">
        <f t="shared" ref="C17:F17" si="6">C12</f>
        <v>0</v>
      </c>
      <c r="D17" s="76">
        <f t="shared" si="6"/>
        <v>0</v>
      </c>
      <c r="E17" s="126">
        <f>E12</f>
        <v>1</v>
      </c>
      <c r="F17" s="76">
        <f t="shared" si="6"/>
        <v>2</v>
      </c>
      <c r="G17" s="76"/>
      <c r="H17" s="76">
        <f>H12</f>
        <v>1</v>
      </c>
      <c r="I17" s="76">
        <f>I12</f>
        <v>0</v>
      </c>
      <c r="J17" s="76">
        <f>J12</f>
        <v>0</v>
      </c>
      <c r="K17" s="76">
        <f>K12</f>
        <v>0</v>
      </c>
    </row>
    <row r="18" spans="1:11" ht="15.6">
      <c r="A18" s="13"/>
      <c r="B18" s="76">
        <f>IF($C$13 =0,IF($C$14 = 0,IF($C$15=0,"falla",B15),B14),B13)</f>
        <v>0</v>
      </c>
      <c r="C18" s="76">
        <f>IF($C$13 =0,IF($C$14 = 0,IF($C$15=0,"falla",C15),C14),C13)</f>
        <v>4</v>
      </c>
      <c r="D18" s="76">
        <f t="shared" ref="D18:F18" si="7">IF($C$13 =0,IF($C$14 = 0,IF($C$15=0,"falla",D15),D14),D13)</f>
        <v>0</v>
      </c>
      <c r="E18" s="126">
        <f t="shared" si="7"/>
        <v>-2</v>
      </c>
      <c r="F18" s="76">
        <f t="shared" si="7"/>
        <v>4</v>
      </c>
      <c r="G18" s="76" t="str">
        <f>IF(C18=C13,"aceptado2",IF(C18=C14,"aceptado3", IF(C18=C15,"aceptado4","falla")))</f>
        <v>aceptado3</v>
      </c>
      <c r="H18" s="76">
        <f>IF($C$13 =0,IF($C$14 = 0,IF($C$15=0,"falla",H15),H14),H13)</f>
        <v>1</v>
      </c>
      <c r="I18" s="76">
        <f t="shared" ref="I18:K20" si="8">I13</f>
        <v>1</v>
      </c>
      <c r="J18" s="76">
        <f t="shared" si="8"/>
        <v>0</v>
      </c>
      <c r="K18" s="76">
        <f t="shared" si="8"/>
        <v>0</v>
      </c>
    </row>
    <row r="19" spans="1:11" ht="15.6">
      <c r="A19" s="13"/>
      <c r="B19" s="76">
        <f>IF($G$18="aceptado3",B13,B14)</f>
        <v>0</v>
      </c>
      <c r="C19" s="76">
        <f>IF($G$18="aceptado3",C13,C14)</f>
        <v>0</v>
      </c>
      <c r="D19" s="76">
        <f>IF($G$18="aceptado3",D13,D14)</f>
        <v>1</v>
      </c>
      <c r="E19" s="126">
        <f>IF($G$18="aceptado3",E13,E14)</f>
        <v>1</v>
      </c>
      <c r="F19" s="76">
        <f>IF($G$18="aceptado3",F13,F14)</f>
        <v>2</v>
      </c>
      <c r="G19" s="96"/>
      <c r="H19" s="76">
        <f>IF($G$18="aceptado3",H13,H14)</f>
        <v>0</v>
      </c>
      <c r="I19" s="76">
        <f>IF($G$18="aceptado3",I13,I14)</f>
        <v>1</v>
      </c>
      <c r="J19" s="76">
        <f t="shared" si="8"/>
        <v>1</v>
      </c>
      <c r="K19" s="76">
        <f t="shared" si="8"/>
        <v>0</v>
      </c>
    </row>
    <row r="20" spans="1:11" ht="15.6">
      <c r="A20" s="13"/>
      <c r="B20" s="76">
        <f>IF($G$18="aceptado4",B13,B15)</f>
        <v>0</v>
      </c>
      <c r="C20" s="76">
        <f t="shared" ref="C20:J20" si="9">IF($G$18="aceptado4",C13,C15)</f>
        <v>0</v>
      </c>
      <c r="D20" s="76">
        <f t="shared" si="9"/>
        <v>1</v>
      </c>
      <c r="E20" s="126">
        <f t="shared" si="9"/>
        <v>-1</v>
      </c>
      <c r="F20" s="76">
        <f t="shared" si="9"/>
        <v>2</v>
      </c>
      <c r="G20" s="96"/>
      <c r="H20" s="76">
        <f t="shared" si="9"/>
        <v>1</v>
      </c>
      <c r="I20" s="76">
        <f t="shared" si="9"/>
        <v>0</v>
      </c>
      <c r="J20" s="76">
        <f t="shared" si="9"/>
        <v>0</v>
      </c>
      <c r="K20" s="76">
        <f t="shared" si="8"/>
        <v>1</v>
      </c>
    </row>
    <row r="21" spans="1:11" ht="15.6">
      <c r="A21" s="13"/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1:11" ht="15.6">
      <c r="A22" s="6" t="s">
        <v>7</v>
      </c>
      <c r="B22" s="76">
        <f>B17</f>
        <v>1</v>
      </c>
      <c r="C22" s="76">
        <f t="shared" ref="C22:F25" si="10">C17</f>
        <v>0</v>
      </c>
      <c r="D22" s="76">
        <f t="shared" si="10"/>
        <v>0</v>
      </c>
      <c r="E22" s="126">
        <f t="shared" si="10"/>
        <v>1</v>
      </c>
      <c r="F22" s="76">
        <f>F17</f>
        <v>2</v>
      </c>
      <c r="G22" s="96"/>
      <c r="H22" s="93">
        <f>H17</f>
        <v>1</v>
      </c>
      <c r="I22" s="93">
        <f t="shared" ref="I22:K22" si="11">I17</f>
        <v>0</v>
      </c>
      <c r="J22" s="93">
        <f t="shared" si="11"/>
        <v>0</v>
      </c>
      <c r="K22" s="93">
        <f t="shared" si="11"/>
        <v>0</v>
      </c>
    </row>
    <row r="23" spans="1:11" ht="15.6">
      <c r="A23" s="13"/>
      <c r="B23" s="76">
        <f>B18</f>
        <v>0</v>
      </c>
      <c r="C23" s="76">
        <f t="shared" si="10"/>
        <v>4</v>
      </c>
      <c r="D23" s="76">
        <f t="shared" si="10"/>
        <v>0</v>
      </c>
      <c r="E23" s="126">
        <f t="shared" si="10"/>
        <v>-2</v>
      </c>
      <c r="F23" s="76">
        <f t="shared" si="10"/>
        <v>4</v>
      </c>
      <c r="G23" s="96"/>
      <c r="H23" s="93">
        <f t="shared" ref="H23:K25" si="12">H18</f>
        <v>1</v>
      </c>
      <c r="I23" s="93">
        <f t="shared" si="12"/>
        <v>1</v>
      </c>
      <c r="J23" s="93">
        <f t="shared" si="12"/>
        <v>0</v>
      </c>
      <c r="K23" s="93">
        <f t="shared" si="12"/>
        <v>0</v>
      </c>
    </row>
    <row r="24" spans="1:11" ht="15.6">
      <c r="A24" s="13"/>
      <c r="B24" s="76">
        <f>B19-($C$19/$C$18)*B18</f>
        <v>0</v>
      </c>
      <c r="C24" s="76">
        <f>C19-($C$19/$C$18)*C18</f>
        <v>0</v>
      </c>
      <c r="D24" s="76">
        <f t="shared" ref="D24" si="13">D19-($C$19/$C$18)*D18</f>
        <v>1</v>
      </c>
      <c r="E24" s="126">
        <f>E19-($C$19/$C$18)*E18</f>
        <v>1</v>
      </c>
      <c r="F24" s="76">
        <f t="shared" si="10"/>
        <v>2</v>
      </c>
      <c r="G24" s="96"/>
      <c r="H24" s="93">
        <f t="shared" si="12"/>
        <v>0</v>
      </c>
      <c r="I24" s="93">
        <f>C19/C18</f>
        <v>0</v>
      </c>
      <c r="J24" s="93">
        <f t="shared" si="12"/>
        <v>1</v>
      </c>
      <c r="K24" s="93">
        <f t="shared" si="12"/>
        <v>0</v>
      </c>
    </row>
    <row r="25" spans="1:11" ht="15.6">
      <c r="A25" s="13"/>
      <c r="B25" s="76">
        <f>B20-($C$20/$C$18)*B18</f>
        <v>0</v>
      </c>
      <c r="C25" s="76">
        <f>C20-($C$20/$C$18)*C18</f>
        <v>0</v>
      </c>
      <c r="D25" s="76">
        <f t="shared" ref="D25:E25" si="14">D20-($C$20/$C$18)*D18</f>
        <v>1</v>
      </c>
      <c r="E25" s="126">
        <f t="shared" si="14"/>
        <v>-1</v>
      </c>
      <c r="F25" s="76">
        <f t="shared" si="10"/>
        <v>2</v>
      </c>
      <c r="G25" s="96"/>
      <c r="H25" s="93">
        <f t="shared" si="12"/>
        <v>1</v>
      </c>
      <c r="I25" s="93">
        <f>C20/C18</f>
        <v>0</v>
      </c>
      <c r="J25" s="93">
        <f t="shared" si="12"/>
        <v>0</v>
      </c>
      <c r="K25" s="93">
        <f t="shared" si="12"/>
        <v>1</v>
      </c>
    </row>
    <row r="26" spans="1:11" ht="15.6">
      <c r="A26" s="13"/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1:11" ht="15.6">
      <c r="A27" s="5" t="s">
        <v>20</v>
      </c>
      <c r="B27" s="76">
        <f>B22</f>
        <v>1</v>
      </c>
      <c r="C27" s="76">
        <f t="shared" ref="C27:F28" si="15">C22</f>
        <v>0</v>
      </c>
      <c r="D27" s="76">
        <f t="shared" si="15"/>
        <v>0</v>
      </c>
      <c r="E27" s="126">
        <f t="shared" si="15"/>
        <v>1</v>
      </c>
      <c r="F27" s="76">
        <f t="shared" si="15"/>
        <v>2</v>
      </c>
      <c r="G27" s="96"/>
      <c r="H27" s="77">
        <f>H22</f>
        <v>1</v>
      </c>
      <c r="I27" s="77">
        <f t="shared" ref="I27:K30" si="16">I22</f>
        <v>0</v>
      </c>
      <c r="J27" s="77">
        <f t="shared" si="16"/>
        <v>0</v>
      </c>
      <c r="K27" s="77">
        <f t="shared" si="16"/>
        <v>0</v>
      </c>
    </row>
    <row r="28" spans="1:11" ht="15.6">
      <c r="A28" s="13"/>
      <c r="B28" s="76">
        <f t="shared" ref="B28:F28" si="17">B23</f>
        <v>0</v>
      </c>
      <c r="C28" s="76">
        <f t="shared" si="17"/>
        <v>4</v>
      </c>
      <c r="D28" s="76">
        <f t="shared" si="17"/>
        <v>0</v>
      </c>
      <c r="E28" s="126">
        <f t="shared" si="15"/>
        <v>-2</v>
      </c>
      <c r="F28" s="76">
        <f t="shared" si="17"/>
        <v>4</v>
      </c>
      <c r="G28" s="96"/>
      <c r="H28" s="77">
        <f>H23</f>
        <v>1</v>
      </c>
      <c r="I28" s="77">
        <f t="shared" si="16"/>
        <v>1</v>
      </c>
      <c r="J28" s="77">
        <f t="shared" si="16"/>
        <v>0</v>
      </c>
      <c r="K28" s="77">
        <f t="shared" si="16"/>
        <v>0</v>
      </c>
    </row>
    <row r="29" spans="1:11" ht="15.6">
      <c r="A29" s="13"/>
      <c r="B29" s="76">
        <f t="shared" ref="B29:C29" si="18">IF($D$24 = 0,IF($D$25=0,"falla",B25),B24)</f>
        <v>0</v>
      </c>
      <c r="C29" s="76">
        <f t="shared" si="18"/>
        <v>0</v>
      </c>
      <c r="D29" s="76">
        <f>IF($D$24 = 0,IF($D$25=0,"falla",D25),D24)</f>
        <v>1</v>
      </c>
      <c r="E29" s="126">
        <f>IF($D$24 = 0,IF($D$25=0,"falla",E25),E24)</f>
        <v>1</v>
      </c>
      <c r="F29" s="76">
        <f>IF($D$24 = 0,IF($D$25=0,"falla",F25),F24)</f>
        <v>2</v>
      </c>
      <c r="G29" s="76" t="str">
        <f>IF(D29=D24,"aceptado3",IF(D29=D25,"aceptado4","falla"))</f>
        <v>aceptado3</v>
      </c>
      <c r="H29" s="77">
        <f>IF($D$24 = 0,IF($D$25=0,"falla",H25),H24)</f>
        <v>0</v>
      </c>
      <c r="I29" s="77">
        <f>IF($D$24 = 0,IF($D$25=0,"falla",I25),I24)</f>
        <v>0</v>
      </c>
      <c r="J29" s="77">
        <f t="shared" si="16"/>
        <v>1</v>
      </c>
      <c r="K29" s="77">
        <f t="shared" si="16"/>
        <v>0</v>
      </c>
    </row>
    <row r="30" spans="1:11" ht="15.6">
      <c r="A30" s="13"/>
      <c r="B30" s="76">
        <f>IF($G$29="aceptado4",B24,B25)</f>
        <v>0</v>
      </c>
      <c r="C30" s="76">
        <f t="shared" ref="C30:I30" si="19">IF($G$29="aceptado4",C24,C25)</f>
        <v>0</v>
      </c>
      <c r="D30" s="76">
        <f t="shared" si="19"/>
        <v>1</v>
      </c>
      <c r="E30" s="126">
        <f t="shared" si="19"/>
        <v>-1</v>
      </c>
      <c r="F30" s="76">
        <f t="shared" si="19"/>
        <v>2</v>
      </c>
      <c r="G30" s="96"/>
      <c r="H30" s="77">
        <f t="shared" si="19"/>
        <v>1</v>
      </c>
      <c r="I30" s="77">
        <f t="shared" si="19"/>
        <v>0</v>
      </c>
      <c r="J30" s="77">
        <f t="shared" si="16"/>
        <v>0</v>
      </c>
      <c r="K30" s="77">
        <f t="shared" si="16"/>
        <v>1</v>
      </c>
    </row>
    <row r="31" spans="1:11" ht="15.6">
      <c r="A31" s="13"/>
      <c r="B31" s="96"/>
      <c r="C31" s="96"/>
      <c r="D31" s="96"/>
      <c r="E31" s="96"/>
      <c r="F31" s="96"/>
      <c r="G31" s="96"/>
      <c r="H31" s="96"/>
      <c r="I31" s="96"/>
      <c r="J31" s="96"/>
      <c r="K31" s="96"/>
    </row>
    <row r="32" spans="1:11" ht="15.6">
      <c r="A32" s="6" t="s">
        <v>7</v>
      </c>
      <c r="B32" s="76">
        <f>B27</f>
        <v>1</v>
      </c>
      <c r="C32" s="76">
        <f t="shared" ref="C32:F35" si="20">C27</f>
        <v>0</v>
      </c>
      <c r="D32" s="76">
        <f t="shared" si="20"/>
        <v>0</v>
      </c>
      <c r="E32" s="126">
        <f t="shared" si="20"/>
        <v>1</v>
      </c>
      <c r="F32" s="76">
        <f>F27</f>
        <v>2</v>
      </c>
      <c r="G32" s="96"/>
      <c r="H32" s="79">
        <f>H27</f>
        <v>1</v>
      </c>
      <c r="I32" s="79">
        <f t="shared" ref="I32:K32" si="21">I27</f>
        <v>0</v>
      </c>
      <c r="J32" s="79">
        <f t="shared" si="21"/>
        <v>0</v>
      </c>
      <c r="K32" s="79">
        <f t="shared" si="21"/>
        <v>0</v>
      </c>
    </row>
    <row r="33" spans="1:11" ht="15.6">
      <c r="A33" s="13"/>
      <c r="B33" s="76">
        <f>B28</f>
        <v>0</v>
      </c>
      <c r="C33" s="76">
        <f t="shared" si="20"/>
        <v>4</v>
      </c>
      <c r="D33" s="76">
        <f t="shared" si="20"/>
        <v>0</v>
      </c>
      <c r="E33" s="126">
        <f t="shared" si="20"/>
        <v>-2</v>
      </c>
      <c r="F33" s="76">
        <f t="shared" si="20"/>
        <v>4</v>
      </c>
      <c r="G33" s="96"/>
      <c r="H33" s="79">
        <f t="shared" ref="H33:K35" si="22">H28</f>
        <v>1</v>
      </c>
      <c r="I33" s="79">
        <f t="shared" si="22"/>
        <v>1</v>
      </c>
      <c r="J33" s="79">
        <f t="shared" si="22"/>
        <v>0</v>
      </c>
      <c r="K33" s="79">
        <f t="shared" si="22"/>
        <v>0</v>
      </c>
    </row>
    <row r="34" spans="1:11" ht="15.6">
      <c r="A34" s="13"/>
      <c r="B34" s="76">
        <f>B29</f>
        <v>0</v>
      </c>
      <c r="C34" s="76">
        <f t="shared" si="20"/>
        <v>0</v>
      </c>
      <c r="D34" s="76">
        <f t="shared" si="20"/>
        <v>1</v>
      </c>
      <c r="E34" s="126">
        <f t="shared" si="20"/>
        <v>1</v>
      </c>
      <c r="F34" s="76">
        <f t="shared" si="20"/>
        <v>2</v>
      </c>
      <c r="G34" s="96"/>
      <c r="H34" s="79">
        <f t="shared" si="22"/>
        <v>0</v>
      </c>
      <c r="I34" s="79">
        <f t="shared" si="22"/>
        <v>0</v>
      </c>
      <c r="J34" s="79">
        <f t="shared" si="22"/>
        <v>1</v>
      </c>
      <c r="K34" s="79">
        <f t="shared" si="22"/>
        <v>0</v>
      </c>
    </row>
    <row r="35" spans="1:11" ht="15.6">
      <c r="A35" s="13"/>
      <c r="B35" s="76">
        <f t="shared" ref="B35:C35" si="23">B30-($D$30/$D$29)*B29</f>
        <v>0</v>
      </c>
      <c r="C35" s="76">
        <f t="shared" si="23"/>
        <v>0</v>
      </c>
      <c r="D35" s="76">
        <f>D30-($D$30/$D$29)*D29</f>
        <v>0</v>
      </c>
      <c r="E35" s="126">
        <f>E30-($D$30/$D$29)*E29</f>
        <v>-2</v>
      </c>
      <c r="F35" s="76">
        <f t="shared" si="20"/>
        <v>2</v>
      </c>
      <c r="G35" s="96"/>
      <c r="H35" s="79">
        <f t="shared" si="22"/>
        <v>1</v>
      </c>
      <c r="I35" s="79">
        <f t="shared" si="22"/>
        <v>0</v>
      </c>
      <c r="J35" s="79">
        <f>D30/D29</f>
        <v>1</v>
      </c>
      <c r="K35" s="79">
        <f t="shared" si="22"/>
        <v>1</v>
      </c>
    </row>
    <row r="36" spans="1:11" ht="15.6">
      <c r="A36" s="13"/>
      <c r="B36" s="133"/>
      <c r="C36" s="133"/>
      <c r="D36" s="133" t="s">
        <v>8</v>
      </c>
      <c r="E36" s="133"/>
      <c r="F36" s="131" t="s">
        <v>2</v>
      </c>
      <c r="G36" s="132"/>
      <c r="H36" s="132"/>
      <c r="I36" s="132"/>
      <c r="J36" s="133" t="s">
        <v>19</v>
      </c>
      <c r="K36" s="132"/>
    </row>
    <row r="37" spans="1:11" ht="15.6">
      <c r="A37" s="5" t="s">
        <v>23</v>
      </c>
      <c r="B37" s="115">
        <f t="shared" ref="B37:F39" si="24">B32</f>
        <v>1</v>
      </c>
      <c r="C37" s="115">
        <f t="shared" si="24"/>
        <v>0</v>
      </c>
      <c r="D37" s="115">
        <f t="shared" si="24"/>
        <v>0</v>
      </c>
      <c r="E37" s="115">
        <f t="shared" si="24"/>
        <v>1</v>
      </c>
      <c r="F37" s="93">
        <f t="shared" si="24"/>
        <v>2</v>
      </c>
      <c r="G37" s="96"/>
      <c r="H37" s="129">
        <f>H32</f>
        <v>1</v>
      </c>
      <c r="I37" s="129">
        <f t="shared" ref="I37:K37" si="25">I32</f>
        <v>0</v>
      </c>
      <c r="J37" s="129">
        <f t="shared" si="25"/>
        <v>0</v>
      </c>
      <c r="K37" s="129">
        <f t="shared" si="25"/>
        <v>0</v>
      </c>
    </row>
    <row r="38" spans="1:11" ht="15.6">
      <c r="A38" s="13"/>
      <c r="B38" s="115">
        <f t="shared" si="24"/>
        <v>0</v>
      </c>
      <c r="C38" s="115">
        <f t="shared" si="24"/>
        <v>4</v>
      </c>
      <c r="D38" s="115">
        <f t="shared" si="24"/>
        <v>0</v>
      </c>
      <c r="E38" s="115">
        <f t="shared" si="24"/>
        <v>-2</v>
      </c>
      <c r="F38" s="93">
        <f t="shared" si="24"/>
        <v>4</v>
      </c>
      <c r="G38" s="96"/>
      <c r="H38" s="129">
        <f t="shared" ref="H38:K40" si="26">H33</f>
        <v>1</v>
      </c>
      <c r="I38" s="129">
        <f t="shared" si="26"/>
        <v>1</v>
      </c>
      <c r="J38" s="129">
        <f t="shared" si="26"/>
        <v>0</v>
      </c>
      <c r="K38" s="129">
        <f t="shared" si="26"/>
        <v>0</v>
      </c>
    </row>
    <row r="39" spans="1:11" ht="15.6">
      <c r="A39" s="13"/>
      <c r="B39" s="115">
        <f t="shared" si="24"/>
        <v>0</v>
      </c>
      <c r="C39" s="115">
        <f t="shared" si="24"/>
        <v>0</v>
      </c>
      <c r="D39" s="115">
        <f t="shared" si="24"/>
        <v>1</v>
      </c>
      <c r="E39" s="115">
        <f t="shared" si="24"/>
        <v>1</v>
      </c>
      <c r="F39" s="93">
        <f t="shared" si="24"/>
        <v>2</v>
      </c>
      <c r="G39" s="96"/>
      <c r="H39" s="129">
        <f t="shared" si="26"/>
        <v>0</v>
      </c>
      <c r="I39" s="129">
        <f t="shared" si="26"/>
        <v>0</v>
      </c>
      <c r="J39" s="129">
        <f t="shared" si="26"/>
        <v>1</v>
      </c>
      <c r="K39" s="129">
        <f t="shared" si="26"/>
        <v>0</v>
      </c>
    </row>
    <row r="40" spans="1:11" ht="15.6">
      <c r="A40" s="13"/>
      <c r="B40" s="115">
        <f t="shared" ref="B40:D40" si="27">IF($E$35 =0,"Falla",B35)</f>
        <v>0</v>
      </c>
      <c r="C40" s="115">
        <f t="shared" si="27"/>
        <v>0</v>
      </c>
      <c r="D40" s="115">
        <f t="shared" si="27"/>
        <v>0</v>
      </c>
      <c r="E40" s="115">
        <f>IF($E$35 =0,"Falla",E35)</f>
        <v>-2</v>
      </c>
      <c r="F40" s="93">
        <f>IF($E$35 =0,"Falla",F35)</f>
        <v>2</v>
      </c>
      <c r="G40" s="96"/>
      <c r="H40" s="129">
        <f t="shared" ref="H40:J40" si="28">IF($E$35 =0,"Falla",H35)</f>
        <v>1</v>
      </c>
      <c r="I40" s="129">
        <f t="shared" si="28"/>
        <v>0</v>
      </c>
      <c r="J40" s="129">
        <f t="shared" si="28"/>
        <v>1</v>
      </c>
      <c r="K40" s="129">
        <f t="shared" si="26"/>
        <v>1</v>
      </c>
    </row>
    <row r="41" spans="1:11" ht="15.6">
      <c r="A41" s="13"/>
      <c r="B41" s="75"/>
      <c r="C41" s="75"/>
      <c r="D41" s="75"/>
      <c r="E41" s="75"/>
      <c r="F41" s="18" t="s">
        <v>10</v>
      </c>
      <c r="G41" s="98"/>
      <c r="H41" s="18" t="s">
        <v>11</v>
      </c>
      <c r="I41" s="13"/>
      <c r="J41" s="13"/>
      <c r="K41" s="13"/>
    </row>
    <row r="42" spans="1:11" ht="15.6">
      <c r="A42" s="13"/>
      <c r="B42" s="13"/>
      <c r="C42" s="13"/>
      <c r="D42" s="13"/>
      <c r="E42" s="13"/>
      <c r="F42" s="130">
        <f>(H42-E37*F45-D37*F44-C37*F43)/B37</f>
        <v>1</v>
      </c>
      <c r="G42" s="96"/>
      <c r="H42" s="114">
        <f>F37</f>
        <v>2</v>
      </c>
      <c r="I42" s="13"/>
      <c r="J42" s="13"/>
      <c r="K42" s="13"/>
    </row>
    <row r="43" spans="1:11" ht="15.6">
      <c r="A43" s="13"/>
      <c r="B43" s="13"/>
      <c r="C43" s="13"/>
      <c r="D43" s="13"/>
      <c r="E43" s="13"/>
      <c r="F43" s="130">
        <f>(H43-E38*F45-D38*F44)/C38</f>
        <v>1</v>
      </c>
      <c r="G43" s="96"/>
      <c r="H43" s="114">
        <f>F38-(H38*F37)</f>
        <v>2</v>
      </c>
      <c r="I43" s="13"/>
      <c r="J43" s="13"/>
      <c r="K43" s="13"/>
    </row>
    <row r="44" spans="1:11" ht="15.6">
      <c r="A44" s="13"/>
      <c r="B44" s="13"/>
      <c r="C44" s="13"/>
      <c r="D44" s="13"/>
      <c r="E44" s="13"/>
      <c r="F44" s="130">
        <f>(H44-E39*F45)/D39</f>
        <v>1</v>
      </c>
      <c r="G44" s="96"/>
      <c r="H44" s="114">
        <f>F39-(H39*F37)-(I39*H43)</f>
        <v>2</v>
      </c>
      <c r="I44" s="13"/>
      <c r="J44" s="13"/>
      <c r="K44" s="13"/>
    </row>
    <row r="45" spans="1:11" ht="15.6">
      <c r="A45" s="13"/>
      <c r="B45" s="13"/>
      <c r="C45" s="13"/>
      <c r="D45" s="13"/>
      <c r="E45" s="13"/>
      <c r="F45" s="130">
        <f>H45/E40</f>
        <v>1</v>
      </c>
      <c r="G45" s="96"/>
      <c r="H45" s="114">
        <f>F40-(H40*F37)-(I40*H43)-(J40*H44)</f>
        <v>-2</v>
      </c>
      <c r="I45" s="13"/>
      <c r="J45" s="13"/>
      <c r="K45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F6C2-3F83-45BC-AEB7-62A2186C48C4}">
  <dimension ref="A1:O32"/>
  <sheetViews>
    <sheetView zoomScaleNormal="100" workbookViewId="0">
      <selection activeCell="I31" sqref="I31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9" ht="16.149999999999999" thickBot="1">
      <c r="A1" s="1" t="s">
        <v>0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12"/>
      <c r="I1" s="12"/>
    </row>
    <row r="2" spans="1:9" ht="16.149999999999999" thickBot="1">
      <c r="A2" s="2"/>
      <c r="B2" s="3">
        <v>-1.0194000000000001</v>
      </c>
      <c r="C2" s="3">
        <v>1</v>
      </c>
      <c r="D2" s="4">
        <v>0</v>
      </c>
      <c r="E2" s="8">
        <v>2</v>
      </c>
      <c r="F2" s="2"/>
      <c r="G2" s="29" cm="1">
        <f t="array" ref="G2:G4">MMULT(B2:D4,E26:E28)</f>
        <v>2</v>
      </c>
      <c r="H2" s="12"/>
      <c r="I2" s="12"/>
    </row>
    <row r="3" spans="1:9" ht="16.149999999999999" thickBot="1">
      <c r="A3" s="2"/>
      <c r="B3" s="3">
        <v>-2.0387</v>
      </c>
      <c r="C3" s="3">
        <v>-1</v>
      </c>
      <c r="D3" s="4">
        <v>1</v>
      </c>
      <c r="E3" s="8">
        <v>8</v>
      </c>
      <c r="F3" s="2"/>
      <c r="G3" s="29">
        <v>8</v>
      </c>
      <c r="H3" s="12"/>
      <c r="I3" s="12"/>
    </row>
    <row r="4" spans="1:9" ht="16.149999999999999" thickBot="1">
      <c r="A4" s="2"/>
      <c r="B4" s="3">
        <v>-5.0968</v>
      </c>
      <c r="C4" s="3">
        <v>0</v>
      </c>
      <c r="D4" s="4">
        <v>-1</v>
      </c>
      <c r="E4" s="8">
        <v>-50</v>
      </c>
      <c r="F4" s="2"/>
      <c r="G4" s="29">
        <v>-50</v>
      </c>
      <c r="H4" s="12"/>
      <c r="I4" s="12"/>
    </row>
    <row r="5" spans="1:9" ht="15.6">
      <c r="A5" s="2"/>
      <c r="B5" s="2"/>
      <c r="C5" s="2"/>
      <c r="D5" s="2"/>
      <c r="E5" s="19"/>
      <c r="F5" s="2"/>
      <c r="G5" s="25"/>
      <c r="H5" s="12"/>
      <c r="I5" s="12" t="s">
        <v>17</v>
      </c>
    </row>
    <row r="6" spans="1:9" ht="15.6">
      <c r="A6" s="64" t="s">
        <v>5</v>
      </c>
      <c r="B6" s="10">
        <f>IF($B$2=0,IF($B$3=0,IF($B$4=0,"Falla",B4),B3),B2)</f>
        <v>-1.0194000000000001</v>
      </c>
      <c r="C6" s="10">
        <f>IF($B$2=0,IF($B$3=0,IF($B$4=0,"Falla",C4),C3),C2)</f>
        <v>1</v>
      </c>
      <c r="D6" s="10">
        <f>IF($B$2=0,IF($B$3=0,IF($B$4=0,"Falla",D4),D3),D2)</f>
        <v>0</v>
      </c>
      <c r="E6" s="10">
        <f>IF($B$2=0,IF($B$3=0,IF($B$4=0,"Falla",E4),E3),E2)</f>
        <v>2</v>
      </c>
      <c r="F6" s="47" t="str">
        <f>IF(B6=B2,"aceptado 1",IF(B6=B3,"aceptado 2",IF(B6=B4,"aceptado 3","falla")))</f>
        <v>aceptado 1</v>
      </c>
      <c r="G6" s="10" cm="1">
        <f t="array" ref="G6:I8">MMULT(G22:I24,B22:D24)</f>
        <v>-1.0194000000000001</v>
      </c>
      <c r="H6" s="76">
        <v>1</v>
      </c>
      <c r="I6" s="76">
        <v>0</v>
      </c>
    </row>
    <row r="7" spans="1:9" ht="15.6">
      <c r="A7" s="2"/>
      <c r="B7" s="10">
        <f>IF($F$6="aceptado 2",B2,B3)</f>
        <v>-2.0387</v>
      </c>
      <c r="C7" s="10">
        <f>IF($F$6="aceptado 2",C2,C3)</f>
        <v>-1</v>
      </c>
      <c r="D7" s="10">
        <f>IF($F$6="aceptado 2",D2,D3)</f>
        <v>1</v>
      </c>
      <c r="E7" s="10">
        <f>IF($F$6="aceptado 2",E2,E3)</f>
        <v>8</v>
      </c>
      <c r="F7" s="47"/>
      <c r="G7" s="10">
        <v>-2.0387</v>
      </c>
      <c r="H7" s="76">
        <v>-0.99999999999999978</v>
      </c>
      <c r="I7" s="76">
        <v>1</v>
      </c>
    </row>
    <row r="8" spans="1:9" ht="15.6">
      <c r="A8" s="2"/>
      <c r="B8" s="10">
        <f>IF($F$6="aceptado 3",B2,B4)</f>
        <v>-5.0968</v>
      </c>
      <c r="C8" s="10">
        <f>IF($F$6="aceptado 3",C2,C4)</f>
        <v>0</v>
      </c>
      <c r="D8" s="10">
        <f>IF($F$6="aceptado 3",D2,D4)</f>
        <v>-1</v>
      </c>
      <c r="E8" s="10">
        <f>IF($F$6="aceptado 3",E2,E4)</f>
        <v>-50</v>
      </c>
      <c r="F8" s="47"/>
      <c r="G8" s="9">
        <v>-5.0968</v>
      </c>
      <c r="H8" s="76">
        <v>0</v>
      </c>
      <c r="I8" s="76">
        <v>-1</v>
      </c>
    </row>
    <row r="9" spans="1:9" ht="15">
      <c r="A9" s="2"/>
      <c r="B9" s="47"/>
      <c r="C9" s="47"/>
      <c r="D9" s="47"/>
      <c r="E9" s="47"/>
      <c r="F9" s="47"/>
      <c r="G9" s="47"/>
      <c r="H9" s="89" t="s">
        <v>6</v>
      </c>
      <c r="I9" s="89"/>
    </row>
    <row r="10" spans="1:9" ht="15.6">
      <c r="A10" s="65" t="s">
        <v>7</v>
      </c>
      <c r="B10" s="10">
        <f>B6</f>
        <v>-1.0194000000000001</v>
      </c>
      <c r="C10" s="10">
        <f>C6</f>
        <v>1</v>
      </c>
      <c r="D10" s="10">
        <f>D6</f>
        <v>0</v>
      </c>
      <c r="E10" s="10">
        <f>E6</f>
        <v>2</v>
      </c>
      <c r="F10" s="47"/>
      <c r="G10" s="92">
        <v>1</v>
      </c>
      <c r="H10" s="93">
        <v>0</v>
      </c>
      <c r="I10" s="93">
        <v>0</v>
      </c>
    </row>
    <row r="11" spans="1:9" ht="15.6">
      <c r="A11" s="2"/>
      <c r="B11" s="16">
        <f>B7-($B$7/$B$6)*B6</f>
        <v>0</v>
      </c>
      <c r="C11" s="10">
        <f>C7-($B$7/$B$6)*C6</f>
        <v>-2.999901903080243</v>
      </c>
      <c r="D11" s="10">
        <f>D7-($B$7/$B$6)*D6</f>
        <v>1</v>
      </c>
      <c r="E11" s="10">
        <f t="shared" ref="E11:E12" si="0">E7</f>
        <v>8</v>
      </c>
      <c r="F11" s="47"/>
      <c r="G11" s="51">
        <f>B7/B6</f>
        <v>1.9999019030802432</v>
      </c>
      <c r="H11" s="93">
        <v>1</v>
      </c>
      <c r="I11" s="93">
        <v>0</v>
      </c>
    </row>
    <row r="12" spans="1:9" ht="15.6">
      <c r="A12" s="2"/>
      <c r="B12" s="16">
        <f>B8-($B$8/$B$6)*B6</f>
        <v>0</v>
      </c>
      <c r="C12" s="10">
        <f>C8-($B$8/$B$6)*C6</f>
        <v>-4.9998038061604859</v>
      </c>
      <c r="D12" s="10">
        <f>D8-($B$8/$B$6)*D6</f>
        <v>-1</v>
      </c>
      <c r="E12" s="10">
        <f t="shared" si="0"/>
        <v>-50</v>
      </c>
      <c r="F12" s="47"/>
      <c r="G12" s="51">
        <f>B8/B6</f>
        <v>4.9998038061604859</v>
      </c>
      <c r="H12" s="84">
        <f>C8/C7</f>
        <v>0</v>
      </c>
      <c r="I12" s="93">
        <v>1</v>
      </c>
    </row>
    <row r="13" spans="1:9" ht="15.6">
      <c r="A13" s="2"/>
      <c r="B13" s="47"/>
      <c r="C13" s="47"/>
      <c r="D13" s="47"/>
      <c r="E13" s="47"/>
      <c r="F13" s="47"/>
      <c r="G13" s="47"/>
      <c r="H13" s="88"/>
      <c r="I13" s="88"/>
    </row>
    <row r="14" spans="1:9" ht="15.6">
      <c r="A14" s="64" t="s">
        <v>9</v>
      </c>
      <c r="B14" s="10">
        <f>B10</f>
        <v>-1.0194000000000001</v>
      </c>
      <c r="C14" s="10">
        <f>C10</f>
        <v>1</v>
      </c>
      <c r="D14" s="10">
        <f>D10</f>
        <v>0</v>
      </c>
      <c r="E14" s="10">
        <f>E10</f>
        <v>2</v>
      </c>
      <c r="F14" s="47" t="str">
        <f>IF(C15=C11,"aceptado 2",IF(C15=C12,"aceptado 3","falla"))</f>
        <v>aceptado 2</v>
      </c>
      <c r="G14" s="33">
        <f>G10</f>
        <v>1</v>
      </c>
      <c r="H14" s="77">
        <f>H10</f>
        <v>0</v>
      </c>
      <c r="I14" s="77">
        <f>I10</f>
        <v>0</v>
      </c>
    </row>
    <row r="15" spans="1:9" ht="15.6">
      <c r="A15" s="2"/>
      <c r="B15" s="10">
        <f>IF($C$11=0,IF($C$12=0,"falla",B12),B11)</f>
        <v>0</v>
      </c>
      <c r="C15" s="10">
        <f>IF($C$11=0,IF($C$12=0,"falla",C12),C11)</f>
        <v>-2.999901903080243</v>
      </c>
      <c r="D15" s="10">
        <f>IF($C$11=0,IF($C$12=0,"falla",D12),D11)</f>
        <v>1</v>
      </c>
      <c r="E15" s="10">
        <f>E11</f>
        <v>8</v>
      </c>
      <c r="F15" s="47"/>
      <c r="G15" s="33">
        <f>IF($C$11=0,IF($C$12=0,"falla",G12),G11)</f>
        <v>1.9999019030802432</v>
      </c>
      <c r="H15" s="77">
        <f>H11</f>
        <v>1</v>
      </c>
      <c r="I15" s="77">
        <f>I11</f>
        <v>0</v>
      </c>
    </row>
    <row r="16" spans="1:9" ht="15.6">
      <c r="A16" s="2"/>
      <c r="B16" s="10">
        <f>IF($F$14="aceptado 2",B12,B11)</f>
        <v>0</v>
      </c>
      <c r="C16" s="10">
        <f>IF($F$14="aceptado 2",C12,C11)</f>
        <v>-4.9998038061604859</v>
      </c>
      <c r="D16" s="10">
        <f>IF($F$14="aceptado 2",D12,D11)</f>
        <v>-1</v>
      </c>
      <c r="E16" s="10">
        <f>E12</f>
        <v>-50</v>
      </c>
      <c r="F16" s="47"/>
      <c r="G16" s="33">
        <f>IF($F$14="aceptado 2",G12,G11)</f>
        <v>4.9998038061604859</v>
      </c>
      <c r="H16" s="42">
        <f>C12/C11</f>
        <v>1.6666557666524966</v>
      </c>
      <c r="I16" s="77">
        <f>I12</f>
        <v>1</v>
      </c>
    </row>
    <row r="17" spans="1:15" ht="15.6">
      <c r="A17" s="2"/>
      <c r="B17" s="47"/>
      <c r="C17" s="47"/>
      <c r="D17" s="47"/>
      <c r="E17" s="47"/>
      <c r="F17" s="47"/>
      <c r="G17" s="47"/>
      <c r="H17" s="88"/>
      <c r="I17" s="88"/>
    </row>
    <row r="18" spans="1:15" ht="15.6">
      <c r="A18" s="65" t="s">
        <v>18</v>
      </c>
      <c r="B18" s="10">
        <f>B14</f>
        <v>-1.0194000000000001</v>
      </c>
      <c r="C18" s="10">
        <f>C14</f>
        <v>1</v>
      </c>
      <c r="D18" s="10">
        <f t="shared" ref="D18" si="1">D14</f>
        <v>0</v>
      </c>
      <c r="E18" s="10">
        <f>E14</f>
        <v>2</v>
      </c>
      <c r="F18" s="47"/>
      <c r="G18" s="36">
        <f>G14</f>
        <v>1</v>
      </c>
      <c r="H18" s="79">
        <f>H14</f>
        <v>0</v>
      </c>
      <c r="I18" s="79">
        <f>I14</f>
        <v>0</v>
      </c>
    </row>
    <row r="19" spans="1:15" ht="15.6">
      <c r="A19" s="2"/>
      <c r="B19" s="10">
        <f>B15</f>
        <v>0</v>
      </c>
      <c r="C19" s="10">
        <f>C15</f>
        <v>-2.999901903080243</v>
      </c>
      <c r="D19" s="10">
        <f>D15</f>
        <v>1</v>
      </c>
      <c r="E19" s="10">
        <f>E15</f>
        <v>8</v>
      </c>
      <c r="F19" s="47"/>
      <c r="G19" s="36">
        <f>IF($C$11=0,IF($C$12=0,"falla",G16),G15)</f>
        <v>1.9999019030802432</v>
      </c>
      <c r="H19" s="79">
        <f>H15</f>
        <v>1</v>
      </c>
      <c r="I19" s="79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9">
        <f>D16-($C$16/$C$15)*D15</f>
        <v>-2.6666557666524966</v>
      </c>
      <c r="E20" s="10">
        <f>E16</f>
        <v>-50</v>
      </c>
      <c r="F20" s="47"/>
      <c r="G20" s="36">
        <f>IF($F$14="aceptado 2",G16,G15)</f>
        <v>4.9998038061604859</v>
      </c>
      <c r="H20" s="38">
        <f>C16/C15</f>
        <v>1.6666557666524966</v>
      </c>
      <c r="I20" s="79">
        <f>I16</f>
        <v>1</v>
      </c>
      <c r="O20" s="22"/>
    </row>
    <row r="21" spans="1:15" ht="15.6">
      <c r="A21" s="2"/>
      <c r="B21" s="47"/>
      <c r="C21" s="48" t="s">
        <v>8</v>
      </c>
      <c r="D21" s="47"/>
      <c r="E21" s="48" t="s">
        <v>2</v>
      </c>
      <c r="F21" s="47"/>
      <c r="G21" s="47"/>
      <c r="H21" s="90" t="s">
        <v>19</v>
      </c>
      <c r="I21" s="88"/>
    </row>
    <row r="22" spans="1:15" ht="15">
      <c r="A22" s="64" t="s">
        <v>20</v>
      </c>
      <c r="B22" s="36">
        <f t="shared" ref="B22:E23" si="2">B18</f>
        <v>-1.0194000000000001</v>
      </c>
      <c r="C22" s="36">
        <f t="shared" si="2"/>
        <v>1</v>
      </c>
      <c r="D22" s="36">
        <f t="shared" si="2"/>
        <v>0</v>
      </c>
      <c r="E22" s="63">
        <f t="shared" si="2"/>
        <v>2</v>
      </c>
      <c r="F22" s="47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-2.999901903080243</v>
      </c>
      <c r="D23" s="36">
        <f t="shared" si="2"/>
        <v>1</v>
      </c>
      <c r="E23" s="63">
        <f t="shared" si="2"/>
        <v>8</v>
      </c>
      <c r="F23" s="47"/>
      <c r="G23" s="39">
        <f t="shared" si="3"/>
        <v>1.9999019030802432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14">
        <f>IF($D$20=0,"falla",D20)</f>
        <v>-2.6666557666524966</v>
      </c>
      <c r="E24" s="63">
        <f>IF($D$20=0,"falla",E20)</f>
        <v>-50</v>
      </c>
      <c r="F24" s="47"/>
      <c r="G24" s="39">
        <f>IF($D$20=0,"falla",G20)</f>
        <v>4.9998038061604859</v>
      </c>
      <c r="H24" s="40">
        <f>IF($D$20=0,"falla",H20)</f>
        <v>1.6666557666524966</v>
      </c>
      <c r="I24" s="39">
        <f>IF($D$20=0,"falla",I20)</f>
        <v>1</v>
      </c>
    </row>
    <row r="25" spans="1:15" ht="15.6">
      <c r="A25" s="2"/>
      <c r="B25" s="47"/>
      <c r="C25" s="47"/>
      <c r="D25" s="47"/>
      <c r="E25" s="91" t="s">
        <v>10</v>
      </c>
      <c r="F25" s="47"/>
      <c r="G25" s="48" t="s">
        <v>11</v>
      </c>
      <c r="H25" s="89"/>
      <c r="I25" s="89"/>
    </row>
    <row r="26" spans="1:15" ht="15.6">
      <c r="A26" s="15"/>
      <c r="B26" s="47"/>
      <c r="C26" s="47"/>
      <c r="D26" s="47"/>
      <c r="E26" s="23">
        <f>(G26-C22*E27-D22*E28)/B22</f>
        <v>4.9050264258298695</v>
      </c>
      <c r="F26" s="47"/>
      <c r="G26" s="61">
        <f>E22</f>
        <v>2</v>
      </c>
      <c r="H26" s="89"/>
      <c r="I26" s="89"/>
    </row>
    <row r="27" spans="1:15" ht="15.6">
      <c r="A27" s="2"/>
      <c r="B27" s="47"/>
      <c r="C27" s="47"/>
      <c r="D27" s="47"/>
      <c r="E27" s="87">
        <f>(G27-D23*E28)/C23</f>
        <v>7.0001839384909692</v>
      </c>
      <c r="F27" s="47"/>
      <c r="G27" s="61">
        <f>E23-G23*G26</f>
        <v>4.0001961938395141</v>
      </c>
      <c r="H27" s="89"/>
      <c r="I27" s="89" t="s">
        <v>21</v>
      </c>
    </row>
    <row r="28" spans="1:15" ht="15.6">
      <c r="A28" s="2"/>
      <c r="B28" s="47"/>
      <c r="C28" s="47"/>
      <c r="D28" s="47"/>
      <c r="E28" s="87">
        <f>G28/D24</f>
        <v>25.000061312830322</v>
      </c>
      <c r="F28" s="47"/>
      <c r="G28" s="20">
        <f>E24-G24*G26-H24*G27</f>
        <v>-66.666557666524966</v>
      </c>
      <c r="H28" s="89"/>
      <c r="I28" s="89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927C-4DB8-43B7-BB7A-EB909AF66C11}">
  <dimension ref="A1:O32"/>
  <sheetViews>
    <sheetView zoomScaleNormal="100" workbookViewId="0"/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9" ht="16.149999999999999" thickBot="1">
      <c r="A1" s="1" t="s">
        <v>0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12"/>
      <c r="I1" s="12"/>
    </row>
    <row r="2" spans="1:9" ht="16.149999999999999" thickBot="1">
      <c r="A2" s="2"/>
      <c r="B2" s="3">
        <v>1</v>
      </c>
      <c r="C2" s="3">
        <v>-1</v>
      </c>
      <c r="D2" s="4">
        <v>1</v>
      </c>
      <c r="E2" s="8">
        <v>0</v>
      </c>
      <c r="F2" s="2"/>
      <c r="G2" s="29" cm="1">
        <f t="array" ref="G2:G4">MMULT(B2:D4,E26:E28)</f>
        <v>0</v>
      </c>
      <c r="H2" s="12"/>
      <c r="I2" s="12"/>
    </row>
    <row r="3" spans="1:9" ht="16.149999999999999" thickBot="1">
      <c r="A3" s="2"/>
      <c r="B3" s="3">
        <v>2</v>
      </c>
      <c r="C3" s="3">
        <v>3</v>
      </c>
      <c r="D3" s="4">
        <v>0</v>
      </c>
      <c r="E3" s="8">
        <v>12</v>
      </c>
      <c r="F3" s="2"/>
      <c r="G3" s="29">
        <v>12</v>
      </c>
      <c r="H3" s="12"/>
      <c r="I3" s="12"/>
    </row>
    <row r="4" spans="1:9" ht="16.149999999999999" thickBot="1">
      <c r="A4" s="2"/>
      <c r="B4" s="3">
        <v>0</v>
      </c>
      <c r="C4" s="3">
        <v>3</v>
      </c>
      <c r="D4" s="4">
        <v>1</v>
      </c>
      <c r="E4" s="8">
        <v>10</v>
      </c>
      <c r="F4" s="2"/>
      <c r="G4" s="29">
        <v>10</v>
      </c>
      <c r="H4" s="12"/>
      <c r="I4" s="12"/>
    </row>
    <row r="5" spans="1:9" ht="15.6">
      <c r="A5" s="2"/>
      <c r="B5" s="2"/>
      <c r="C5" s="2"/>
      <c r="D5" s="2"/>
      <c r="E5" s="19"/>
      <c r="F5" s="2"/>
      <c r="G5" s="25"/>
      <c r="H5" s="12"/>
      <c r="I5" s="12" t="s">
        <v>17</v>
      </c>
    </row>
    <row r="6" spans="1:9" ht="15.6">
      <c r="A6" s="64" t="s">
        <v>5</v>
      </c>
      <c r="B6" s="10">
        <f>IF($B$2=0,IF($B$3=0,IF($B$4=0,"Falla",B4),B3),B2)</f>
        <v>1</v>
      </c>
      <c r="C6" s="10">
        <f>IF($B$2=0,IF($B$3=0,IF($B$4=0,"Falla",C4),C3),C2)</f>
        <v>-1</v>
      </c>
      <c r="D6" s="10">
        <f>IF($B$2=0,IF($B$3=0,IF($B$4=0,"Falla",D4),D3),D2)</f>
        <v>1</v>
      </c>
      <c r="E6" s="10">
        <f>IF($B$2=0,IF($B$3=0,IF($B$4=0,"Falla",E4),E3),E2)</f>
        <v>0</v>
      </c>
      <c r="F6" s="47" t="str">
        <f>IF(B6=B2,"aceptado 1",IF(B6=B3,"aceptado 2",IF(B6=B4,"aceptado 3","falla")))</f>
        <v>aceptado 1</v>
      </c>
      <c r="G6" s="10" cm="1">
        <f t="array" ref="G6:I8">MMULT(G22:I24,B22:D24)</f>
        <v>1</v>
      </c>
      <c r="H6" s="76">
        <v>-1</v>
      </c>
      <c r="I6" s="76">
        <v>1</v>
      </c>
    </row>
    <row r="7" spans="1:9" ht="15.6">
      <c r="A7" s="2"/>
      <c r="B7" s="10">
        <f>IF($F$6="aceptado 2",B2,B3)</f>
        <v>2</v>
      </c>
      <c r="C7" s="10">
        <f>IF($F$6="aceptado 2",C2,C3)</f>
        <v>3</v>
      </c>
      <c r="D7" s="10">
        <f>IF($F$6="aceptado 2",D2,D3)</f>
        <v>0</v>
      </c>
      <c r="E7" s="10">
        <f>IF($F$6="aceptado 2",E2,E3)</f>
        <v>12</v>
      </c>
      <c r="F7" s="47"/>
      <c r="G7" s="10">
        <v>2</v>
      </c>
      <c r="H7" s="76">
        <v>3</v>
      </c>
      <c r="I7" s="76">
        <v>0</v>
      </c>
    </row>
    <row r="8" spans="1:9" ht="15.6">
      <c r="A8" s="2"/>
      <c r="B8" s="10">
        <f>IF($F$6="aceptado 3",B2,B4)</f>
        <v>0</v>
      </c>
      <c r="C8" s="10">
        <f>IF($F$6="aceptado 3",C2,C4)</f>
        <v>3</v>
      </c>
      <c r="D8" s="10">
        <f>IF($F$6="aceptado 3",D2,D4)</f>
        <v>1</v>
      </c>
      <c r="E8" s="10">
        <f>IF($F$6="aceptado 3",E2,E4)</f>
        <v>10</v>
      </c>
      <c r="F8" s="47"/>
      <c r="G8" s="10">
        <v>0</v>
      </c>
      <c r="H8" s="76">
        <v>3</v>
      </c>
      <c r="I8" s="76">
        <v>1.0000000000000002</v>
      </c>
    </row>
    <row r="9" spans="1:9" ht="15">
      <c r="A9" s="2"/>
      <c r="B9" s="47"/>
      <c r="C9" s="47"/>
      <c r="D9" s="47"/>
      <c r="E9" s="47"/>
      <c r="F9" s="47"/>
      <c r="G9" s="47"/>
      <c r="H9" s="89" t="s">
        <v>6</v>
      </c>
      <c r="I9" s="89"/>
    </row>
    <row r="10" spans="1:9" ht="15.6">
      <c r="A10" s="65" t="s">
        <v>7</v>
      </c>
      <c r="B10" s="10">
        <f>B6</f>
        <v>1</v>
      </c>
      <c r="C10" s="10">
        <f>C6</f>
        <v>-1</v>
      </c>
      <c r="D10" s="10">
        <f>D6</f>
        <v>1</v>
      </c>
      <c r="E10" s="10">
        <f>E6</f>
        <v>0</v>
      </c>
      <c r="F10" s="47"/>
      <c r="G10" s="92">
        <v>1</v>
      </c>
      <c r="H10" s="93">
        <v>0</v>
      </c>
      <c r="I10" s="93">
        <v>0</v>
      </c>
    </row>
    <row r="11" spans="1:9" ht="15.6">
      <c r="A11" s="2"/>
      <c r="B11" s="16">
        <f>B7-($B$7/$B$6)*B6</f>
        <v>0</v>
      </c>
      <c r="C11" s="10">
        <f>C7-($B$7/$B$6)*C6</f>
        <v>5</v>
      </c>
      <c r="D11" s="10">
        <f>D7-($B$7/$B$6)*D6</f>
        <v>-2</v>
      </c>
      <c r="E11" s="10">
        <f t="shared" ref="E11:E12" si="0">E7</f>
        <v>12</v>
      </c>
      <c r="F11" s="47"/>
      <c r="G11" s="51">
        <f>B7/B6</f>
        <v>2</v>
      </c>
      <c r="H11" s="93">
        <v>1</v>
      </c>
      <c r="I11" s="93">
        <v>0</v>
      </c>
    </row>
    <row r="12" spans="1:9" ht="15.6">
      <c r="A12" s="2"/>
      <c r="B12" s="16">
        <f>B8-($B$8/$B$6)*B6</f>
        <v>0</v>
      </c>
      <c r="C12" s="10">
        <f>C8-($B$8/$B$6)*C6</f>
        <v>3</v>
      </c>
      <c r="D12" s="10">
        <f>D8-($B$8/$B$6)*D6</f>
        <v>1</v>
      </c>
      <c r="E12" s="10">
        <f t="shared" si="0"/>
        <v>10</v>
      </c>
      <c r="F12" s="47"/>
      <c r="G12" s="51">
        <f>B8/B6</f>
        <v>0</v>
      </c>
      <c r="H12" s="84">
        <f>C8/C7</f>
        <v>1</v>
      </c>
      <c r="I12" s="93">
        <v>1</v>
      </c>
    </row>
    <row r="13" spans="1:9" ht="15.6">
      <c r="A13" s="2"/>
      <c r="B13" s="47"/>
      <c r="C13" s="47"/>
      <c r="D13" s="47"/>
      <c r="E13" s="47"/>
      <c r="F13" s="47"/>
      <c r="G13" s="47"/>
      <c r="H13" s="88"/>
      <c r="I13" s="88"/>
    </row>
    <row r="14" spans="1:9" ht="15.6">
      <c r="A14" s="64" t="s">
        <v>9</v>
      </c>
      <c r="B14" s="10">
        <f>B10</f>
        <v>1</v>
      </c>
      <c r="C14" s="10">
        <f>C10</f>
        <v>-1</v>
      </c>
      <c r="D14" s="10">
        <f>D10</f>
        <v>1</v>
      </c>
      <c r="E14" s="10">
        <f>E10</f>
        <v>0</v>
      </c>
      <c r="F14" s="47" t="str">
        <f>IF(C15=C11,"aceptado 2",IF(C15=C12,"aceptado 3","falla"))</f>
        <v>aceptado 2</v>
      </c>
      <c r="G14" s="33">
        <f>G10</f>
        <v>1</v>
      </c>
      <c r="H14" s="77">
        <f>H10</f>
        <v>0</v>
      </c>
      <c r="I14" s="77">
        <f>I10</f>
        <v>0</v>
      </c>
    </row>
    <row r="15" spans="1:9" ht="15.6">
      <c r="A15" s="2"/>
      <c r="B15" s="10">
        <f>IF($C$11=0,IF($C$12=0,"falla",B12),B11)</f>
        <v>0</v>
      </c>
      <c r="C15" s="10">
        <f>IF($C$11=0,IF($C$12=0,"falla",C12),C11)</f>
        <v>5</v>
      </c>
      <c r="D15" s="10">
        <f>IF($C$11=0,IF($C$12=0,"falla",D12),D11)</f>
        <v>-2</v>
      </c>
      <c r="E15" s="10">
        <f>E11</f>
        <v>12</v>
      </c>
      <c r="F15" s="47"/>
      <c r="G15" s="33">
        <f>IF($C$11=0,IF($C$12=0,"falla",G12),G11)</f>
        <v>2</v>
      </c>
      <c r="H15" s="77">
        <f>H11</f>
        <v>1</v>
      </c>
      <c r="I15" s="77">
        <f>I11</f>
        <v>0</v>
      </c>
    </row>
    <row r="16" spans="1:9" ht="15.6">
      <c r="A16" s="2"/>
      <c r="B16" s="10">
        <f>IF($F$14="aceptado 2",B12,B11)</f>
        <v>0</v>
      </c>
      <c r="C16" s="10">
        <f>IF($F$14="aceptado 2",C12,C11)</f>
        <v>3</v>
      </c>
      <c r="D16" s="10">
        <f>IF($F$14="aceptado 2",D12,D11)</f>
        <v>1</v>
      </c>
      <c r="E16" s="10">
        <f>E12</f>
        <v>10</v>
      </c>
      <c r="F16" s="47"/>
      <c r="G16" s="33">
        <f>IF($F$14="aceptado 2",G12,G11)</f>
        <v>0</v>
      </c>
      <c r="H16" s="78">
        <f>C12/C11</f>
        <v>0.6</v>
      </c>
      <c r="I16" s="77">
        <f>I12</f>
        <v>1</v>
      </c>
    </row>
    <row r="17" spans="1:15" ht="15.6">
      <c r="A17" s="2"/>
      <c r="B17" s="47"/>
      <c r="C17" s="47"/>
      <c r="D17" s="47"/>
      <c r="E17" s="47"/>
      <c r="F17" s="47"/>
      <c r="G17" s="47"/>
      <c r="H17" s="88"/>
      <c r="I17" s="88"/>
    </row>
    <row r="18" spans="1:15" ht="15.6">
      <c r="A18" s="65" t="s">
        <v>18</v>
      </c>
      <c r="B18" s="10">
        <f>B14</f>
        <v>1</v>
      </c>
      <c r="C18" s="10">
        <f>C14</f>
        <v>-1</v>
      </c>
      <c r="D18" s="10">
        <f t="shared" ref="D18" si="1">D14</f>
        <v>1</v>
      </c>
      <c r="E18" s="10">
        <f>E14</f>
        <v>0</v>
      </c>
      <c r="F18" s="47"/>
      <c r="G18" s="36">
        <f>G14</f>
        <v>1</v>
      </c>
      <c r="H18" s="79">
        <f>H14</f>
        <v>0</v>
      </c>
      <c r="I18" s="79">
        <f>I14</f>
        <v>0</v>
      </c>
    </row>
    <row r="19" spans="1:15" ht="15.6">
      <c r="A19" s="2"/>
      <c r="B19" s="10">
        <f>B15</f>
        <v>0</v>
      </c>
      <c r="C19" s="10">
        <f>C15</f>
        <v>5</v>
      </c>
      <c r="D19" s="10">
        <f>D15</f>
        <v>-2</v>
      </c>
      <c r="E19" s="10">
        <f>E15</f>
        <v>12</v>
      </c>
      <c r="F19" s="47"/>
      <c r="G19" s="36">
        <f>IF($C$11=0,IF($C$12=0,"falla",G16),G15)</f>
        <v>2</v>
      </c>
      <c r="H19" s="79">
        <f>H15</f>
        <v>1</v>
      </c>
      <c r="I19" s="79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47">
        <f>D16-($C$16/$C$15)*D15</f>
        <v>2.2000000000000002</v>
      </c>
      <c r="E20" s="10">
        <f>E16</f>
        <v>10</v>
      </c>
      <c r="F20" s="47"/>
      <c r="G20" s="36">
        <f>IF($F$14="aceptado 2",G16,G15)</f>
        <v>0</v>
      </c>
      <c r="H20" s="85">
        <f>C16/C15</f>
        <v>0.6</v>
      </c>
      <c r="I20" s="79">
        <f>I16</f>
        <v>1</v>
      </c>
      <c r="O20" s="22"/>
    </row>
    <row r="21" spans="1:15" ht="15.6">
      <c r="A21" s="2"/>
      <c r="B21" s="47"/>
      <c r="C21" s="48" t="s">
        <v>8</v>
      </c>
      <c r="D21" s="47"/>
      <c r="E21" s="48" t="s">
        <v>2</v>
      </c>
      <c r="F21" s="47"/>
      <c r="G21" s="47"/>
      <c r="H21" s="90" t="s">
        <v>19</v>
      </c>
      <c r="I21" s="88"/>
    </row>
    <row r="22" spans="1:15" ht="15">
      <c r="A22" s="64" t="s">
        <v>20</v>
      </c>
      <c r="B22" s="36">
        <f t="shared" ref="B22:E23" si="2">B18</f>
        <v>1</v>
      </c>
      <c r="C22" s="36">
        <f t="shared" si="2"/>
        <v>-1</v>
      </c>
      <c r="D22" s="36">
        <f t="shared" si="2"/>
        <v>1</v>
      </c>
      <c r="E22" s="63">
        <f t="shared" si="2"/>
        <v>0</v>
      </c>
      <c r="F22" s="47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5</v>
      </c>
      <c r="D23" s="36">
        <f t="shared" si="2"/>
        <v>-2</v>
      </c>
      <c r="E23" s="63">
        <f t="shared" si="2"/>
        <v>12</v>
      </c>
      <c r="F23" s="47"/>
      <c r="G23" s="39">
        <f t="shared" si="3"/>
        <v>2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56">
        <f>IF($D$20=0,"falla",D20)</f>
        <v>2.2000000000000002</v>
      </c>
      <c r="E24" s="63">
        <f>IF($D$20=0,"falla",E20)</f>
        <v>10</v>
      </c>
      <c r="F24" s="47"/>
      <c r="G24" s="39">
        <f>IF($D$20=0,"falla",G20)</f>
        <v>0</v>
      </c>
      <c r="H24" s="58">
        <f>IF($D$20=0,"falla",H20)</f>
        <v>0.6</v>
      </c>
      <c r="I24" s="39">
        <f>IF($D$20=0,"falla",I20)</f>
        <v>1</v>
      </c>
    </row>
    <row r="25" spans="1:15" ht="15.6">
      <c r="A25" s="2"/>
      <c r="B25" s="47"/>
      <c r="C25" s="47"/>
      <c r="D25" s="47"/>
      <c r="E25" s="91" t="s">
        <v>10</v>
      </c>
      <c r="F25" s="47"/>
      <c r="G25" s="48" t="s">
        <v>11</v>
      </c>
      <c r="H25" s="89"/>
      <c r="I25" s="89"/>
    </row>
    <row r="26" spans="1:15" ht="15.6">
      <c r="A26" s="15"/>
      <c r="B26" s="47"/>
      <c r="C26" s="47"/>
      <c r="D26" s="47"/>
      <c r="E26" s="23">
        <f>(G26-C22*E27-D22*E28)/B22</f>
        <v>1.6363636363636362</v>
      </c>
      <c r="F26" s="47"/>
      <c r="G26" s="62">
        <f>E22</f>
        <v>0</v>
      </c>
      <c r="H26" s="89"/>
      <c r="I26" s="89"/>
    </row>
    <row r="27" spans="1:15" ht="15.6">
      <c r="A27" s="2"/>
      <c r="B27" s="47"/>
      <c r="C27" s="47"/>
      <c r="D27" s="47"/>
      <c r="E27" s="23">
        <f>(G27-D23*E28)/C23</f>
        <v>2.9090909090909092</v>
      </c>
      <c r="F27" s="47"/>
      <c r="G27" s="62">
        <f>E23-G23*G26</f>
        <v>12</v>
      </c>
      <c r="H27" s="89"/>
      <c r="I27" s="89" t="s">
        <v>21</v>
      </c>
    </row>
    <row r="28" spans="1:15" ht="15.6">
      <c r="A28" s="2"/>
      <c r="B28" s="47"/>
      <c r="C28" s="47"/>
      <c r="D28" s="47"/>
      <c r="E28" s="23">
        <f>G28/D24</f>
        <v>1.2727272727272729</v>
      </c>
      <c r="F28" s="47"/>
      <c r="G28" s="61">
        <f>E24-G24*G26-H24*G27</f>
        <v>2.8000000000000007</v>
      </c>
      <c r="H28" s="89"/>
      <c r="I28" s="89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7CB4-D4FA-4D43-9B60-89FE2A12B8B9}">
  <dimension ref="A1:O32"/>
  <sheetViews>
    <sheetView zoomScaleNormal="100" workbookViewId="0">
      <selection activeCell="K18" sqref="K18"/>
    </sheetView>
  </sheetViews>
  <sheetFormatPr defaultColWidth="11.42578125" defaultRowHeight="14.45"/>
  <cols>
    <col min="1" max="1" width="19.85546875" bestFit="1" customWidth="1"/>
    <col min="7" max="7" width="19.42578125" bestFit="1" customWidth="1"/>
  </cols>
  <sheetData>
    <row r="1" spans="1:9" ht="16.149999999999999" thickBot="1">
      <c r="A1" s="1" t="s">
        <v>0</v>
      </c>
      <c r="B1" s="2"/>
      <c r="C1" s="2" t="s">
        <v>1</v>
      </c>
      <c r="D1" s="2"/>
      <c r="E1" s="2" t="s">
        <v>2</v>
      </c>
      <c r="F1" s="7" t="s">
        <v>3</v>
      </c>
      <c r="G1" s="44" t="s">
        <v>4</v>
      </c>
      <c r="H1" s="12"/>
      <c r="I1" s="12"/>
    </row>
    <row r="2" spans="1:9" ht="16.149999999999999" thickBot="1">
      <c r="A2" s="2"/>
      <c r="B2" s="3">
        <v>1</v>
      </c>
      <c r="C2" s="3">
        <v>1</v>
      </c>
      <c r="D2" s="4">
        <v>1</v>
      </c>
      <c r="E2" s="8">
        <v>60</v>
      </c>
      <c r="F2" s="2"/>
      <c r="G2" s="29" cm="1">
        <f t="array" ref="G2:G4">MMULT(B2:D4,E26:E28)</f>
        <v>60</v>
      </c>
      <c r="H2" s="12"/>
      <c r="I2" s="12"/>
    </row>
    <row r="3" spans="1:9" ht="16.149999999999999" thickBot="1">
      <c r="A3" s="2"/>
      <c r="B3" s="3">
        <v>0</v>
      </c>
      <c r="C3" s="3">
        <v>1</v>
      </c>
      <c r="D3" s="4">
        <v>-2</v>
      </c>
      <c r="E3" s="8">
        <v>0</v>
      </c>
      <c r="F3" s="2"/>
      <c r="G3" s="29">
        <v>0</v>
      </c>
      <c r="H3" s="12"/>
      <c r="I3" s="12"/>
    </row>
    <row r="4" spans="1:9" ht="16.149999999999999" thickBot="1">
      <c r="A4" s="2"/>
      <c r="B4" s="3">
        <v>1</v>
      </c>
      <c r="C4" s="3">
        <v>-4</v>
      </c>
      <c r="D4" s="4">
        <v>-4</v>
      </c>
      <c r="E4" s="8">
        <v>0</v>
      </c>
      <c r="F4" s="2"/>
      <c r="G4" s="29">
        <v>0</v>
      </c>
      <c r="H4" s="12"/>
      <c r="I4" s="12"/>
    </row>
    <row r="5" spans="1:9" ht="15.6">
      <c r="A5" s="2"/>
      <c r="B5" s="2"/>
      <c r="C5" s="2"/>
      <c r="D5" s="2"/>
      <c r="E5" s="19"/>
      <c r="F5" s="2"/>
      <c r="G5" s="25"/>
      <c r="H5" s="12"/>
      <c r="I5" s="12" t="s">
        <v>17</v>
      </c>
    </row>
    <row r="6" spans="1:9" ht="15.6">
      <c r="A6" s="64" t="s">
        <v>5</v>
      </c>
      <c r="B6" s="10">
        <f>IF($B$2=0,IF($B$3=0,IF($B$4=0,"Falla",B4),B3),B2)</f>
        <v>1</v>
      </c>
      <c r="C6" s="10">
        <f>IF($B$2=0,IF($B$3=0,IF($B$4=0,"Falla",C4),C3),C2)</f>
        <v>1</v>
      </c>
      <c r="D6" s="10">
        <f>IF($B$2=0,IF($B$3=0,IF($B$4=0,"Falla",D4),D3),D2)</f>
        <v>1</v>
      </c>
      <c r="E6" s="10">
        <f>IF($B$2=0,IF($B$3=0,IF($B$4=0,"Falla",E4),E3),E2)</f>
        <v>60</v>
      </c>
      <c r="F6" s="47" t="str">
        <f>IF(B6=B2,"aceptado 1",IF(B6=B3,"aceptado 2",IF(B6=B4,"aceptado 3","falla")))</f>
        <v>aceptado 1</v>
      </c>
      <c r="G6" s="10" cm="1">
        <f t="array" ref="G6:I8">MMULT(G22:I24,B22:D24)</f>
        <v>1</v>
      </c>
      <c r="H6" s="76">
        <v>1</v>
      </c>
      <c r="I6" s="76">
        <v>1</v>
      </c>
    </row>
    <row r="7" spans="1:9" ht="15.6">
      <c r="A7" s="2"/>
      <c r="B7" s="10">
        <f>IF($F$6="aceptado 2",B2,B3)</f>
        <v>0</v>
      </c>
      <c r="C7" s="10">
        <f>IF($F$6="aceptado 2",C2,C3)</f>
        <v>1</v>
      </c>
      <c r="D7" s="10">
        <f>IF($F$6="aceptado 2",D2,D3)</f>
        <v>-2</v>
      </c>
      <c r="E7" s="10">
        <f>IF($F$6="aceptado 2",E2,E3)</f>
        <v>0</v>
      </c>
      <c r="F7" s="47"/>
      <c r="G7" s="10">
        <v>0</v>
      </c>
      <c r="H7" s="76">
        <v>1</v>
      </c>
      <c r="I7" s="76">
        <v>-2</v>
      </c>
    </row>
    <row r="8" spans="1:9" ht="15.6">
      <c r="A8" s="2"/>
      <c r="B8" s="10">
        <f>IF($F$6="aceptado 3",B2,B4)</f>
        <v>1</v>
      </c>
      <c r="C8" s="10">
        <f>IF($F$6="aceptado 3",C2,C4)</f>
        <v>-4</v>
      </c>
      <c r="D8" s="10">
        <f>IF($F$6="aceptado 3",D2,D4)</f>
        <v>-4</v>
      </c>
      <c r="E8" s="10">
        <f>IF($F$6="aceptado 3",E2,E4)</f>
        <v>0</v>
      </c>
      <c r="F8" s="47"/>
      <c r="G8" s="10">
        <v>1</v>
      </c>
      <c r="H8" s="76">
        <v>-4</v>
      </c>
      <c r="I8" s="76">
        <v>-4</v>
      </c>
    </row>
    <row r="9" spans="1:9" ht="15">
      <c r="A9" s="2"/>
      <c r="B9" s="47"/>
      <c r="C9" s="47"/>
      <c r="D9" s="47"/>
      <c r="E9" s="47"/>
      <c r="F9" s="47"/>
      <c r="G9" s="47"/>
      <c r="H9" s="89" t="s">
        <v>6</v>
      </c>
      <c r="I9" s="89"/>
    </row>
    <row r="10" spans="1:9" ht="15.6">
      <c r="A10" s="65" t="s">
        <v>7</v>
      </c>
      <c r="B10" s="10">
        <f>B6</f>
        <v>1</v>
      </c>
      <c r="C10" s="10">
        <f>C6</f>
        <v>1</v>
      </c>
      <c r="D10" s="10">
        <f>D6</f>
        <v>1</v>
      </c>
      <c r="E10" s="10">
        <f>E6</f>
        <v>60</v>
      </c>
      <c r="F10" s="47"/>
      <c r="G10" s="92">
        <v>1</v>
      </c>
      <c r="H10" s="93">
        <v>0</v>
      </c>
      <c r="I10" s="93">
        <v>0</v>
      </c>
    </row>
    <row r="11" spans="1:9" ht="15.6">
      <c r="A11" s="2"/>
      <c r="B11" s="16">
        <f>B7-($B$7/$B$6)*B6</f>
        <v>0</v>
      </c>
      <c r="C11" s="10">
        <f>C7-($B$7/$B$6)*C6</f>
        <v>1</v>
      </c>
      <c r="D11" s="10">
        <f>D7-($B$7/$B$6)*D6</f>
        <v>-2</v>
      </c>
      <c r="E11" s="10">
        <f t="shared" ref="E11:E12" si="0">E7</f>
        <v>0</v>
      </c>
      <c r="F11" s="47"/>
      <c r="G11" s="51">
        <f>B7/B6</f>
        <v>0</v>
      </c>
      <c r="H11" s="93">
        <v>1</v>
      </c>
      <c r="I11" s="93">
        <v>0</v>
      </c>
    </row>
    <row r="12" spans="1:9" ht="15.6">
      <c r="A12" s="2"/>
      <c r="B12" s="16">
        <f>B8-($B$8/$B$6)*B6</f>
        <v>0</v>
      </c>
      <c r="C12" s="10">
        <f>C8-($B$8/$B$6)*C6</f>
        <v>-5</v>
      </c>
      <c r="D12" s="10">
        <f>D8-($B$8/$B$6)*D6</f>
        <v>-5</v>
      </c>
      <c r="E12" s="10">
        <f t="shared" si="0"/>
        <v>0</v>
      </c>
      <c r="F12" s="47"/>
      <c r="G12" s="51">
        <f>B8/B6</f>
        <v>1</v>
      </c>
      <c r="H12" s="84">
        <f>C8/C7</f>
        <v>-4</v>
      </c>
      <c r="I12" s="93">
        <v>1</v>
      </c>
    </row>
    <row r="13" spans="1:9" ht="15.6">
      <c r="A13" s="2"/>
      <c r="B13" s="47"/>
      <c r="C13" s="47"/>
      <c r="D13" s="47"/>
      <c r="E13" s="47"/>
      <c r="F13" s="47"/>
      <c r="G13" s="47"/>
      <c r="H13" s="88"/>
      <c r="I13" s="88"/>
    </row>
    <row r="14" spans="1:9" ht="15.6">
      <c r="A14" s="64" t="s">
        <v>9</v>
      </c>
      <c r="B14" s="10">
        <f>B10</f>
        <v>1</v>
      </c>
      <c r="C14" s="10">
        <f>C10</f>
        <v>1</v>
      </c>
      <c r="D14" s="10">
        <f>D10</f>
        <v>1</v>
      </c>
      <c r="E14" s="10">
        <f>E10</f>
        <v>60</v>
      </c>
      <c r="F14" s="47" t="str">
        <f>IF(C15=C11,"aceptado 2",IF(C15=C12,"aceptado 3","falla"))</f>
        <v>aceptado 2</v>
      </c>
      <c r="G14" s="33">
        <f>G10</f>
        <v>1</v>
      </c>
      <c r="H14" s="77">
        <f>H10</f>
        <v>0</v>
      </c>
      <c r="I14" s="77">
        <f>I10</f>
        <v>0</v>
      </c>
    </row>
    <row r="15" spans="1:9" ht="15.6">
      <c r="A15" s="2"/>
      <c r="B15" s="10">
        <f>IF($C$11=0,IF($C$12=0,"falla",B12),B11)</f>
        <v>0</v>
      </c>
      <c r="C15" s="10">
        <f>IF($C$11=0,IF($C$12=0,"falla",C12),C11)</f>
        <v>1</v>
      </c>
      <c r="D15" s="10">
        <f>IF($C$11=0,IF($C$12=0,"falla",D12),D11)</f>
        <v>-2</v>
      </c>
      <c r="E15" s="10">
        <f>E11</f>
        <v>0</v>
      </c>
      <c r="F15" s="47"/>
      <c r="G15" s="33">
        <f>IF($C$11=0,IF($C$12=0,"falla",G12),G11)</f>
        <v>0</v>
      </c>
      <c r="H15" s="77">
        <f>H11</f>
        <v>1</v>
      </c>
      <c r="I15" s="77">
        <f>I11</f>
        <v>0</v>
      </c>
    </row>
    <row r="16" spans="1:9" ht="15.6">
      <c r="A16" s="2"/>
      <c r="B16" s="10">
        <f>IF($F$14="aceptado 2",B12,B11)</f>
        <v>0</v>
      </c>
      <c r="C16" s="10">
        <f>IF($F$14="aceptado 2",C12,C11)</f>
        <v>-5</v>
      </c>
      <c r="D16" s="10">
        <f>IF($F$14="aceptado 2",D12,D11)</f>
        <v>-5</v>
      </c>
      <c r="E16" s="10">
        <f>E12</f>
        <v>0</v>
      </c>
      <c r="F16" s="47"/>
      <c r="G16" s="33">
        <f>IF($F$14="aceptado 2",G12,G11)</f>
        <v>1</v>
      </c>
      <c r="H16" s="77">
        <f>C12/C11</f>
        <v>-5</v>
      </c>
      <c r="I16" s="77">
        <f>I12</f>
        <v>1</v>
      </c>
    </row>
    <row r="17" spans="1:15" ht="15.6">
      <c r="A17" s="2"/>
      <c r="B17" s="47"/>
      <c r="C17" s="47"/>
      <c r="D17" s="47"/>
      <c r="E17" s="47"/>
      <c r="F17" s="47"/>
      <c r="G17" s="47"/>
      <c r="H17" s="88"/>
      <c r="I17" s="88"/>
    </row>
    <row r="18" spans="1:15" ht="15.6">
      <c r="A18" s="65" t="s">
        <v>18</v>
      </c>
      <c r="B18" s="10">
        <f>B14</f>
        <v>1</v>
      </c>
      <c r="C18" s="10">
        <f>C14</f>
        <v>1</v>
      </c>
      <c r="D18" s="10">
        <f t="shared" ref="D18" si="1">D14</f>
        <v>1</v>
      </c>
      <c r="E18" s="10">
        <f>E14</f>
        <v>60</v>
      </c>
      <c r="F18" s="47"/>
      <c r="G18" s="36">
        <f>G14</f>
        <v>1</v>
      </c>
      <c r="H18" s="79">
        <f>H14</f>
        <v>0</v>
      </c>
      <c r="I18" s="79">
        <f>I14</f>
        <v>0</v>
      </c>
    </row>
    <row r="19" spans="1:15" ht="15.6">
      <c r="A19" s="2"/>
      <c r="B19" s="10">
        <f>B15</f>
        <v>0</v>
      </c>
      <c r="C19" s="10">
        <f>C15</f>
        <v>1</v>
      </c>
      <c r="D19" s="10">
        <f>D15</f>
        <v>-2</v>
      </c>
      <c r="E19" s="10">
        <f>E15</f>
        <v>0</v>
      </c>
      <c r="F19" s="47"/>
      <c r="G19" s="36">
        <f>IF($C$11=0,IF($C$12=0,"falla",G16),G15)</f>
        <v>0</v>
      </c>
      <c r="H19" s="79">
        <f>H15</f>
        <v>1</v>
      </c>
      <c r="I19" s="79">
        <f>I15</f>
        <v>0</v>
      </c>
    </row>
    <row r="20" spans="1:15" ht="15.6">
      <c r="A20" s="2"/>
      <c r="B20" s="10">
        <f>B16-($C$16/$C$15)*B15</f>
        <v>0</v>
      </c>
      <c r="C20" s="10">
        <f>C16-($C$16/$C$15)*C15</f>
        <v>0</v>
      </c>
      <c r="D20" s="10">
        <f>D16-($C$16/$C$15)*D15</f>
        <v>-15</v>
      </c>
      <c r="E20" s="10">
        <f>E16</f>
        <v>0</v>
      </c>
      <c r="F20" s="47"/>
      <c r="G20" s="36">
        <f>IF($F$14="aceptado 2",G16,G15)</f>
        <v>1</v>
      </c>
      <c r="H20" s="86">
        <f>C16/C15</f>
        <v>-5</v>
      </c>
      <c r="I20" s="79">
        <f>I16</f>
        <v>1</v>
      </c>
      <c r="O20" s="22"/>
    </row>
    <row r="21" spans="1:15" ht="15.6">
      <c r="A21" s="2"/>
      <c r="B21" s="47"/>
      <c r="C21" s="48" t="s">
        <v>8</v>
      </c>
      <c r="D21" s="47"/>
      <c r="E21" s="48" t="s">
        <v>2</v>
      </c>
      <c r="F21" s="47"/>
      <c r="G21" s="47"/>
      <c r="H21" s="90" t="s">
        <v>19</v>
      </c>
      <c r="I21" s="88"/>
    </row>
    <row r="22" spans="1:15" ht="15">
      <c r="A22" s="64" t="s">
        <v>20</v>
      </c>
      <c r="B22" s="36">
        <f t="shared" ref="B22:E23" si="2">B18</f>
        <v>1</v>
      </c>
      <c r="C22" s="36">
        <f t="shared" si="2"/>
        <v>1</v>
      </c>
      <c r="D22" s="36">
        <f t="shared" si="2"/>
        <v>1</v>
      </c>
      <c r="E22" s="63">
        <f t="shared" si="2"/>
        <v>60</v>
      </c>
      <c r="F22" s="47" t="str">
        <f>IF(D24=D20,"aceptado 3","falla")</f>
        <v>aceptado 3</v>
      </c>
      <c r="G22" s="39">
        <f t="shared" ref="G22:I23" si="3">G18</f>
        <v>1</v>
      </c>
      <c r="H22" s="39">
        <f t="shared" si="3"/>
        <v>0</v>
      </c>
      <c r="I22" s="39">
        <f t="shared" si="3"/>
        <v>0</v>
      </c>
    </row>
    <row r="23" spans="1:15" ht="15">
      <c r="A23" s="2"/>
      <c r="B23" s="36">
        <f t="shared" si="2"/>
        <v>0</v>
      </c>
      <c r="C23" s="36">
        <f t="shared" si="2"/>
        <v>1</v>
      </c>
      <c r="D23" s="36">
        <f t="shared" si="2"/>
        <v>-2</v>
      </c>
      <c r="E23" s="63">
        <f t="shared" si="2"/>
        <v>0</v>
      </c>
      <c r="F23" s="47"/>
      <c r="G23" s="39">
        <f t="shared" si="3"/>
        <v>0</v>
      </c>
      <c r="H23" s="39">
        <f t="shared" si="3"/>
        <v>1</v>
      </c>
      <c r="I23" s="39">
        <f t="shared" si="3"/>
        <v>0</v>
      </c>
    </row>
    <row r="24" spans="1:15" ht="15">
      <c r="A24" s="2"/>
      <c r="B24" s="36">
        <f>IF($D$20=0,"falla",B20)</f>
        <v>0</v>
      </c>
      <c r="C24" s="36">
        <f>IF($D$20=0,"falla",C20)</f>
        <v>0</v>
      </c>
      <c r="D24" s="36">
        <f>IF($D$20=0,"falla",D20)</f>
        <v>-15</v>
      </c>
      <c r="E24" s="63">
        <f>IF($D$20=0,"falla",E20)</f>
        <v>0</v>
      </c>
      <c r="F24" s="47"/>
      <c r="G24" s="39">
        <f>IF($D$20=0,"falla",G20)</f>
        <v>1</v>
      </c>
      <c r="H24" s="39">
        <f>IF($D$20=0,"falla",H20)</f>
        <v>-5</v>
      </c>
      <c r="I24" s="39">
        <f>IF($D$20=0,"falla",I20)</f>
        <v>1</v>
      </c>
    </row>
    <row r="25" spans="1:15" ht="15.6">
      <c r="A25" s="2"/>
      <c r="B25" s="47"/>
      <c r="C25" s="47"/>
      <c r="D25" s="47"/>
      <c r="E25" s="91" t="s">
        <v>10</v>
      </c>
      <c r="F25" s="47"/>
      <c r="G25" s="48" t="s">
        <v>11</v>
      </c>
      <c r="H25" s="89"/>
      <c r="I25" s="89"/>
    </row>
    <row r="26" spans="1:15" ht="15.6">
      <c r="A26" s="15"/>
      <c r="B26" s="47"/>
      <c r="C26" s="47"/>
      <c r="D26" s="47"/>
      <c r="E26" s="87">
        <f>(G26-C22*E27-D22*E28)/B22</f>
        <v>48</v>
      </c>
      <c r="F26" s="47"/>
      <c r="G26" s="62">
        <f>E22</f>
        <v>60</v>
      </c>
      <c r="H26" s="89"/>
      <c r="I26" s="89"/>
    </row>
    <row r="27" spans="1:15" ht="15.6">
      <c r="A27" s="2"/>
      <c r="B27" s="47"/>
      <c r="C27" s="47"/>
      <c r="D27" s="47"/>
      <c r="E27" s="87">
        <f>(G27-D23*E28)/C23</f>
        <v>8</v>
      </c>
      <c r="F27" s="47"/>
      <c r="G27" s="62">
        <f>E23-G23*G26</f>
        <v>0</v>
      </c>
      <c r="H27" s="89"/>
      <c r="I27" s="89" t="s">
        <v>21</v>
      </c>
    </row>
    <row r="28" spans="1:15" ht="15.6">
      <c r="A28" s="2"/>
      <c r="B28" s="47"/>
      <c r="C28" s="47"/>
      <c r="D28" s="47"/>
      <c r="E28" s="87">
        <f>G28/D24</f>
        <v>4</v>
      </c>
      <c r="F28" s="47"/>
      <c r="G28" s="62">
        <f>E24-G24*G26-H24*G27</f>
        <v>-60</v>
      </c>
      <c r="H28" s="89"/>
      <c r="I28" s="89"/>
    </row>
    <row r="29" spans="1:15" ht="15">
      <c r="F29" s="2"/>
      <c r="G29" s="2"/>
    </row>
    <row r="30" spans="1:15" ht="15">
      <c r="F30" s="2"/>
      <c r="G30" s="2"/>
    </row>
    <row r="31" spans="1:15" ht="15">
      <c r="F31" s="2"/>
      <c r="G31" s="2"/>
    </row>
    <row r="32" spans="1:15" ht="15">
      <c r="F32" s="2"/>
      <c r="G3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D790-89D4-404A-8C25-1F53F67882CE}">
  <dimension ref="A1:G15"/>
  <sheetViews>
    <sheetView workbookViewId="0">
      <selection activeCell="H11" sqref="H11"/>
    </sheetView>
  </sheetViews>
  <sheetFormatPr defaultColWidth="11.42578125" defaultRowHeight="14.45"/>
  <cols>
    <col min="1" max="1" width="18" bestFit="1" customWidth="1"/>
    <col min="2" max="2" width="13.28515625" bestFit="1" customWidth="1"/>
    <col min="6" max="6" width="15.140625" bestFit="1" customWidth="1"/>
  </cols>
  <sheetData>
    <row r="1" spans="1:7" ht="16.149999999999999" thickBot="1">
      <c r="A1" s="1" t="s">
        <v>0</v>
      </c>
      <c r="B1" s="2"/>
      <c r="C1" s="2" t="s">
        <v>1</v>
      </c>
      <c r="D1" s="2" t="s">
        <v>2</v>
      </c>
      <c r="E1" s="7" t="s">
        <v>3</v>
      </c>
      <c r="F1" s="44" t="s">
        <v>4</v>
      </c>
    </row>
    <row r="2" spans="1:7" ht="16.149999999999999" thickBot="1">
      <c r="A2" s="2"/>
      <c r="B2" s="3">
        <v>-0.70709999999999995</v>
      </c>
      <c r="C2" s="3">
        <v>0.86599999999999999</v>
      </c>
      <c r="D2" s="8">
        <v>0</v>
      </c>
      <c r="E2" s="2"/>
      <c r="F2" s="29" cm="1">
        <f t="array" ref="F2:F3">MMULT(B2:C3,D14:D15)</f>
        <v>0</v>
      </c>
    </row>
    <row r="3" spans="1:7" ht="16.149999999999999" thickBot="1">
      <c r="A3" s="2"/>
      <c r="B3" s="3">
        <v>0.70709999999999995</v>
      </c>
      <c r="C3" s="3">
        <v>0.5</v>
      </c>
      <c r="D3" s="8">
        <v>1962</v>
      </c>
      <c r="E3" s="2"/>
      <c r="F3" s="43">
        <v>1962</v>
      </c>
    </row>
    <row r="4" spans="1:7" ht="15.6">
      <c r="A4" s="2"/>
      <c r="B4" s="2"/>
      <c r="C4" s="2"/>
      <c r="D4" s="19"/>
      <c r="E4" s="2"/>
      <c r="F4" s="25"/>
    </row>
    <row r="5" spans="1:7" ht="15.6">
      <c r="A5" s="64" t="s">
        <v>5</v>
      </c>
      <c r="B5" s="9" cm="1">
        <f t="array" ref="B5">IF($B$2=0,IF($B$3=0,falla, B3),B2)</f>
        <v>-0.70709999999999995</v>
      </c>
      <c r="C5" s="45">
        <f>IF($B$2=0,IF($B$3=0,IF(#REF!=0,"Falla",#REF!),C3),C2)</f>
        <v>0.86599999999999999</v>
      </c>
      <c r="D5" s="10">
        <f>IF($B$2=0,IF($B$3=0,IF(#REF!=0,"Falla",#REF!),D3),D2)</f>
        <v>0</v>
      </c>
      <c r="E5" s="47" t="str">
        <f>IF(B5=B2,"aceptado 1",IF(B5=B3,"aceptado 2","falla"))</f>
        <v>aceptado 1</v>
      </c>
      <c r="F5" s="47"/>
      <c r="G5" s="94"/>
    </row>
    <row r="6" spans="1:7" ht="15.6">
      <c r="A6" s="2"/>
      <c r="B6" s="9">
        <f>IF($E$5="aceptado 2",B2,B3)</f>
        <v>0.70709999999999995</v>
      </c>
      <c r="C6" s="47">
        <f>IF($E$5="aceptado 2",C2,C3)</f>
        <v>0.5</v>
      </c>
      <c r="D6" s="10">
        <f>IF($E$5="aceptado 2",D2,D3)</f>
        <v>1962</v>
      </c>
      <c r="E6" s="47"/>
      <c r="F6" s="47"/>
      <c r="G6" s="94"/>
    </row>
    <row r="7" spans="1:7" ht="15">
      <c r="A7" s="2"/>
      <c r="B7" s="47"/>
      <c r="C7" s="47"/>
      <c r="D7" s="47"/>
      <c r="E7" s="47"/>
      <c r="F7" s="47"/>
      <c r="G7" s="89" t="s">
        <v>6</v>
      </c>
    </row>
    <row r="8" spans="1:7" ht="15.6">
      <c r="A8" s="65" t="s">
        <v>7</v>
      </c>
      <c r="B8" s="9">
        <f>B5</f>
        <v>-0.70709999999999995</v>
      </c>
      <c r="C8" s="45">
        <f>C5</f>
        <v>0.86599999999999999</v>
      </c>
      <c r="D8" s="10">
        <f>D5</f>
        <v>0</v>
      </c>
      <c r="E8" s="47"/>
      <c r="F8" s="92">
        <v>1</v>
      </c>
      <c r="G8" s="93">
        <v>0</v>
      </c>
    </row>
    <row r="9" spans="1:7" ht="15.6">
      <c r="A9" s="2"/>
      <c r="B9" s="16">
        <f>B6-($B$6/$B$5)*B5</f>
        <v>0</v>
      </c>
      <c r="C9" s="45">
        <f>C6-($B$6/$B$5)*C5</f>
        <v>1.3660000000000001</v>
      </c>
      <c r="D9" s="10">
        <f>D6</f>
        <v>1962</v>
      </c>
      <c r="E9" s="47"/>
      <c r="F9" s="51">
        <f>B6/B5</f>
        <v>-1</v>
      </c>
      <c r="G9" s="93">
        <v>1</v>
      </c>
    </row>
    <row r="10" spans="1:7" ht="15.6">
      <c r="A10" s="2"/>
      <c r="B10" s="48" t="s">
        <v>8</v>
      </c>
      <c r="C10" s="47"/>
      <c r="D10" s="48" t="s">
        <v>2</v>
      </c>
      <c r="E10" s="47"/>
      <c r="F10" s="48"/>
      <c r="G10" s="94"/>
    </row>
    <row r="11" spans="1:7" ht="15.6">
      <c r="A11" s="64" t="s">
        <v>9</v>
      </c>
      <c r="B11" s="26">
        <f>B8</f>
        <v>-0.70709999999999995</v>
      </c>
      <c r="C11" s="66">
        <f>C8</f>
        <v>0.86599999999999999</v>
      </c>
      <c r="D11" s="71">
        <f>D8</f>
        <v>0</v>
      </c>
      <c r="E11" s="47" t="str">
        <f>IF(C12=C9,"aceptado 2")</f>
        <v>aceptado 2</v>
      </c>
      <c r="F11" s="33">
        <f>F8</f>
        <v>1</v>
      </c>
      <c r="G11" s="77">
        <f>G8</f>
        <v>0</v>
      </c>
    </row>
    <row r="12" spans="1:7" ht="15.6">
      <c r="A12" s="2"/>
      <c r="B12" s="69">
        <f>IF($C$9=0,"falla",B9)</f>
        <v>0</v>
      </c>
      <c r="C12" s="66">
        <f>IF($C$9=0,"falla",C9)</f>
        <v>1.3660000000000001</v>
      </c>
      <c r="D12" s="71">
        <f>D9</f>
        <v>1962</v>
      </c>
      <c r="E12" s="47"/>
      <c r="F12" s="33">
        <f>IF($C$9=0,"falla",F9)</f>
        <v>-1</v>
      </c>
      <c r="G12" s="77">
        <f>G9</f>
        <v>1</v>
      </c>
    </row>
    <row r="13" spans="1:7" ht="15.6">
      <c r="A13" s="15"/>
      <c r="B13" s="47"/>
      <c r="C13" s="47"/>
      <c r="D13" s="91" t="s">
        <v>10</v>
      </c>
      <c r="E13" s="47"/>
      <c r="F13" s="48" t="s">
        <v>11</v>
      </c>
      <c r="G13" s="95"/>
    </row>
    <row r="14" spans="1:7" ht="15.6">
      <c r="A14" s="2"/>
      <c r="B14" s="47"/>
      <c r="C14" s="47"/>
      <c r="D14" s="23">
        <f>(F14-C11*D15)/B11</f>
        <v>1759.0790586092578</v>
      </c>
      <c r="E14" s="47"/>
      <c r="F14" s="62">
        <f>D11</f>
        <v>0</v>
      </c>
      <c r="G14" s="95"/>
    </row>
    <row r="15" spans="1:7" ht="15.6">
      <c r="A15" s="2"/>
      <c r="B15" s="47"/>
      <c r="C15" s="47"/>
      <c r="D15" s="23">
        <f>F15/C12</f>
        <v>1436.3103953147877</v>
      </c>
      <c r="E15" s="47"/>
      <c r="F15" s="62">
        <f>D12-F12*F14</f>
        <v>1962</v>
      </c>
      <c r="G15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2DAE-C41D-4ACB-9C7C-9E3BA9BC61A3}">
  <dimension ref="A1:G15"/>
  <sheetViews>
    <sheetView workbookViewId="0">
      <selection activeCell="K29" sqref="K29"/>
    </sheetView>
  </sheetViews>
  <sheetFormatPr defaultColWidth="11.42578125" defaultRowHeight="14.45"/>
  <cols>
    <col min="1" max="1" width="18" bestFit="1" customWidth="1"/>
    <col min="6" max="6" width="15.140625" bestFit="1" customWidth="1"/>
  </cols>
  <sheetData>
    <row r="1" spans="1:7" ht="16.149999999999999" thickBot="1">
      <c r="A1" s="1" t="s">
        <v>0</v>
      </c>
      <c r="B1" s="2"/>
      <c r="C1" s="2" t="s">
        <v>1</v>
      </c>
      <c r="D1" s="2" t="s">
        <v>2</v>
      </c>
      <c r="E1" s="7" t="s">
        <v>3</v>
      </c>
      <c r="F1" s="44" t="s">
        <v>4</v>
      </c>
    </row>
    <row r="2" spans="1:7" ht="16.149999999999999" thickBot="1">
      <c r="A2" s="2"/>
      <c r="B2" s="3">
        <v>8</v>
      </c>
      <c r="C2" s="3">
        <v>1</v>
      </c>
      <c r="D2" s="8">
        <v>3</v>
      </c>
      <c r="E2" s="2"/>
      <c r="F2" s="29" cm="1">
        <f t="array" ref="F2:F3">MMULT(B2:C3,D14:D15)</f>
        <v>3</v>
      </c>
    </row>
    <row r="3" spans="1:7" ht="16.149999999999999" thickBot="1">
      <c r="A3" s="2"/>
      <c r="B3" s="3">
        <v>-0.4</v>
      </c>
      <c r="C3" s="3">
        <v>1</v>
      </c>
      <c r="D3" s="8">
        <v>1.2</v>
      </c>
      <c r="E3" s="2"/>
      <c r="F3" s="43">
        <v>1.2000000000000002</v>
      </c>
    </row>
    <row r="4" spans="1:7" ht="15.6">
      <c r="A4" s="2"/>
      <c r="B4" s="2"/>
      <c r="C4" s="2"/>
      <c r="D4" s="19"/>
      <c r="E4" s="2"/>
      <c r="F4" s="25"/>
    </row>
    <row r="5" spans="1:7" ht="15.6">
      <c r="A5" s="64" t="s">
        <v>5</v>
      </c>
      <c r="B5" s="10" cm="1">
        <f t="array" ref="B5">IF($B$2=0,IF($B$3=0,falla, B3),B2)</f>
        <v>8</v>
      </c>
      <c r="C5" s="10">
        <f>IF($B$2=0,IF($B$3=0,IF(#REF!=0,"Falla",#REF!),C3),C2)</f>
        <v>1</v>
      </c>
      <c r="D5" s="10">
        <f>IF($B$2=0,IF($B$3=0,IF(#REF!=0,"Falla",#REF!),D3),D2)</f>
        <v>3</v>
      </c>
      <c r="E5" s="47" t="str">
        <f>IF(B5=B2,"aceptado 1",IF(B5=B3,"aceptado 2","falla"))</f>
        <v>aceptado 1</v>
      </c>
      <c r="F5" s="47"/>
      <c r="G5" s="94"/>
    </row>
    <row r="6" spans="1:7" ht="15.6">
      <c r="A6" s="2"/>
      <c r="B6" s="47">
        <f>IF($E$5="aceptado 2",B2,B3)</f>
        <v>-0.4</v>
      </c>
      <c r="C6" s="10">
        <f>IF($E$5="aceptado 2",C2,C3)</f>
        <v>1</v>
      </c>
      <c r="D6" s="47">
        <f>IF($E$5="aceptado 2",D2,D3)</f>
        <v>1.2</v>
      </c>
      <c r="E6" s="47"/>
      <c r="F6" s="47"/>
      <c r="G6" s="94"/>
    </row>
    <row r="7" spans="1:7" ht="15">
      <c r="A7" s="2"/>
      <c r="B7" s="47"/>
      <c r="C7" s="47"/>
      <c r="D7" s="47"/>
      <c r="E7" s="47"/>
      <c r="F7" s="47"/>
      <c r="G7" s="89" t="s">
        <v>6</v>
      </c>
    </row>
    <row r="8" spans="1:7" ht="15.6">
      <c r="A8" s="65" t="s">
        <v>7</v>
      </c>
      <c r="B8" s="10">
        <f>B5</f>
        <v>8</v>
      </c>
      <c r="C8" s="10">
        <f>C5</f>
        <v>1</v>
      </c>
      <c r="D8" s="10">
        <f>D5</f>
        <v>3</v>
      </c>
      <c r="E8" s="47"/>
      <c r="F8" s="92">
        <v>1</v>
      </c>
      <c r="G8" s="93">
        <v>0</v>
      </c>
    </row>
    <row r="9" spans="1:7" ht="15.6">
      <c r="A9" s="2"/>
      <c r="B9" s="16">
        <f>B6-($B$6/$B$5)*B5</f>
        <v>0</v>
      </c>
      <c r="C9" s="46">
        <f>C6-($B$6/$B$5)*C5</f>
        <v>1.05</v>
      </c>
      <c r="D9" s="47">
        <f>D6</f>
        <v>1.2</v>
      </c>
      <c r="E9" s="47"/>
      <c r="F9" s="49">
        <f>B6/B5</f>
        <v>-0.05</v>
      </c>
      <c r="G9" s="93">
        <v>1</v>
      </c>
    </row>
    <row r="10" spans="1:7" ht="15.6">
      <c r="A10" s="2"/>
      <c r="B10" s="48" t="s">
        <v>8</v>
      </c>
      <c r="C10" s="47"/>
      <c r="D10" s="48" t="s">
        <v>2</v>
      </c>
      <c r="E10" s="47"/>
      <c r="F10" s="48"/>
      <c r="G10" s="94"/>
    </row>
    <row r="11" spans="1:7" ht="15.6">
      <c r="A11" s="64" t="s">
        <v>9</v>
      </c>
      <c r="B11" s="69">
        <f>B8</f>
        <v>8</v>
      </c>
      <c r="C11" s="69">
        <f>C8</f>
        <v>1</v>
      </c>
      <c r="D11" s="71">
        <f>D8</f>
        <v>3</v>
      </c>
      <c r="E11" s="47" t="str">
        <f>IF(C12=C9,"aceptado 2")</f>
        <v>aceptado 2</v>
      </c>
      <c r="F11" s="33">
        <f>F8</f>
        <v>1</v>
      </c>
      <c r="G11" s="77">
        <f>G8</f>
        <v>0</v>
      </c>
    </row>
    <row r="12" spans="1:7" ht="15.6">
      <c r="A12" s="2"/>
      <c r="B12" s="69">
        <f>IF($C$9=0,"falla",B9)</f>
        <v>0</v>
      </c>
      <c r="C12" s="67">
        <f>IF($C$9=0,"falla",C9)</f>
        <v>1.05</v>
      </c>
      <c r="D12" s="70">
        <f>D9</f>
        <v>1.2</v>
      </c>
      <c r="E12" s="47"/>
      <c r="F12" s="53">
        <f>IF($C$9=0,"falla",F9)</f>
        <v>-0.05</v>
      </c>
      <c r="G12" s="77">
        <f>G9</f>
        <v>1</v>
      </c>
    </row>
    <row r="13" spans="1:7" ht="15.6">
      <c r="A13" s="15"/>
      <c r="B13" s="47"/>
      <c r="C13" s="47"/>
      <c r="D13" s="91" t="s">
        <v>10</v>
      </c>
      <c r="E13" s="47"/>
      <c r="F13" s="48" t="s">
        <v>11</v>
      </c>
      <c r="G13" s="95"/>
    </row>
    <row r="14" spans="1:7" ht="15.6">
      <c r="A14" s="2"/>
      <c r="B14" s="47"/>
      <c r="C14" s="47"/>
      <c r="D14" s="23">
        <f>(F14-C11*D15)/B11</f>
        <v>0.21428571428571427</v>
      </c>
      <c r="E14" s="47"/>
      <c r="F14" s="62">
        <f>D11</f>
        <v>3</v>
      </c>
      <c r="G14" s="95"/>
    </row>
    <row r="15" spans="1:7" ht="15.6">
      <c r="A15" s="2"/>
      <c r="B15" s="47"/>
      <c r="C15" s="47"/>
      <c r="D15" s="23">
        <f>F15/C12</f>
        <v>1.2857142857142858</v>
      </c>
      <c r="E15" s="47"/>
      <c r="F15" s="60">
        <f>D12-F12*F14</f>
        <v>1.35</v>
      </c>
      <c r="G15" s="9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FC3-6B50-4E14-BD4B-10D44E366C9B}">
  <dimension ref="A1:G15"/>
  <sheetViews>
    <sheetView workbookViewId="0">
      <selection activeCell="I22" sqref="I22"/>
    </sheetView>
  </sheetViews>
  <sheetFormatPr defaultColWidth="11.42578125" defaultRowHeight="14.45"/>
  <cols>
    <col min="1" max="1" width="18" bestFit="1" customWidth="1"/>
    <col min="6" max="6" width="15.140625" bestFit="1" customWidth="1"/>
  </cols>
  <sheetData>
    <row r="1" spans="1:7" ht="16.149999999999999" thickBot="1">
      <c r="A1" s="1" t="s">
        <v>0</v>
      </c>
      <c r="B1" s="2"/>
      <c r="C1" s="2" t="s">
        <v>1</v>
      </c>
      <c r="D1" s="2" t="s">
        <v>2</v>
      </c>
      <c r="E1" s="7" t="s">
        <v>3</v>
      </c>
      <c r="F1" s="44" t="s">
        <v>4</v>
      </c>
    </row>
    <row r="2" spans="1:7" ht="16.149999999999999" thickBot="1">
      <c r="A2" s="2"/>
      <c r="B2" s="3">
        <v>0.5</v>
      </c>
      <c r="C2" s="3">
        <v>1</v>
      </c>
      <c r="D2" s="8">
        <v>0.33329999999999999</v>
      </c>
      <c r="E2" s="2"/>
      <c r="F2" s="29" cm="1">
        <f t="array" ref="F2:F3">MMULT(B2:C3,D14:D15)</f>
        <v>0.33329999999999999</v>
      </c>
    </row>
    <row r="3" spans="1:7" ht="16.149999999999999" thickBot="1">
      <c r="A3" s="2"/>
      <c r="B3" s="3">
        <v>4</v>
      </c>
      <c r="C3" s="3">
        <v>1</v>
      </c>
      <c r="D3" s="8">
        <v>-1</v>
      </c>
      <c r="E3" s="2"/>
      <c r="F3" s="43">
        <v>-1</v>
      </c>
    </row>
    <row r="4" spans="1:7" ht="15.6">
      <c r="A4" s="2"/>
      <c r="B4" s="2"/>
      <c r="C4" s="2"/>
      <c r="D4" s="19"/>
      <c r="E4" s="2"/>
      <c r="F4" s="25"/>
    </row>
    <row r="5" spans="1:7" ht="15.6">
      <c r="A5" s="64" t="s">
        <v>5</v>
      </c>
      <c r="B5" s="47" cm="1">
        <f t="array" ref="B5">IF($B$2=0,IF($B$3=0,falla, B3),B2)</f>
        <v>0.5</v>
      </c>
      <c r="C5" s="10">
        <f>IF($B$2=0,IF($B$3=0,IF(#REF!=0,"Falla",#REF!),C3),C2)</f>
        <v>1</v>
      </c>
      <c r="D5" s="9">
        <f>IF($B$2=0,IF($B$3=0,IF(#REF!=0,"Falla",#REF!),D3),D2)</f>
        <v>0.33329999999999999</v>
      </c>
      <c r="E5" s="47" t="str">
        <f>IF(B5=B2,"aceptado 1",IF(B5=B3,"aceptado 2","falla"))</f>
        <v>aceptado 1</v>
      </c>
      <c r="F5" s="47"/>
      <c r="G5" s="94"/>
    </row>
    <row r="6" spans="1:7" ht="15.6">
      <c r="A6" s="2"/>
      <c r="B6" s="10">
        <f>IF($E$5="aceptado 2",B2,B3)</f>
        <v>4</v>
      </c>
      <c r="C6" s="10">
        <f>IF($E$5="aceptado 2",C2,C3)</f>
        <v>1</v>
      </c>
      <c r="D6" s="10">
        <f>IF($E$5="aceptado 2",D2,D3)</f>
        <v>-1</v>
      </c>
      <c r="E6" s="47"/>
      <c r="F6" s="47"/>
      <c r="G6" s="94"/>
    </row>
    <row r="7" spans="1:7" ht="15">
      <c r="A7" s="2"/>
      <c r="B7" s="47"/>
      <c r="C7" s="47"/>
      <c r="D7" s="47"/>
      <c r="E7" s="47"/>
      <c r="F7" s="47"/>
      <c r="G7" s="89" t="s">
        <v>6</v>
      </c>
    </row>
    <row r="8" spans="1:7" ht="15.6">
      <c r="A8" s="65" t="s">
        <v>7</v>
      </c>
      <c r="B8" s="47">
        <f>B5</f>
        <v>0.5</v>
      </c>
      <c r="C8" s="10">
        <f>C5</f>
        <v>1</v>
      </c>
      <c r="D8" s="9">
        <f>D5</f>
        <v>0.33329999999999999</v>
      </c>
      <c r="E8" s="47"/>
      <c r="F8" s="92">
        <v>1</v>
      </c>
      <c r="G8" s="93">
        <v>0</v>
      </c>
    </row>
    <row r="9" spans="1:7" ht="15.6">
      <c r="A9" s="2"/>
      <c r="B9" s="16">
        <f>B6-($B$6/$B$5)*B5</f>
        <v>0</v>
      </c>
      <c r="C9" s="10">
        <f>C6-($B$6/$B$5)*C5</f>
        <v>-7</v>
      </c>
      <c r="D9" s="10">
        <f>D6</f>
        <v>-1</v>
      </c>
      <c r="E9" s="47"/>
      <c r="F9" s="51">
        <f>B6/B5</f>
        <v>8</v>
      </c>
      <c r="G9" s="93">
        <v>1</v>
      </c>
    </row>
    <row r="10" spans="1:7" ht="15.6">
      <c r="A10" s="2"/>
      <c r="B10" s="48" t="s">
        <v>8</v>
      </c>
      <c r="C10" s="47"/>
      <c r="D10" s="48" t="s">
        <v>2</v>
      </c>
      <c r="E10" s="47"/>
      <c r="F10" s="16"/>
      <c r="G10" s="96"/>
    </row>
    <row r="11" spans="1:7" ht="15.6">
      <c r="A11" s="64" t="s">
        <v>9</v>
      </c>
      <c r="B11" s="68">
        <f>B8</f>
        <v>0.5</v>
      </c>
      <c r="C11" s="69">
        <f>C8</f>
        <v>1</v>
      </c>
      <c r="D11" s="27">
        <f>D8</f>
        <v>0.33329999999999999</v>
      </c>
      <c r="E11" s="47" t="str">
        <f>IF(C12=C9,"aceptado 2")</f>
        <v>aceptado 2</v>
      </c>
      <c r="F11" s="33">
        <f>F8</f>
        <v>1</v>
      </c>
      <c r="G11" s="77">
        <f>G8</f>
        <v>0</v>
      </c>
    </row>
    <row r="12" spans="1:7" ht="15.6">
      <c r="A12" s="2"/>
      <c r="B12" s="69">
        <f>IF($C$9=0,"falla",B9)</f>
        <v>0</v>
      </c>
      <c r="C12" s="69">
        <f>IF($C$9=0,"falla",C9)</f>
        <v>-7</v>
      </c>
      <c r="D12" s="71">
        <f>D9</f>
        <v>-1</v>
      </c>
      <c r="E12" s="47"/>
      <c r="F12" s="33">
        <f>IF($C$9=0,"falla",F9)</f>
        <v>8</v>
      </c>
      <c r="G12" s="77">
        <f>G9</f>
        <v>1</v>
      </c>
    </row>
    <row r="13" spans="1:7" ht="15.6">
      <c r="A13" s="15"/>
      <c r="B13" s="47"/>
      <c r="C13" s="47"/>
      <c r="D13" s="91" t="s">
        <v>10</v>
      </c>
      <c r="E13" s="47"/>
      <c r="F13" s="48" t="s">
        <v>11</v>
      </c>
      <c r="G13" s="95"/>
    </row>
    <row r="14" spans="1:7" ht="15.6">
      <c r="A14" s="2"/>
      <c r="B14" s="47"/>
      <c r="C14" s="47"/>
      <c r="D14" s="23">
        <f>(F14-C11*D15)/B11</f>
        <v>-0.38094285714285714</v>
      </c>
      <c r="E14" s="47"/>
      <c r="F14" s="20">
        <f>D11</f>
        <v>0.33329999999999999</v>
      </c>
      <c r="G14" s="95"/>
    </row>
    <row r="15" spans="1:7" ht="15.6">
      <c r="A15" s="2"/>
      <c r="B15" s="47"/>
      <c r="C15" s="47"/>
      <c r="D15" s="23">
        <f>F15/C12</f>
        <v>0.52377142857142855</v>
      </c>
      <c r="E15" s="47"/>
      <c r="F15" s="20">
        <f>D12-F12*F14</f>
        <v>-3.6663999999999999</v>
      </c>
      <c r="G15" s="9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FC07-CE89-45DC-BFC8-046E4435C631}">
  <dimension ref="A1:G15"/>
  <sheetViews>
    <sheetView tabSelected="1" workbookViewId="0">
      <selection sqref="A1:G15"/>
    </sheetView>
  </sheetViews>
  <sheetFormatPr defaultColWidth="11.42578125" defaultRowHeight="14.45"/>
  <cols>
    <col min="1" max="1" width="18" bestFit="1" customWidth="1"/>
    <col min="6" max="6" width="15.140625" bestFit="1" customWidth="1"/>
  </cols>
  <sheetData>
    <row r="1" spans="1:7" ht="16.149999999999999" thickBot="1">
      <c r="A1" s="1" t="s">
        <v>0</v>
      </c>
      <c r="B1" s="2"/>
      <c r="C1" s="2" t="s">
        <v>1</v>
      </c>
      <c r="D1" s="2" t="s">
        <v>2</v>
      </c>
      <c r="E1" s="7" t="s">
        <v>3</v>
      </c>
      <c r="F1" s="44" t="s">
        <v>4</v>
      </c>
    </row>
    <row r="2" spans="1:7" ht="16.149999999999999" thickBot="1">
      <c r="A2" s="2"/>
      <c r="B2" s="3">
        <v>-4.5</v>
      </c>
      <c r="C2" s="3">
        <v>1</v>
      </c>
      <c r="D2" s="8">
        <v>-3</v>
      </c>
      <c r="E2" s="2"/>
      <c r="F2" s="29" cm="1">
        <f t="array" ref="F2:F3">MMULT(B2:C3,D14:D15)</f>
        <v>-2.9999999999999996</v>
      </c>
    </row>
    <row r="3" spans="1:7" ht="16.149999999999999" thickBot="1">
      <c r="A3" s="2"/>
      <c r="B3" s="3">
        <v>-0.5</v>
      </c>
      <c r="C3" s="3">
        <v>1</v>
      </c>
      <c r="D3" s="8">
        <v>2</v>
      </c>
      <c r="E3" s="2"/>
      <c r="F3" s="43">
        <v>2.0000000000000004</v>
      </c>
    </row>
    <row r="4" spans="1:7" ht="15.6">
      <c r="A4" s="2"/>
      <c r="B4" s="2"/>
      <c r="C4" s="2"/>
      <c r="D4" s="19"/>
      <c r="E4" s="2"/>
      <c r="F4" s="25"/>
    </row>
    <row r="5" spans="1:7" ht="15.6">
      <c r="A5" s="64" t="s">
        <v>5</v>
      </c>
      <c r="B5" s="47" cm="1">
        <f t="array" ref="B5">IF($B$2=0,IF($B$3=0,falla, B3),B2)</f>
        <v>-4.5</v>
      </c>
      <c r="C5" s="10">
        <f>IF($B$2=0,IF($B$3=0,IF(#REF!=0,"Falla",#REF!),C3),C2)</f>
        <v>1</v>
      </c>
      <c r="D5" s="10">
        <f>IF($B$2=0,IF($B$3=0,IF(#REF!=0,"Falla",#REF!),D3),D2)</f>
        <v>-3</v>
      </c>
      <c r="E5" s="47" t="str">
        <f>IF(B5=B2,"aceptado 1",IF(B5=B3,"aceptado 2","falla"))</f>
        <v>aceptado 1</v>
      </c>
      <c r="F5" s="47"/>
      <c r="G5" s="94"/>
    </row>
    <row r="6" spans="1:7" ht="15.6">
      <c r="A6" s="2"/>
      <c r="B6" s="47">
        <f>IF($E$5="aceptado 2",B2,B3)</f>
        <v>-0.5</v>
      </c>
      <c r="C6" s="10">
        <f>IF($E$5="aceptado 2",C2,C3)</f>
        <v>1</v>
      </c>
      <c r="D6" s="10">
        <f>IF($E$5="aceptado 2",D2,D3)</f>
        <v>2</v>
      </c>
      <c r="E6" s="47"/>
      <c r="F6" s="47"/>
      <c r="G6" s="94"/>
    </row>
    <row r="7" spans="1:7" ht="15">
      <c r="A7" s="2"/>
      <c r="B7" s="47"/>
      <c r="C7" s="47"/>
      <c r="D7" s="47"/>
      <c r="E7" s="47"/>
      <c r="F7" s="47"/>
      <c r="G7" s="89" t="s">
        <v>6</v>
      </c>
    </row>
    <row r="8" spans="1:7" ht="15.6">
      <c r="A8" s="65" t="s">
        <v>7</v>
      </c>
      <c r="B8" s="47">
        <f>B5</f>
        <v>-4.5</v>
      </c>
      <c r="C8" s="10">
        <f>C5</f>
        <v>1</v>
      </c>
      <c r="D8" s="10">
        <f>D5</f>
        <v>-3</v>
      </c>
      <c r="E8" s="47"/>
      <c r="F8" s="92">
        <v>1</v>
      </c>
      <c r="G8" s="93">
        <v>0</v>
      </c>
    </row>
    <row r="9" spans="1:7" ht="15.6">
      <c r="A9" s="2"/>
      <c r="B9" s="16">
        <f>B6-($B$6/$B$5)*B5</f>
        <v>0</v>
      </c>
      <c r="C9" s="9">
        <f>C6-($B$6/$B$5)*C5</f>
        <v>0.88888888888888884</v>
      </c>
      <c r="D9" s="10">
        <f>D6</f>
        <v>2</v>
      </c>
      <c r="E9" s="47"/>
      <c r="F9" s="32">
        <f>B6/B5</f>
        <v>0.1111111111111111</v>
      </c>
      <c r="G9" s="93">
        <v>1</v>
      </c>
    </row>
    <row r="10" spans="1:7" ht="15.6">
      <c r="A10" s="2"/>
      <c r="B10" s="48" t="s">
        <v>8</v>
      </c>
      <c r="C10" s="47"/>
      <c r="D10" s="48" t="s">
        <v>2</v>
      </c>
      <c r="E10" s="47"/>
      <c r="F10" s="48"/>
      <c r="G10" s="94"/>
    </row>
    <row r="11" spans="1:7" ht="15.6">
      <c r="A11" s="64" t="s">
        <v>9</v>
      </c>
      <c r="B11" s="68">
        <f>B8</f>
        <v>-4.5</v>
      </c>
      <c r="C11" s="69">
        <f>C8</f>
        <v>1</v>
      </c>
      <c r="D11" s="71">
        <f>D8</f>
        <v>-3</v>
      </c>
      <c r="E11" s="47" t="str">
        <f>IF(C12=C9,"aceptado 2")</f>
        <v>aceptado 2</v>
      </c>
      <c r="F11" s="33">
        <f>F8</f>
        <v>1</v>
      </c>
      <c r="G11" s="77">
        <f>G8</f>
        <v>0</v>
      </c>
    </row>
    <row r="12" spans="1:7" ht="15.6">
      <c r="A12" s="2"/>
      <c r="B12" s="69">
        <f>IF($C$9=0,"falla",B9)</f>
        <v>0</v>
      </c>
      <c r="C12" s="26">
        <f>IF($C$9=0,"falla",C9)</f>
        <v>0.88888888888888884</v>
      </c>
      <c r="D12" s="71">
        <f>D9</f>
        <v>2</v>
      </c>
      <c r="E12" s="47"/>
      <c r="F12" s="33">
        <f>IF($C$9=0,"falla",F9)</f>
        <v>0.1111111111111111</v>
      </c>
      <c r="G12" s="77">
        <f>G9</f>
        <v>1</v>
      </c>
    </row>
    <row r="13" spans="1:7" ht="15.6">
      <c r="A13" s="15"/>
      <c r="B13" s="47"/>
      <c r="C13" s="47"/>
      <c r="D13" s="91" t="s">
        <v>10</v>
      </c>
      <c r="E13" s="47"/>
      <c r="F13" s="48" t="s">
        <v>11</v>
      </c>
      <c r="G13" s="95"/>
    </row>
    <row r="14" spans="1:7" ht="15.6">
      <c r="A14" s="2"/>
      <c r="B14" s="47"/>
      <c r="C14" s="47"/>
      <c r="D14" s="73">
        <f>(F14-C11*D15)/B11</f>
        <v>1.25</v>
      </c>
      <c r="E14" s="47"/>
      <c r="F14" s="62">
        <f>D11</f>
        <v>-3</v>
      </c>
      <c r="G14" s="95"/>
    </row>
    <row r="15" spans="1:7" ht="15.6">
      <c r="A15" s="2"/>
      <c r="B15" s="47"/>
      <c r="C15" s="47"/>
      <c r="D15" s="72">
        <f>F15/C12</f>
        <v>2.6250000000000004</v>
      </c>
      <c r="E15" s="47"/>
      <c r="F15" s="20">
        <f>D12-F12*F14</f>
        <v>2.3333333333333335</v>
      </c>
      <c r="G15" s="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uriel ivan guerrero lopez</cp:lastModifiedBy>
  <cp:revision/>
  <dcterms:created xsi:type="dcterms:W3CDTF">2024-04-01T17:08:04Z</dcterms:created>
  <dcterms:modified xsi:type="dcterms:W3CDTF">2024-04-14T02:20:42Z</dcterms:modified>
  <cp:category/>
  <cp:contentStatus/>
</cp:coreProperties>
</file>