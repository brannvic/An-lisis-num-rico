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19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2488" documentId="8_{FA38E2A9-9BE5-424F-9CAA-5DDCC59BACE3}" xr6:coauthVersionLast="47" xr6:coauthVersionMax="47" xr10:uidLastSave="{F0D7350A-E317-4FB6-B59F-1F492CCFC325}"/>
  <bookViews>
    <workbookView xWindow="-108" yWindow="-108" windowWidth="23256" windowHeight="13176" firstSheet="4" activeTab="8" xr2:uid="{5CFE2175-ED48-4BDB-A10B-A110F6F4D173}"/>
  </bookViews>
  <sheets>
    <sheet name="Interpolación" sheetId="1" r:id="rId1"/>
    <sheet name="Lagrange" sheetId="2" r:id="rId2"/>
    <sheet name="Newton" sheetId="3" r:id="rId3"/>
    <sheet name="T7-E1" sheetId="12" r:id="rId4"/>
    <sheet name="T7-E2" sheetId="13" r:id="rId5"/>
    <sheet name="T7-E3" sheetId="7" r:id="rId6"/>
    <sheet name="T7-E4" sheetId="6" r:id="rId7"/>
    <sheet name="Integral T7-E5" sheetId="4" r:id="rId8"/>
    <sheet name="T7-E6" sheetId="8" r:id="rId9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8" l="1"/>
  <c r="F20" i="8"/>
  <c r="D22" i="8"/>
  <c r="G9" i="8"/>
  <c r="G12" i="8"/>
  <c r="G6" i="8"/>
  <c r="E20" i="8"/>
  <c r="D8" i="8"/>
  <c r="D7" i="8"/>
  <c r="D6" i="8"/>
  <c r="D5" i="8"/>
  <c r="F10" i="8"/>
  <c r="F7" i="8"/>
  <c r="D9" i="8"/>
  <c r="D10" i="8"/>
  <c r="D11" i="8"/>
  <c r="D12" i="8"/>
  <c r="L36" i="13" a="1"/>
  <c r="L36" i="13" s="1"/>
  <c r="M35" i="13"/>
  <c r="H35" i="13" a="1"/>
  <c r="H35" i="13" s="1"/>
  <c r="M34" i="13"/>
  <c r="K36" i="13" s="1" a="1"/>
  <c r="K36" i="13" s="1"/>
  <c r="L34" i="13"/>
  <c r="K35" i="13" s="1" a="1"/>
  <c r="K35" i="13" s="1"/>
  <c r="J34" i="13" a="1"/>
  <c r="J34" i="13" s="1"/>
  <c r="M33" i="13"/>
  <c r="J36" i="13" s="1" a="1"/>
  <c r="J36" i="13" s="1"/>
  <c r="L33" i="13"/>
  <c r="J35" i="13" s="1" a="1"/>
  <c r="J35" i="13" s="1"/>
  <c r="K33" i="13"/>
  <c r="M32" i="13"/>
  <c r="I36" i="13" s="1" a="1"/>
  <c r="I36" i="13" s="1"/>
  <c r="L32" i="13"/>
  <c r="I35" i="13" s="1" a="1"/>
  <c r="I35" i="13" s="1"/>
  <c r="K32" i="13"/>
  <c r="I34" i="13" s="1" a="1"/>
  <c r="I34" i="13" s="1"/>
  <c r="J32" i="13"/>
  <c r="I33" i="13" s="1" a="1"/>
  <c r="I33" i="13" s="1"/>
  <c r="M31" i="13"/>
  <c r="H36" i="13" s="1" a="1"/>
  <c r="H36" i="13" s="1"/>
  <c r="L31" i="13"/>
  <c r="K31" i="13"/>
  <c r="H34" i="13" s="1" a="1"/>
  <c r="H34" i="13" s="1"/>
  <c r="J31" i="13"/>
  <c r="H33" i="13" s="1" a="1"/>
  <c r="H33" i="13" s="1"/>
  <c r="I31" i="13"/>
  <c r="H32" i="13" s="1" a="1"/>
  <c r="H32" i="13" s="1"/>
  <c r="M30" i="13"/>
  <c r="G36" i="13" s="1" a="1"/>
  <c r="G36" i="13" s="1"/>
  <c r="L30" i="13"/>
  <c r="G35" i="13" s="1" a="1"/>
  <c r="G35" i="13" s="1"/>
  <c r="K30" i="13"/>
  <c r="G34" i="13" s="1" a="1"/>
  <c r="G34" i="13" s="1"/>
  <c r="N34" i="13" s="1"/>
  <c r="J30" i="13"/>
  <c r="G33" i="13" s="1" a="1"/>
  <c r="G33" i="13" s="1"/>
  <c r="I30" i="13"/>
  <c r="G32" i="13" s="1" a="1"/>
  <c r="G32" i="13" s="1"/>
  <c r="H30" i="13"/>
  <c r="F30" i="13" a="1"/>
  <c r="F30" i="13" s="1"/>
  <c r="M27" i="13"/>
  <c r="L27" i="13"/>
  <c r="K27" i="13"/>
  <c r="J27" i="13"/>
  <c r="I27" i="13"/>
  <c r="H27" i="13"/>
  <c r="G27" i="13"/>
  <c r="I24" i="13" a="1"/>
  <c r="I24" i="13" s="1"/>
  <c r="M23" i="13"/>
  <c r="L24" i="13" s="1" a="1"/>
  <c r="L24" i="13" s="1"/>
  <c r="M22" i="13"/>
  <c r="K24" i="13" s="1" a="1"/>
  <c r="K24" i="13" s="1"/>
  <c r="L22" i="13"/>
  <c r="K23" i="13" s="1" a="1"/>
  <c r="K23" i="13" s="1"/>
  <c r="I22" i="13" a="1"/>
  <c r="I22" i="13" s="1"/>
  <c r="M21" i="13"/>
  <c r="J24" i="13" s="1" a="1"/>
  <c r="J24" i="13" s="1"/>
  <c r="L21" i="13"/>
  <c r="J23" i="13" s="1" a="1"/>
  <c r="J23" i="13" s="1"/>
  <c r="K21" i="13"/>
  <c r="J22" i="13" s="1" a="1"/>
  <c r="J22" i="13" s="1"/>
  <c r="M20" i="13"/>
  <c r="L20" i="13"/>
  <c r="I23" i="13" s="1" a="1"/>
  <c r="I23" i="13" s="1"/>
  <c r="K20" i="13"/>
  <c r="J20" i="13"/>
  <c r="I21" i="13" s="1" a="1"/>
  <c r="I21" i="13" s="1"/>
  <c r="M19" i="13"/>
  <c r="H24" i="13" s="1" a="1"/>
  <c r="H24" i="13" s="1"/>
  <c r="L19" i="13"/>
  <c r="H23" i="13" s="1" a="1"/>
  <c r="H23" i="13" s="1"/>
  <c r="K19" i="13"/>
  <c r="H22" i="13" s="1" a="1"/>
  <c r="H22" i="13" s="1"/>
  <c r="J19" i="13"/>
  <c r="H21" i="13" s="1" a="1"/>
  <c r="H21" i="13" s="1"/>
  <c r="I19" i="13"/>
  <c r="H20" i="13" s="1" a="1"/>
  <c r="H20" i="13" s="1"/>
  <c r="M18" i="13"/>
  <c r="G24" i="13" s="1" a="1"/>
  <c r="G24" i="13" s="1"/>
  <c r="L18" i="13"/>
  <c r="G23" i="13" s="1" a="1"/>
  <c r="G23" i="13" s="1"/>
  <c r="K18" i="13"/>
  <c r="G22" i="13" s="1" a="1"/>
  <c r="G22" i="13" s="1"/>
  <c r="J18" i="13"/>
  <c r="G21" i="13" s="1" a="1"/>
  <c r="G21" i="13" s="1"/>
  <c r="I18" i="13"/>
  <c r="G20" i="13" s="1" a="1"/>
  <c r="G20" i="13" s="1"/>
  <c r="H18" i="13"/>
  <c r="G19" i="13" s="1" a="1"/>
  <c r="G19" i="13" s="1"/>
  <c r="F18" i="13" a="1"/>
  <c r="F18" i="13" s="1"/>
  <c r="M15" i="13"/>
  <c r="L15" i="13"/>
  <c r="K15" i="13"/>
  <c r="I16" i="13" s="1"/>
  <c r="J15" i="13"/>
  <c r="I15" i="13"/>
  <c r="H15" i="13"/>
  <c r="G15" i="13"/>
  <c r="J4" i="2"/>
  <c r="N9" i="13"/>
  <c r="M11" i="13"/>
  <c r="L12" i="13" s="1" a="1"/>
  <c r="L12" i="13" s="1"/>
  <c r="M10" i="13"/>
  <c r="K12" i="13" s="1" a="1"/>
  <c r="K12" i="13" s="1"/>
  <c r="L10" i="13"/>
  <c r="K11" i="13" s="1" a="1"/>
  <c r="K11" i="13" s="1"/>
  <c r="M9" i="13"/>
  <c r="J12" i="13" s="1" a="1"/>
  <c r="J12" i="13" s="1"/>
  <c r="N12" i="13" s="1"/>
  <c r="L9" i="13"/>
  <c r="J11" i="13" s="1" a="1"/>
  <c r="J11" i="13" s="1"/>
  <c r="K9" i="13"/>
  <c r="J10" i="13" s="1" a="1"/>
  <c r="J10" i="13" s="1"/>
  <c r="M8" i="13"/>
  <c r="I12" i="13" s="1" a="1"/>
  <c r="I12" i="13" s="1"/>
  <c r="L8" i="13"/>
  <c r="I11" i="13" s="1" a="1"/>
  <c r="I11" i="13" s="1"/>
  <c r="K8" i="13"/>
  <c r="I10" i="13" s="1" a="1"/>
  <c r="I10" i="13" s="1"/>
  <c r="J8" i="13"/>
  <c r="I9" i="13" s="1" a="1"/>
  <c r="I9" i="13" s="1"/>
  <c r="M7" i="13"/>
  <c r="H12" i="13" s="1" a="1"/>
  <c r="H12" i="13" s="1"/>
  <c r="L7" i="13"/>
  <c r="H11" i="13" s="1" a="1"/>
  <c r="H11" i="13" s="1"/>
  <c r="K7" i="13"/>
  <c r="H10" i="13" s="1" a="1"/>
  <c r="H10" i="13" s="1"/>
  <c r="N10" i="13" s="1"/>
  <c r="J7" i="13"/>
  <c r="H9" i="13" s="1" a="1"/>
  <c r="H9" i="13" s="1"/>
  <c r="I7" i="13"/>
  <c r="H8" i="13" s="1" a="1"/>
  <c r="H8" i="13" s="1"/>
  <c r="M6" i="13"/>
  <c r="G12" i="13" s="1" a="1"/>
  <c r="G12" i="13" s="1"/>
  <c r="L6" i="13"/>
  <c r="G11" i="13" s="1" a="1"/>
  <c r="G11" i="13" s="1"/>
  <c r="N11" i="13" s="1"/>
  <c r="K6" i="13"/>
  <c r="G10" i="13" s="1" a="1"/>
  <c r="G10" i="13" s="1"/>
  <c r="J6" i="13"/>
  <c r="G9" i="13" s="1" a="1"/>
  <c r="G9" i="13" s="1"/>
  <c r="I6" i="13"/>
  <c r="G8" i="13" s="1" a="1"/>
  <c r="G8" i="13" s="1"/>
  <c r="N8" i="13" s="1"/>
  <c r="H6" i="13"/>
  <c r="G7" i="13" s="1" a="1"/>
  <c r="G7" i="13" s="1"/>
  <c r="N7" i="13" s="1"/>
  <c r="F6" i="13" a="1"/>
  <c r="F6" i="13" s="1"/>
  <c r="M3" i="13"/>
  <c r="L3" i="13"/>
  <c r="K3" i="13"/>
  <c r="J3" i="13"/>
  <c r="I3" i="13"/>
  <c r="H3" i="13"/>
  <c r="G4" i="13" s="1"/>
  <c r="G3" i="13"/>
  <c r="J4" i="13" s="1"/>
  <c r="J20" i="12"/>
  <c r="E18" i="12"/>
  <c r="E19" i="12"/>
  <c r="E20" i="12"/>
  <c r="E16" i="12"/>
  <c r="E21" i="12" s="1" a="1"/>
  <c r="E21" i="12" s="1"/>
  <c r="C21" i="12" s="1"/>
  <c r="E17" i="12"/>
  <c r="F20" i="12"/>
  <c r="G20" i="12"/>
  <c r="H20" i="12"/>
  <c r="H19" i="12"/>
  <c r="G19" i="12"/>
  <c r="F19" i="12"/>
  <c r="J19" i="12"/>
  <c r="H18" i="12"/>
  <c r="G18" i="12"/>
  <c r="F18" i="12"/>
  <c r="J18" i="12"/>
  <c r="H17" i="12"/>
  <c r="G17" i="12"/>
  <c r="F17" i="12"/>
  <c r="J17" i="12"/>
  <c r="H16" i="12"/>
  <c r="G16" i="12"/>
  <c r="F16" i="12"/>
  <c r="J16" i="12"/>
  <c r="H11" i="12"/>
  <c r="F11" i="12"/>
  <c r="E11" i="12"/>
  <c r="H10" i="12"/>
  <c r="F10" i="12"/>
  <c r="E10" i="12"/>
  <c r="H9" i="12"/>
  <c r="F9" i="12"/>
  <c r="E9" i="12"/>
  <c r="G4" i="12"/>
  <c r="E4" i="12"/>
  <c r="G3" i="12"/>
  <c r="E3" i="12"/>
  <c r="M13" i="2"/>
  <c r="G13" i="2"/>
  <c r="B1" i="2"/>
  <c r="C20" i="1"/>
  <c r="H26" i="7"/>
  <c r="F26" i="7"/>
  <c r="E26" i="7"/>
  <c r="H25" i="7"/>
  <c r="F25" i="7"/>
  <c r="E25" i="7"/>
  <c r="H24" i="7"/>
  <c r="F24" i="7"/>
  <c r="E24" i="7"/>
  <c r="J18" i="7"/>
  <c r="H18" i="7"/>
  <c r="G18" i="7"/>
  <c r="F18" i="7"/>
  <c r="E18" i="7"/>
  <c r="J17" i="7"/>
  <c r="H17" i="7"/>
  <c r="G17" i="7"/>
  <c r="F17" i="7"/>
  <c r="E17" i="7"/>
  <c r="J16" i="7"/>
  <c r="H16" i="7"/>
  <c r="G16" i="7"/>
  <c r="F16" i="7"/>
  <c r="E16" i="7"/>
  <c r="J15" i="7"/>
  <c r="H15" i="7"/>
  <c r="G15" i="7"/>
  <c r="F15" i="7"/>
  <c r="E15" i="7"/>
  <c r="J14" i="7"/>
  <c r="H14" i="7"/>
  <c r="G14" i="7"/>
  <c r="F14" i="7"/>
  <c r="E19" i="7" s="1" a="1"/>
  <c r="E14" i="7"/>
  <c r="J8" i="7"/>
  <c r="H8" i="7"/>
  <c r="G8" i="7"/>
  <c r="F8" i="7"/>
  <c r="E8" i="7"/>
  <c r="J7" i="7"/>
  <c r="H7" i="7"/>
  <c r="G7" i="7"/>
  <c r="F7" i="7"/>
  <c r="E7" i="7"/>
  <c r="J6" i="7"/>
  <c r="H6" i="7"/>
  <c r="G6" i="7"/>
  <c r="F6" i="7"/>
  <c r="E6" i="7"/>
  <c r="J5" i="7"/>
  <c r="H5" i="7"/>
  <c r="G5" i="7"/>
  <c r="F5" i="7"/>
  <c r="E5" i="7"/>
  <c r="J4" i="7"/>
  <c r="H4" i="7"/>
  <c r="G4" i="7"/>
  <c r="F4" i="7"/>
  <c r="E9" i="7" s="1" a="1"/>
  <c r="E4" i="7"/>
  <c r="E27" i="7" l="1" a="1"/>
  <c r="E23" i="8"/>
  <c r="D23" i="8"/>
  <c r="I28" i="13"/>
  <c r="D17" i="13"/>
  <c r="N35" i="13"/>
  <c r="H4" i="13"/>
  <c r="M16" i="13"/>
  <c r="G28" i="13"/>
  <c r="D27" i="13" s="1"/>
  <c r="N6" i="13"/>
  <c r="L4" i="13"/>
  <c r="D8" i="13" s="1"/>
  <c r="J16" i="13"/>
  <c r="H28" i="13"/>
  <c r="N30" i="13"/>
  <c r="I4" i="13"/>
  <c r="K28" i="13"/>
  <c r="D31" i="13" s="1"/>
  <c r="K4" i="13"/>
  <c r="H16" i="13"/>
  <c r="N19" i="13"/>
  <c r="N32" i="13"/>
  <c r="D29" i="13" s="1"/>
  <c r="M4" i="13"/>
  <c r="D9" i="13" s="1"/>
  <c r="N20" i="13"/>
  <c r="N33" i="13"/>
  <c r="N36" i="13"/>
  <c r="L28" i="13"/>
  <c r="D32" i="13" s="1"/>
  <c r="J28" i="13"/>
  <c r="D30" i="13" s="1"/>
  <c r="G31" i="13" a="1"/>
  <c r="G31" i="13" s="1"/>
  <c r="N31" i="13" s="1"/>
  <c r="D28" i="13" s="1"/>
  <c r="M28" i="13"/>
  <c r="D33" i="13" s="1"/>
  <c r="N24" i="13"/>
  <c r="N23" i="13"/>
  <c r="N21" i="13"/>
  <c r="N22" i="13"/>
  <c r="K16" i="13"/>
  <c r="L16" i="13"/>
  <c r="D20" i="13" s="1"/>
  <c r="G16" i="13"/>
  <c r="N18" i="13"/>
  <c r="D4" i="13"/>
  <c r="D5" i="13"/>
  <c r="D6" i="13"/>
  <c r="E5" i="12" a="1"/>
  <c r="E5" i="12" s="1"/>
  <c r="C5" i="12" s="1"/>
  <c r="E12" i="12" a="1"/>
  <c r="E12" i="12" s="1"/>
  <c r="C12" i="12" s="1"/>
  <c r="F27" i="7"/>
  <c r="E27" i="7"/>
  <c r="G27" i="7"/>
  <c r="F19" i="7"/>
  <c r="E19" i="7"/>
  <c r="I19" i="7"/>
  <c r="H19" i="7"/>
  <c r="G19" i="7"/>
  <c r="F9" i="7"/>
  <c r="E9" i="7"/>
  <c r="C9" i="7" s="1"/>
  <c r="I9" i="7"/>
  <c r="H9" i="7"/>
  <c r="G9" i="7"/>
  <c r="C27" i="7" l="1"/>
  <c r="C29" i="7" s="1"/>
  <c r="D15" i="13"/>
  <c r="C34" i="13"/>
  <c r="D16" i="13"/>
  <c r="D18" i="13"/>
  <c r="D21" i="13"/>
  <c r="D19" i="13"/>
  <c r="D7" i="13"/>
  <c r="D3" i="13"/>
  <c r="B19" i="7"/>
  <c r="C22" i="13" l="1"/>
  <c r="C10" i="13"/>
  <c r="E6" i="8"/>
  <c r="J8" i="6"/>
  <c r="I9" i="6" s="1" a="1"/>
  <c r="I9" i="6" s="1"/>
  <c r="J7" i="6"/>
  <c r="H9" i="6" s="1" a="1"/>
  <c r="H9" i="6" s="1"/>
  <c r="I7" i="6"/>
  <c r="H8" i="6" s="1" a="1"/>
  <c r="H8" i="6" s="1"/>
  <c r="J6" i="6"/>
  <c r="G9" i="6" s="1" a="1"/>
  <c r="G9" i="6" s="1"/>
  <c r="I6" i="6"/>
  <c r="G8" i="6" s="1" a="1"/>
  <c r="G8" i="6" s="1"/>
  <c r="H6" i="6"/>
  <c r="G7" i="6" s="1" a="1"/>
  <c r="G7" i="6" s="1"/>
  <c r="F6" i="6" a="1"/>
  <c r="F6" i="6" s="1"/>
  <c r="J3" i="6"/>
  <c r="I3" i="6"/>
  <c r="H3" i="6"/>
  <c r="G3" i="6"/>
  <c r="D3" i="2"/>
  <c r="C7" i="2" s="1"/>
  <c r="C16" i="4"/>
  <c r="B17" i="4"/>
  <c r="C17" i="4" s="1"/>
  <c r="C3" i="4"/>
  <c r="B4" i="4"/>
  <c r="B5" i="4" s="1"/>
  <c r="F5" i="3"/>
  <c r="E5" i="3"/>
  <c r="G4" i="3"/>
  <c r="G3" i="3"/>
  <c r="F7" i="3"/>
  <c r="E7" i="3"/>
  <c r="G6" i="3"/>
  <c r="H5" i="3"/>
  <c r="H4" i="3"/>
  <c r="F9" i="3"/>
  <c r="E9" i="3"/>
  <c r="G8" i="3"/>
  <c r="H7" i="3"/>
  <c r="I6" i="3"/>
  <c r="I5" i="3"/>
  <c r="C23" i="3"/>
  <c r="F11" i="3"/>
  <c r="E11" i="3"/>
  <c r="G10" i="3"/>
  <c r="G11" i="3"/>
  <c r="H9" i="3"/>
  <c r="G9" i="3"/>
  <c r="H10" i="3"/>
  <c r="I8" i="3"/>
  <c r="G7" i="3"/>
  <c r="H8" i="3"/>
  <c r="I9" i="3"/>
  <c r="C22" i="3"/>
  <c r="G5" i="3"/>
  <c r="H6" i="3"/>
  <c r="C20" i="3"/>
  <c r="C19" i="3"/>
  <c r="C17" i="3"/>
  <c r="F13" i="3"/>
  <c r="E13" i="3"/>
  <c r="G12" i="3"/>
  <c r="H11" i="3"/>
  <c r="H12" i="3"/>
  <c r="I10" i="3"/>
  <c r="F15" i="3"/>
  <c r="E15" i="3"/>
  <c r="G14" i="3"/>
  <c r="H13" i="3"/>
  <c r="I12" i="3"/>
  <c r="I11" i="3"/>
  <c r="J11" i="3"/>
  <c r="J10" i="3"/>
  <c r="J12" i="3"/>
  <c r="J9" i="3"/>
  <c r="K10" i="3"/>
  <c r="K11" i="3"/>
  <c r="J7" i="3"/>
  <c r="K8" i="3"/>
  <c r="L9" i="3"/>
  <c r="I7" i="3"/>
  <c r="J8" i="3"/>
  <c r="K9" i="3"/>
  <c r="L10" i="3"/>
  <c r="C14" i="3"/>
  <c r="C16" i="3"/>
  <c r="G15" i="3"/>
  <c r="G13" i="3"/>
  <c r="H14" i="3"/>
  <c r="I13" i="3"/>
  <c r="C11" i="3"/>
  <c r="J6" i="3"/>
  <c r="K7" i="3"/>
  <c r="L8" i="3"/>
  <c r="C13" i="3"/>
  <c r="C12" i="3"/>
  <c r="C10" i="3"/>
  <c r="M9" i="3"/>
  <c r="F6" i="2" a="1"/>
  <c r="F6" i="2"/>
  <c r="H12" i="2"/>
  <c r="I12" i="2"/>
  <c r="J12" i="2"/>
  <c r="K12" i="2"/>
  <c r="L12" i="2"/>
  <c r="M12" i="2"/>
  <c r="H15" i="2"/>
  <c r="J15" i="2"/>
  <c r="I15" i="2"/>
  <c r="K15" i="2"/>
  <c r="L15" i="2"/>
  <c r="M15" i="2"/>
  <c r="N15" i="2"/>
  <c r="D12" i="2"/>
  <c r="G12" i="2"/>
  <c r="H13" i="2"/>
  <c r="G16" i="2" a="1"/>
  <c r="G16" i="2"/>
  <c r="I16" i="2"/>
  <c r="J16" i="2"/>
  <c r="K16" i="2"/>
  <c r="L16" i="2"/>
  <c r="M16" i="2"/>
  <c r="N16" i="2"/>
  <c r="D13" i="2"/>
  <c r="C13" i="2"/>
  <c r="I13" i="2"/>
  <c r="G17" i="2" a="1"/>
  <c r="G17" i="2"/>
  <c r="H17" i="2" a="1"/>
  <c r="H17" i="2"/>
  <c r="J17" i="2"/>
  <c r="K17" i="2"/>
  <c r="L17" i="2"/>
  <c r="M17" i="2"/>
  <c r="N17" i="2"/>
  <c r="D14" i="2"/>
  <c r="C14" i="2"/>
  <c r="J13" i="2"/>
  <c r="G18" i="2" a="1"/>
  <c r="G18" i="2"/>
  <c r="H18" i="2" a="1"/>
  <c r="H18" i="2"/>
  <c r="I18" i="2" a="1"/>
  <c r="K18" i="2"/>
  <c r="L18" i="2"/>
  <c r="M18" i="2"/>
  <c r="I18" i="2"/>
  <c r="N18" i="2"/>
  <c r="D15" i="2"/>
  <c r="C15" i="2"/>
  <c r="K13" i="2"/>
  <c r="G19" i="2" a="1"/>
  <c r="G19" i="2"/>
  <c r="H19" i="2" a="1"/>
  <c r="H19" i="2"/>
  <c r="I19" i="2" a="1"/>
  <c r="J19" i="2" a="1"/>
  <c r="L19" i="2"/>
  <c r="M19" i="2"/>
  <c r="I19" i="2"/>
  <c r="J19" i="2"/>
  <c r="N19" i="2"/>
  <c r="D16" i="2"/>
  <c r="C16" i="2"/>
  <c r="L13" i="2"/>
  <c r="G20" i="2" a="1"/>
  <c r="G20" i="2"/>
  <c r="H20" i="2" a="1"/>
  <c r="H20" i="2"/>
  <c r="I20" i="2" a="1"/>
  <c r="J20" i="2" a="1"/>
  <c r="K20" i="2" a="1"/>
  <c r="M20" i="2"/>
  <c r="I20" i="2"/>
  <c r="J20" i="2"/>
  <c r="K20" i="2"/>
  <c r="N20" i="2"/>
  <c r="D17" i="2"/>
  <c r="C17" i="2"/>
  <c r="G21" i="2" a="1"/>
  <c r="G21" i="2"/>
  <c r="H21" i="2" a="1"/>
  <c r="H21" i="2"/>
  <c r="I21" i="2" a="1"/>
  <c r="J21" i="2" a="1"/>
  <c r="K21" i="2" a="1"/>
  <c r="L21" i="2" a="1"/>
  <c r="I21" i="2"/>
  <c r="J21" i="2"/>
  <c r="K21" i="2"/>
  <c r="L21" i="2"/>
  <c r="N21" i="2"/>
  <c r="D18" i="2"/>
  <c r="C18" i="2"/>
  <c r="C19" i="2"/>
  <c r="H3" i="2"/>
  <c r="I3" i="2"/>
  <c r="J3" i="2"/>
  <c r="G4" i="2"/>
  <c r="H6" i="2"/>
  <c r="J6" i="2"/>
  <c r="I6" i="2"/>
  <c r="K6" i="2"/>
  <c r="F15" i="2" a="1"/>
  <c r="F15" i="2"/>
  <c r="C4" i="2"/>
  <c r="C5" i="2"/>
  <c r="G3" i="2"/>
  <c r="H4" i="2"/>
  <c r="G7" i="2" a="1"/>
  <c r="G7" i="2"/>
  <c r="I7" i="2"/>
  <c r="J7" i="2"/>
  <c r="K7" i="2"/>
  <c r="D4" i="2"/>
  <c r="I4" i="2"/>
  <c r="G8" i="2" a="1"/>
  <c r="G8" i="2"/>
  <c r="H8" i="2" a="1"/>
  <c r="H8" i="2"/>
  <c r="J8" i="2"/>
  <c r="K8" i="2"/>
  <c r="D5" i="2"/>
  <c r="G9" i="2" a="1"/>
  <c r="G9" i="2"/>
  <c r="H9" i="2" a="1"/>
  <c r="H9" i="2"/>
  <c r="I9" i="2" a="1"/>
  <c r="I9" i="2"/>
  <c r="K9" i="2"/>
  <c r="D6" i="2"/>
  <c r="C21" i="1"/>
  <c r="C16" i="1"/>
  <c r="I16" i="1" s="1"/>
  <c r="E17" i="1"/>
  <c r="E18" i="1"/>
  <c r="E19" i="1"/>
  <c r="E16" i="1"/>
  <c r="G17" i="1"/>
  <c r="G18" i="1"/>
  <c r="G19" i="1"/>
  <c r="F17" i="1"/>
  <c r="F18" i="1"/>
  <c r="F19" i="1"/>
  <c r="C17" i="1"/>
  <c r="I17" i="1" s="1"/>
  <c r="C18" i="1"/>
  <c r="I18" i="1" s="1"/>
  <c r="C19" i="1"/>
  <c r="I19" i="1" s="1"/>
  <c r="G16" i="1"/>
  <c r="F16" i="1"/>
  <c r="E9" i="1"/>
  <c r="F9" i="1"/>
  <c r="H9" i="1"/>
  <c r="G4" i="1"/>
  <c r="E4" i="1"/>
  <c r="G3" i="1"/>
  <c r="E3" i="1"/>
  <c r="H10" i="1"/>
  <c r="H11" i="1"/>
  <c r="F10" i="1"/>
  <c r="F11" i="1"/>
  <c r="E10" i="1"/>
  <c r="E11" i="1"/>
  <c r="E8" i="8" l="1"/>
  <c r="H4" i="6"/>
  <c r="D4" i="6" s="1"/>
  <c r="K7" i="6"/>
  <c r="I4" i="6"/>
  <c r="K8" i="6"/>
  <c r="J4" i="6"/>
  <c r="K9" i="6"/>
  <c r="K6" i="6"/>
  <c r="G4" i="6"/>
  <c r="D3" i="6" s="1"/>
  <c r="E5" i="1" a="1"/>
  <c r="E5" i="1" s="1"/>
  <c r="C5" i="1" s="1"/>
  <c r="E12" i="1" a="1"/>
  <c r="E12" i="1" s="1"/>
  <c r="C12" i="1" s="1"/>
  <c r="E20" i="1" a="1"/>
  <c r="E20" i="1" s="1"/>
  <c r="I17" i="4"/>
  <c r="B18" i="4"/>
  <c r="C18" i="4" s="1"/>
  <c r="C5" i="4"/>
  <c r="B6" i="4"/>
  <c r="C4" i="4"/>
  <c r="D6" i="6" l="1"/>
  <c r="D5" i="6"/>
  <c r="C7" i="6" s="1"/>
  <c r="G5" i="4"/>
  <c r="B19" i="4"/>
  <c r="C19" i="4" s="1"/>
  <c r="D18" i="4"/>
  <c r="D4" i="4"/>
  <c r="D5" i="4"/>
  <c r="E5" i="4"/>
  <c r="B7" i="4"/>
  <c r="C6" i="4"/>
  <c r="D6" i="4" s="1"/>
  <c r="I19" i="4" l="1"/>
  <c r="H19" i="4"/>
  <c r="B20" i="4"/>
  <c r="C20" i="4" s="1"/>
  <c r="F6" i="4"/>
  <c r="B8" i="4"/>
  <c r="C7" i="4"/>
  <c r="E7" i="4" s="1"/>
  <c r="E10" i="8" l="1"/>
  <c r="B21" i="4"/>
  <c r="C21" i="4" s="1"/>
  <c r="D20" i="4"/>
  <c r="E20" i="4"/>
  <c r="D19" i="4"/>
  <c r="C8" i="4"/>
  <c r="B9" i="4"/>
  <c r="D7" i="4"/>
  <c r="F12" i="8" l="1"/>
  <c r="F13" i="8" s="1"/>
  <c r="G13" i="8"/>
  <c r="E12" i="8"/>
  <c r="E13" i="8" s="1"/>
  <c r="H21" i="4"/>
  <c r="I21" i="4"/>
  <c r="B22" i="4"/>
  <c r="C22" i="4" s="1"/>
  <c r="G8" i="4"/>
  <c r="C9" i="4"/>
  <c r="E9" i="4" s="1"/>
  <c r="B10" i="4"/>
  <c r="D9" i="4"/>
  <c r="D8" i="4"/>
  <c r="D13" i="8" l="1"/>
  <c r="B23" i="4"/>
  <c r="C23" i="4" s="1"/>
  <c r="E23" i="4" s="1"/>
  <c r="G21" i="4"/>
  <c r="D21" i="4"/>
  <c r="E22" i="4"/>
  <c r="D22" i="4"/>
  <c r="F22" i="4"/>
  <c r="F9" i="4"/>
  <c r="B11" i="4"/>
  <c r="C11" i="4" s="1"/>
  <c r="C10" i="4"/>
  <c r="D10" i="4" s="1"/>
  <c r="I23" i="4" l="1"/>
  <c r="I24" i="4" s="1"/>
  <c r="G23" i="4"/>
  <c r="H23" i="4"/>
  <c r="H24" i="4" s="1"/>
  <c r="D23" i="4"/>
  <c r="F23" i="4"/>
  <c r="D11" i="4"/>
  <c r="D12" i="4" s="1"/>
  <c r="G11" i="4"/>
  <c r="G12" i="4" s="1"/>
  <c r="E11" i="4"/>
  <c r="E12" i="4" s="1"/>
  <c r="F11" i="4"/>
  <c r="F12" i="4" s="1"/>
  <c r="G18" i="4"/>
  <c r="G24" i="4" s="1"/>
  <c r="D17" i="4"/>
  <c r="E18" i="4"/>
  <c r="E24" i="4" s="1"/>
  <c r="F19" i="4"/>
  <c r="F24" i="4" s="1"/>
  <c r="D24" i="4" l="1"/>
  <c r="F2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<sst xmlns="http://schemas.openxmlformats.org/spreadsheetml/2006/main" count="242" uniqueCount="64">
  <si>
    <t>INTERPOLACIÓN</t>
  </si>
  <si>
    <t>grado 1</t>
  </si>
  <si>
    <t>x</t>
  </si>
  <si>
    <t>f(x)</t>
  </si>
  <si>
    <t>a1</t>
  </si>
  <si>
    <t>a0</t>
  </si>
  <si>
    <t>grado 2</t>
  </si>
  <si>
    <t>a2</t>
  </si>
  <si>
    <t>grado 3</t>
  </si>
  <si>
    <t>a3</t>
  </si>
  <si>
    <t>LAGRANGE</t>
  </si>
  <si>
    <t>Ln(X)</t>
  </si>
  <si>
    <r>
      <t>x-x</t>
    </r>
    <r>
      <rPr>
        <vertAlign val="subscript"/>
        <sz val="12"/>
        <color theme="1"/>
        <rFont val="Arial"/>
        <family val="2"/>
      </rPr>
      <t>0</t>
    </r>
  </si>
  <si>
    <r>
      <t>x-x</t>
    </r>
    <r>
      <rPr>
        <vertAlign val="subscript"/>
        <sz val="12"/>
        <color theme="1"/>
        <rFont val="Arial"/>
        <family val="2"/>
      </rPr>
      <t>1</t>
    </r>
    <r>
      <rPr>
        <sz val="11"/>
        <color theme="1"/>
        <rFont val="Aptos Narrow"/>
        <family val="2"/>
        <scheme val="minor"/>
      </rPr>
      <t/>
    </r>
  </si>
  <si>
    <r>
      <t>x-x</t>
    </r>
    <r>
      <rPr>
        <vertAlign val="subscript"/>
        <sz val="12"/>
        <color theme="1"/>
        <rFont val="Arial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</si>
  <si>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r>
      <t>x-x</t>
    </r>
    <r>
      <rPr>
        <vertAlign val="subscript"/>
        <sz val="12"/>
        <color theme="1"/>
        <rFont val="Arial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</si>
  <si>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2"/>
        <color theme="1"/>
        <rFont val="Arial"/>
        <family val="2"/>
      </rPr>
      <t>0</t>
    </r>
  </si>
  <si>
    <r>
      <t>x</t>
    </r>
    <r>
      <rPr>
        <vertAlign val="subscript"/>
        <sz val="12"/>
        <color theme="1"/>
        <rFont val="Arial"/>
        <family val="2"/>
      </rPr>
      <t>1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</si>
  <si>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2"/>
        <color theme="1"/>
        <rFont val="Arial"/>
        <family val="2"/>
      </rPr>
      <t>2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</si>
  <si>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2"/>
        <color theme="1"/>
        <rFont val="Arial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</si>
  <si>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t>grado 6</t>
  </si>
  <si>
    <r>
      <t>x-x</t>
    </r>
    <r>
      <rPr>
        <vertAlign val="subscript"/>
        <sz val="12"/>
        <color theme="1"/>
        <rFont val="Arial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</si>
  <si>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r>
      <t>x-x</t>
    </r>
    <r>
      <rPr>
        <vertAlign val="subscript"/>
        <sz val="12"/>
        <color theme="1"/>
        <rFont val="Arial"/>
        <family val="2"/>
      </rPr>
      <t>5</t>
    </r>
    <r>
      <rPr>
        <sz val="11"/>
        <color theme="1"/>
        <rFont val="Aptos Narrow"/>
        <family val="2"/>
        <scheme val="minor"/>
      </rPr>
      <t/>
    </r>
  </si>
  <si>
    <r>
      <t>x-x</t>
    </r>
    <r>
      <rPr>
        <vertAlign val="subscript"/>
        <sz val="12"/>
        <color theme="1"/>
        <rFont val="Arial"/>
        <family val="2"/>
      </rPr>
      <t>6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</si>
  <si>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2"/>
        <color theme="1"/>
        <rFont val="Arial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</si>
  <si>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2"/>
        <color theme="1"/>
        <rFont val="Arial"/>
        <family val="2"/>
      </rPr>
      <t>5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</si>
  <si>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2"/>
        <color theme="1"/>
        <rFont val="Arial"/>
        <family val="2"/>
      </rPr>
      <t>6</t>
    </r>
    <r>
      <rPr>
        <sz val="11"/>
        <color theme="1"/>
        <rFont val="Aptos Narrow"/>
        <family val="2"/>
        <scheme val="minor"/>
      </rPr>
      <t/>
    </r>
  </si>
  <si>
    <r>
      <t>x</t>
    </r>
    <r>
      <rPr>
        <vertAlign val="subscript"/>
        <sz val="12"/>
        <color theme="1"/>
        <rFont val="Arial"/>
        <family val="2"/>
      </rPr>
      <t>4</t>
    </r>
  </si>
  <si>
    <t>NEWTON DD</t>
  </si>
  <si>
    <t>fn</t>
  </si>
  <si>
    <r>
      <rPr>
        <sz val="12"/>
        <color theme="1"/>
        <rFont val="Aptos Narrow"/>
        <family val="2"/>
      </rPr>
      <t>Δ</t>
    </r>
    <r>
      <rPr>
        <sz val="12"/>
        <color theme="1"/>
        <rFont val="Arial"/>
        <family val="2"/>
      </rPr>
      <t>fn</t>
    </r>
  </si>
  <si>
    <r>
      <rPr>
        <sz val="12"/>
        <color rgb="FF000000"/>
        <rFont val="Aptos Narrow"/>
      </rPr>
      <t>Δ</t>
    </r>
    <r>
      <rPr>
        <vertAlign val="superscript"/>
        <sz val="12"/>
        <color rgb="FF000000"/>
        <rFont val="Aptos Narrow"/>
        <family val="2"/>
      </rPr>
      <t>2</t>
    </r>
    <r>
      <rPr>
        <sz val="12"/>
        <color rgb="FF000000"/>
        <rFont val="Arial"/>
      </rPr>
      <t>fn</t>
    </r>
  </si>
  <si>
    <r>
      <rPr>
        <sz val="12"/>
        <color rgb="FF000000"/>
        <rFont val="Aptos Narrow"/>
        <family val="2"/>
      </rPr>
      <t>Δ</t>
    </r>
    <r>
      <rPr>
        <vertAlign val="superscript"/>
        <sz val="12"/>
        <color rgb="FF000000"/>
        <rFont val="Aptos Narrow"/>
        <family val="2"/>
      </rPr>
      <t>3</t>
    </r>
    <r>
      <rPr>
        <sz val="12"/>
        <color rgb="FF000000"/>
        <rFont val="Arial"/>
        <family val="2"/>
      </rPr>
      <t>fn</t>
    </r>
  </si>
  <si>
    <r>
      <t>Δ</t>
    </r>
    <r>
      <rPr>
        <vertAlign val="superscript"/>
        <sz val="12"/>
        <color rgb="FF000000"/>
        <rFont val="Arial"/>
        <family val="2"/>
      </rPr>
      <t>4</t>
    </r>
    <r>
      <rPr>
        <sz val="12"/>
        <color rgb="FF000000"/>
        <rFont val="Arial"/>
        <family val="2"/>
      </rPr>
      <t>fn</t>
    </r>
  </si>
  <si>
    <r>
      <rPr>
        <sz val="12"/>
        <color rgb="FF000000"/>
        <rFont val="Aptos Narrow"/>
        <family val="2"/>
      </rPr>
      <t>Δ</t>
    </r>
    <r>
      <rPr>
        <vertAlign val="superscript"/>
        <sz val="12"/>
        <color rgb="FF000000"/>
        <rFont val="Aptos Narrow"/>
        <family val="2"/>
      </rPr>
      <t>5</t>
    </r>
    <r>
      <rPr>
        <sz val="12"/>
        <color rgb="FF000000"/>
        <rFont val="Arial"/>
        <family val="2"/>
      </rPr>
      <t>fn</t>
    </r>
  </si>
  <si>
    <r>
      <rPr>
        <sz val="12"/>
        <color rgb="FF000000"/>
        <rFont val="Aptos Narrow"/>
        <family val="2"/>
      </rPr>
      <t>Δ</t>
    </r>
    <r>
      <rPr>
        <vertAlign val="superscript"/>
        <sz val="12"/>
        <color rgb="FF000000"/>
        <rFont val="Aptos Narrow"/>
        <family val="2"/>
      </rPr>
      <t>6</t>
    </r>
    <r>
      <rPr>
        <sz val="12"/>
        <color rgb="FF000000"/>
        <rFont val="Arial"/>
        <family val="2"/>
      </rPr>
      <t>fn</t>
    </r>
  </si>
  <si>
    <t>Punto de inicio (Valor a interpolar)</t>
  </si>
  <si>
    <t>-F6</t>
  </si>
  <si>
    <t>Grado 6</t>
  </si>
  <si>
    <t>+F3</t>
  </si>
  <si>
    <t>zzf2</t>
  </si>
  <si>
    <t>----F4</t>
  </si>
  <si>
    <t>+F2</t>
  </si>
  <si>
    <t>Grado 1</t>
  </si>
  <si>
    <t>----(F2  y  F3)</t>
  </si>
  <si>
    <t>El intervalo a usar es donde queda mas centrado el valor a interpolar</t>
  </si>
  <si>
    <t>-F4</t>
  </si>
  <si>
    <t>Grado 2</t>
  </si>
  <si>
    <t xml:space="preserve">el mejor punto es donde queda mas centrado el valor buscado </t>
  </si>
  <si>
    <t>+F1</t>
  </si>
  <si>
    <t>Grado 3</t>
  </si>
  <si>
    <t>+F4</t>
  </si>
  <si>
    <t>a4</t>
  </si>
  <si>
    <t>d ivancito</t>
  </si>
  <si>
    <t>grado 4</t>
  </si>
  <si>
    <t>valor a)</t>
  </si>
  <si>
    <t>error abs</t>
  </si>
  <si>
    <t>INTEGRAL</t>
  </si>
  <si>
    <t>h</t>
  </si>
  <si>
    <t>Trapecio</t>
  </si>
  <si>
    <t>Simpson 1/3</t>
  </si>
  <si>
    <t>Simpson 3/8</t>
  </si>
  <si>
    <t>Combo</t>
  </si>
  <si>
    <t>inciso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</si>
</sst>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000"/>
    <numFmt numFmtId="166" formatCode="0.00000"/>
    <numFmt numFmtId="167" formatCode="0.0"/>
  </numFmts>
  <fonts count="3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</font>
    <font>
      <b/>
      <sz val="12"/>
      <color rgb="FFFF0000"/>
      <name val="Arial"/>
    </font>
    <font>
      <b/>
      <sz val="12"/>
      <color theme="0"/>
      <name val="Arial"/>
    </font>
    <font>
      <vertAlign val="subscript"/>
      <sz val="12"/>
      <color theme="1"/>
      <name val="Arial"/>
      <family val="2"/>
    </font>
    <font>
      <sz val="12"/>
      <color theme="1"/>
      <name val="Aptos Narrow"/>
      <family val="2"/>
    </font>
    <font>
      <sz val="12"/>
      <color rgb="FF000000"/>
      <name val="Aptos Narrow"/>
    </font>
    <font>
      <sz val="12"/>
      <color rgb="FF000000"/>
      <name val="Arial"/>
    </font>
    <font>
      <sz val="12"/>
      <color rgb="FF000000"/>
      <name val="Arial"/>
      <family val="2"/>
    </font>
    <font>
      <sz val="12"/>
      <color rgb="FF000000"/>
      <name val="Aptos Narrow"/>
      <family val="2"/>
    </font>
    <font>
      <vertAlign val="superscript"/>
      <sz val="12"/>
      <color rgb="FF000000"/>
      <name val="Aptos Narrow"/>
      <family val="2"/>
    </font>
    <font>
      <vertAlign val="superscript"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</font>
    <font>
      <sz val="6"/>
      <name val="Yu Gothic"/>
      <family val="2"/>
      <charset val="128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rial{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8" fillId="0" borderId="0">
      <alignment vertical="center"/>
    </xf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/>
    <xf numFmtId="0" fontId="10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5" fontId="7" fillId="9" borderId="8" xfId="0" applyNumberFormat="1" applyFont="1" applyFill="1" applyBorder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1" borderId="6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 vertical="center"/>
    </xf>
    <xf numFmtId="0" fontId="0" fillId="0" borderId="2" xfId="0" applyBorder="1"/>
    <xf numFmtId="0" fontId="7" fillId="14" borderId="9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9" borderId="10" xfId="0" applyNumberFormat="1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165" fontId="7" fillId="15" borderId="10" xfId="0" applyNumberFormat="1" applyFont="1" applyFill="1" applyBorder="1" applyAlignment="1">
      <alignment horizontal="center" vertical="center"/>
    </xf>
    <xf numFmtId="165" fontId="7" fillId="16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17" fillId="0" borderId="11" xfId="0" applyNumberFormat="1" applyFont="1" applyBorder="1" applyAlignment="1">
      <alignment horizontal="center" vertical="center"/>
    </xf>
    <xf numFmtId="165" fontId="7" fillId="12" borderId="10" xfId="0" applyNumberFormat="1" applyFont="1" applyFill="1" applyBorder="1" applyAlignment="1">
      <alignment horizontal="center" vertical="center"/>
    </xf>
    <xf numFmtId="165" fontId="7" fillId="13" borderId="10" xfId="0" applyNumberFormat="1" applyFont="1" applyFill="1" applyBorder="1" applyAlignment="1">
      <alignment horizontal="center" vertical="center"/>
    </xf>
    <xf numFmtId="165" fontId="7" fillId="11" borderId="10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21" fillId="17" borderId="10" xfId="0" applyFont="1" applyFill="1" applyBorder="1" applyAlignment="1">
      <alignment horizontal="center" vertical="center"/>
    </xf>
    <xf numFmtId="1" fontId="21" fillId="17" borderId="10" xfId="0" applyNumberFormat="1" applyFont="1" applyFill="1" applyBorder="1" applyAlignment="1">
      <alignment horizontal="center" vertical="center"/>
    </xf>
    <xf numFmtId="1" fontId="21" fillId="17" borderId="0" xfId="0" applyNumberFormat="1" applyFont="1" applyFill="1" applyAlignment="1">
      <alignment horizontal="center" vertical="center"/>
    </xf>
    <xf numFmtId="0" fontId="22" fillId="17" borderId="10" xfId="0" applyFont="1" applyFill="1" applyBorder="1" applyAlignment="1">
      <alignment horizontal="center" vertical="center"/>
    </xf>
    <xf numFmtId="1" fontId="22" fillId="17" borderId="10" xfId="0" applyNumberFormat="1" applyFont="1" applyFill="1" applyBorder="1" applyAlignment="1">
      <alignment horizontal="center" vertical="center"/>
    </xf>
    <xf numFmtId="1" fontId="22" fillId="17" borderId="0" xfId="0" applyNumberFormat="1" applyFont="1" applyFill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25" fillId="0" borderId="0" xfId="0" applyFont="1"/>
    <xf numFmtId="0" fontId="24" fillId="0" borderId="0" xfId="0" applyFont="1" applyAlignment="1">
      <alignment horizontal="center"/>
    </xf>
    <xf numFmtId="0" fontId="24" fillId="0" borderId="0" xfId="0" quotePrefix="1" applyFont="1" applyAlignment="1">
      <alignment horizontal="center"/>
    </xf>
    <xf numFmtId="0" fontId="24" fillId="0" borderId="0" xfId="0" applyFont="1"/>
    <xf numFmtId="165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" fillId="0" borderId="0" xfId="0" applyFont="1"/>
    <xf numFmtId="165" fontId="7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26" fillId="16" borderId="0" xfId="0" applyNumberFormat="1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165" fontId="7" fillId="10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165" fontId="29" fillId="2" borderId="0" xfId="0" applyNumberFormat="1" applyFont="1" applyFill="1" applyAlignment="1">
      <alignment horizontal="center" vertical="center"/>
    </xf>
    <xf numFmtId="165" fontId="21" fillId="6" borderId="0" xfId="0" applyNumberFormat="1" applyFont="1" applyFill="1" applyAlignment="1">
      <alignment horizontal="center" vertical="center"/>
    </xf>
    <xf numFmtId="2" fontId="21" fillId="6" borderId="0" xfId="0" applyNumberFormat="1" applyFont="1" applyFill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" fontId="29" fillId="2" borderId="0" xfId="0" applyNumberFormat="1" applyFont="1" applyFill="1" applyAlignment="1">
      <alignment horizontal="center" vertical="center"/>
    </xf>
    <xf numFmtId="165" fontId="29" fillId="19" borderId="0" xfId="0" applyNumberFormat="1" applyFont="1" applyFill="1" applyAlignment="1">
      <alignment horizontal="center" vertical="center"/>
    </xf>
    <xf numFmtId="165" fontId="7" fillId="11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7" fillId="9" borderId="0" xfId="0" applyNumberFormat="1" applyFont="1" applyFill="1" applyAlignment="1">
      <alignment horizontal="center" vertical="center"/>
    </xf>
    <xf numFmtId="167" fontId="7" fillId="9" borderId="0" xfId="0" applyNumberFormat="1" applyFont="1" applyFill="1" applyAlignment="1">
      <alignment horizontal="center" vertical="center"/>
    </xf>
    <xf numFmtId="1" fontId="7" fillId="9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7" fillId="11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" fontId="7" fillId="9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D1840A3-380B-478A-B66E-EFDC70ECE9E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A01AD64-11BB-456C-B9D6-4FCE1AE8349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65A73455-4798-4387-95A1-03E4C4AC938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649852676461417E-2"/>
          <c:y val="8.2872928176795577E-2"/>
          <c:w val="0.91491336571434323"/>
          <c:h val="0.7502921941387161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5202808700636558"/>
                  <c:y val="0.395948434622467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Interpolación!$B$9:$B$11</c:f>
              <c:numCache>
                <c:formatCode>General</c:formatCode>
                <c:ptCount val="3"/>
                <c:pt idx="0">
                  <c:v>2</c:v>
                </c:pt>
                <c:pt idx="1">
                  <c:v>3.2</c:v>
                </c:pt>
                <c:pt idx="2">
                  <c:v>4</c:v>
                </c:pt>
              </c:numCache>
            </c:numRef>
          </c:xVal>
          <c:yVal>
            <c:numRef>
              <c:f>Interpolación!$C$9:$C$11</c:f>
              <c:numCache>
                <c:formatCode>General</c:formatCode>
                <c:ptCount val="3"/>
                <c:pt idx="0">
                  <c:v>1.43</c:v>
                </c:pt>
                <c:pt idx="1">
                  <c:v>2.79</c:v>
                </c:pt>
                <c:pt idx="2">
                  <c:v>3.56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B-4FBF-8EC8-A3DBDF87C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06032"/>
        <c:axId val="460057696"/>
      </c:scatterChart>
      <c:valAx>
        <c:axId val="53680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57696"/>
        <c:crosses val="autoZero"/>
        <c:crossBetween val="midCat"/>
      </c:valAx>
      <c:valAx>
        <c:axId val="46005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0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5</xdr:row>
      <xdr:rowOff>85725</xdr:rowOff>
    </xdr:from>
    <xdr:to>
      <xdr:col>14</xdr:col>
      <xdr:colOff>396240</xdr:colOff>
      <xdr:row>12</xdr:row>
      <xdr:rowOff>85725</xdr:rowOff>
    </xdr:to>
    <xdr:graphicFrame macro="">
      <xdr:nvGraphicFramePr>
        <xdr:cNvPr id="2" name="Gráfico 7">
          <a:extLst>
            <a:ext uri="{FF2B5EF4-FFF2-40B4-BE49-F238E27FC236}">
              <a16:creationId xmlns:a16="http://schemas.microsoft.com/office/drawing/2014/main" id="{0C8BA89C-0EBB-EEA8-B92D-257C7B86F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685800</xdr:colOff>
      <xdr:row>2</xdr:row>
      <xdr:rowOff>152400</xdr:rowOff>
    </xdr:from>
    <xdr:to>
      <xdr:col>17</xdr:col>
      <xdr:colOff>257175</xdr:colOff>
      <xdr:row>17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3DA932-DBA7-BA0C-E695-88789AA21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4875" y="542925"/>
          <a:ext cx="4572000" cy="2838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24</xdr:col>
      <xdr:colOff>42374</xdr:colOff>
      <xdr:row>15</xdr:row>
      <xdr:rowOff>124066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F21621-5FA3-D132-D1FB-1D0383CC7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8375" y="436563"/>
          <a:ext cx="5357324" cy="27815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0</xdr:row>
      <xdr:rowOff>0</xdr:rowOff>
    </xdr:from>
    <xdr:to>
      <xdr:col>15</xdr:col>
      <xdr:colOff>590550</xdr:colOff>
      <xdr:row>11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A1DD7B-16BF-0F65-A784-97D76A7C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0"/>
          <a:ext cx="3362325" cy="2257425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142875</xdr:colOff>
      <xdr:row>13</xdr:row>
      <xdr:rowOff>171450</xdr:rowOff>
    </xdr:from>
    <xdr:to>
      <xdr:col>15</xdr:col>
      <xdr:colOff>114300</xdr:colOff>
      <xdr:row>22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DCCE73-828C-3578-7FFC-D415907B31A0}"/>
            </a:ext>
            <a:ext uri="{147F2762-F138-4A5C-976F-8EAC2B608ADB}">
              <a16:predDERef xmlns:a16="http://schemas.microsoft.com/office/drawing/2014/main" pred="{38A1DD7B-16BF-0F65-A784-97D76A7C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2525" y="2667000"/>
          <a:ext cx="2828925" cy="17335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22</xdr:row>
      <xdr:rowOff>133350</xdr:rowOff>
    </xdr:from>
    <xdr:to>
      <xdr:col>12</xdr:col>
      <xdr:colOff>542925</xdr:colOff>
      <xdr:row>31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093EFF-59E9-B5D9-4C8A-0689A8E9B47A}"/>
            </a:ext>
            <a:ext uri="{147F2762-F138-4A5C-976F-8EAC2B608ADB}">
              <a16:predDERef xmlns:a16="http://schemas.microsoft.com/office/drawing/2014/main" pred="{6DDCCE73-828C-3578-7FFC-D415907B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9475" y="4343400"/>
          <a:ext cx="2657475" cy="1733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1</xdr:row>
      <xdr:rowOff>9525</xdr:rowOff>
    </xdr:from>
    <xdr:to>
      <xdr:col>16</xdr:col>
      <xdr:colOff>257175</xdr:colOff>
      <xdr:row>12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2B6A58-953D-C444-A4F1-81EAEFECB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200025"/>
          <a:ext cx="2447925" cy="22002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5</xdr:row>
      <xdr:rowOff>0</xdr:rowOff>
    </xdr:from>
    <xdr:to>
      <xdr:col>16</xdr:col>
      <xdr:colOff>28575</xdr:colOff>
      <xdr:row>16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6B1EA4-934D-C902-D556-9634DBF9D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825" y="952500"/>
          <a:ext cx="4562475" cy="2171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504825</xdr:colOff>
      <xdr:row>1</xdr:row>
      <xdr:rowOff>19050</xdr:rowOff>
    </xdr:from>
    <xdr:to>
      <xdr:col>13</xdr:col>
      <xdr:colOff>9525</xdr:colOff>
      <xdr:row>13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AE8FAE-F1A2-D4AB-40A5-6D6C1F172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7475" y="209550"/>
          <a:ext cx="3314700" cy="229552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16</xdr:row>
      <xdr:rowOff>114300</xdr:rowOff>
    </xdr:from>
    <xdr:to>
      <xdr:col>12</xdr:col>
      <xdr:colOff>676275</xdr:colOff>
      <xdr:row>25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CD2B84-4958-7E4A-018D-5603CA287E11}"/>
            </a:ext>
            <a:ext uri="{147F2762-F138-4A5C-976F-8EAC2B608ADB}">
              <a16:predDERef xmlns:a16="http://schemas.microsoft.com/office/drawing/2014/main" pred="{0AAE8FAE-F1A2-D4AB-40A5-6D6C1F172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29325" y="3152775"/>
          <a:ext cx="3657600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27B7-8C7E-4353-B4DB-41A459A2F7DF}">
  <dimension ref="A1:I21"/>
  <sheetViews>
    <sheetView workbookViewId="0">
      <selection activeCell="O22" sqref="O22"/>
    </sheetView>
  </sheetViews>
  <sheetFormatPr defaultColWidth="10.7109375" defaultRowHeight="14.45"/>
  <cols>
    <col min="1" max="1" width="16.28515625" bestFit="1" customWidth="1"/>
  </cols>
  <sheetData>
    <row r="1" spans="1:9" ht="15.6">
      <c r="A1" s="3" t="s">
        <v>0</v>
      </c>
      <c r="B1" s="2"/>
      <c r="C1" s="2"/>
    </row>
    <row r="2" spans="1:9" ht="15.6">
      <c r="A2" s="8" t="s">
        <v>1</v>
      </c>
      <c r="B2" s="9" t="s">
        <v>2</v>
      </c>
      <c r="C2" s="9" t="s">
        <v>3</v>
      </c>
      <c r="F2" s="1"/>
    </row>
    <row r="3" spans="1:9" ht="15.6">
      <c r="A3" s="2"/>
      <c r="B3" s="4">
        <v>3.2</v>
      </c>
      <c r="C3" s="4">
        <v>2.79</v>
      </c>
      <c r="E3" s="81">
        <f t="shared" ref="E3:E4" si="0">B3</f>
        <v>3.2</v>
      </c>
      <c r="F3" s="81">
        <v>1</v>
      </c>
      <c r="G3" s="86">
        <f t="shared" ref="G3:G4" si="1">C3</f>
        <v>2.79</v>
      </c>
      <c r="H3" s="74"/>
      <c r="I3" s="74"/>
    </row>
    <row r="4" spans="1:9" ht="15.6">
      <c r="A4" s="2"/>
      <c r="B4" s="4">
        <v>4</v>
      </c>
      <c r="C4" s="4">
        <v>3.56</v>
      </c>
      <c r="E4" s="81">
        <f t="shared" si="0"/>
        <v>4</v>
      </c>
      <c r="F4" s="81">
        <v>1</v>
      </c>
      <c r="G4" s="86">
        <f t="shared" si="1"/>
        <v>3.56</v>
      </c>
      <c r="H4" s="74"/>
      <c r="I4" s="74"/>
    </row>
    <row r="5" spans="1:9" ht="15.6">
      <c r="B5" s="5">
        <v>3.6</v>
      </c>
      <c r="C5" s="6">
        <f>E5*B5+F5</f>
        <v>3.1750000000000003</v>
      </c>
      <c r="E5" s="83" cm="1">
        <f t="array" ref="E5:F5">TRANSPOSE(MMULT(MINVERSE(E3:F4),G3:G4))</f>
        <v>0.96250000000000036</v>
      </c>
      <c r="F5" s="83">
        <v>-0.29000000000000092</v>
      </c>
      <c r="G5" s="74"/>
      <c r="H5" s="74"/>
      <c r="I5" s="74"/>
    </row>
    <row r="6" spans="1:9" ht="15.6">
      <c r="C6" s="7">
        <v>3.278</v>
      </c>
      <c r="E6" s="10" t="s">
        <v>4</v>
      </c>
      <c r="F6" s="10" t="s">
        <v>5</v>
      </c>
      <c r="G6" s="74"/>
      <c r="H6" s="74"/>
      <c r="I6" s="74"/>
    </row>
    <row r="7" spans="1:9" ht="15.6">
      <c r="E7" s="74"/>
      <c r="F7" s="74"/>
      <c r="G7" s="74"/>
      <c r="H7" s="74"/>
      <c r="I7" s="74"/>
    </row>
    <row r="8" spans="1:9" ht="15.6">
      <c r="A8" s="8" t="s">
        <v>6</v>
      </c>
      <c r="B8" s="9" t="s">
        <v>2</v>
      </c>
      <c r="C8" s="9" t="s">
        <v>3</v>
      </c>
      <c r="E8" s="74"/>
      <c r="F8" s="10"/>
      <c r="G8" s="74"/>
      <c r="H8" s="74"/>
      <c r="I8" s="74"/>
    </row>
    <row r="9" spans="1:9" ht="15.6">
      <c r="A9" s="2"/>
      <c r="B9" s="4">
        <v>2</v>
      </c>
      <c r="C9" s="4">
        <v>1.43</v>
      </c>
      <c r="E9" s="81">
        <f>B9^2</f>
        <v>4</v>
      </c>
      <c r="F9" s="81">
        <f>B9</f>
        <v>2</v>
      </c>
      <c r="G9" s="81">
        <v>1</v>
      </c>
      <c r="H9" s="82">
        <f>C9</f>
        <v>1.43</v>
      </c>
      <c r="I9" s="74"/>
    </row>
    <row r="10" spans="1:9" ht="15.6">
      <c r="A10" s="2"/>
      <c r="B10" s="4">
        <v>3.2</v>
      </c>
      <c r="C10" s="4">
        <v>2.79</v>
      </c>
      <c r="E10" s="81">
        <f t="shared" ref="E10:E11" si="2">B10^2</f>
        <v>10.240000000000002</v>
      </c>
      <c r="F10" s="81">
        <f t="shared" ref="F10:F11" si="3">B10</f>
        <v>3.2</v>
      </c>
      <c r="G10" s="81">
        <v>1</v>
      </c>
      <c r="H10" s="82">
        <f t="shared" ref="H10:H11" si="4">C10</f>
        <v>2.79</v>
      </c>
      <c r="I10" s="74"/>
    </row>
    <row r="11" spans="1:9" ht="15.6">
      <c r="A11" s="2"/>
      <c r="B11" s="4">
        <v>4</v>
      </c>
      <c r="C11" s="4">
        <v>3.56</v>
      </c>
      <c r="E11" s="81">
        <f t="shared" si="2"/>
        <v>16</v>
      </c>
      <c r="F11" s="81">
        <f t="shared" si="3"/>
        <v>4</v>
      </c>
      <c r="G11" s="81">
        <v>1</v>
      </c>
      <c r="H11" s="82">
        <f t="shared" si="4"/>
        <v>3.56</v>
      </c>
      <c r="I11" s="74"/>
    </row>
    <row r="12" spans="1:9" ht="15.6">
      <c r="B12" s="5">
        <v>3.6</v>
      </c>
      <c r="C12" s="87">
        <f>E12*B12^2+F12*B12+G12</f>
        <v>3.1886666666666619</v>
      </c>
      <c r="E12" s="84" cm="1">
        <f t="array" ref="E12:G12">TRANSPOSE(MMULT(MINVERSE(E9:G11),H9:H11))</f>
        <v>-8.5416666666666252E-2</v>
      </c>
      <c r="F12" s="84">
        <v>1.577499999999997</v>
      </c>
      <c r="G12" s="84">
        <v>-1.3833333333333329</v>
      </c>
      <c r="H12" s="74"/>
      <c r="I12" s="74"/>
    </row>
    <row r="13" spans="1:9" ht="15.6">
      <c r="C13" s="7">
        <v>3.278</v>
      </c>
      <c r="E13" s="10" t="s">
        <v>7</v>
      </c>
      <c r="F13" s="10" t="s">
        <v>4</v>
      </c>
      <c r="G13" s="10" t="s">
        <v>5</v>
      </c>
      <c r="H13" s="74"/>
      <c r="I13" s="74"/>
    </row>
    <row r="14" spans="1:9" ht="15.6">
      <c r="E14" s="74"/>
      <c r="F14" s="74"/>
      <c r="G14" s="74"/>
      <c r="H14" s="74"/>
      <c r="I14" s="74"/>
    </row>
    <row r="15" spans="1:9" ht="15.6">
      <c r="A15" s="8" t="s">
        <v>8</v>
      </c>
      <c r="B15" s="9" t="s">
        <v>2</v>
      </c>
      <c r="C15" s="9" t="s">
        <v>3</v>
      </c>
      <c r="E15" s="74"/>
      <c r="F15" s="10"/>
      <c r="G15" s="74"/>
      <c r="H15" s="74"/>
      <c r="I15" s="74"/>
    </row>
    <row r="16" spans="1:9" ht="15.6">
      <c r="A16" s="2"/>
      <c r="B16" s="4">
        <v>0</v>
      </c>
      <c r="C16" s="4">
        <f>B16^EXP(2*B16)</f>
        <v>0</v>
      </c>
      <c r="E16" s="81">
        <f>B16^3</f>
        <v>0</v>
      </c>
      <c r="F16" s="81">
        <f>B16^2</f>
        <v>0</v>
      </c>
      <c r="G16" s="81">
        <f>B16</f>
        <v>0</v>
      </c>
      <c r="H16" s="81">
        <v>1</v>
      </c>
      <c r="I16" s="82">
        <f>C16</f>
        <v>0</v>
      </c>
    </row>
    <row r="17" spans="1:9" ht="15.6">
      <c r="A17" s="2"/>
      <c r="B17" s="4">
        <v>0.5</v>
      </c>
      <c r="C17" s="89">
        <f t="shared" ref="C17:C19" si="5">B17^EXP(2*B17)</f>
        <v>0.15195522325791297</v>
      </c>
      <c r="E17" s="81">
        <f t="shared" ref="E17:E19" si="6">B17^3</f>
        <v>0.125</v>
      </c>
      <c r="F17" s="81">
        <f>B17^2</f>
        <v>0.25</v>
      </c>
      <c r="G17" s="81">
        <f>B17</f>
        <v>0.5</v>
      </c>
      <c r="H17" s="81">
        <v>1</v>
      </c>
      <c r="I17" s="85">
        <f>C17</f>
        <v>0.15195522325791297</v>
      </c>
    </row>
    <row r="18" spans="1:9" ht="15.6">
      <c r="A18" s="2"/>
      <c r="B18" s="4">
        <v>0.7</v>
      </c>
      <c r="C18" s="89">
        <f t="shared" si="5"/>
        <v>0.23541903599547745</v>
      </c>
      <c r="E18" s="81">
        <f t="shared" si="6"/>
        <v>0.34299999999999992</v>
      </c>
      <c r="F18" s="81">
        <f>B18^2</f>
        <v>0.48999999999999994</v>
      </c>
      <c r="G18" s="81">
        <f>B18</f>
        <v>0.7</v>
      </c>
      <c r="H18" s="81">
        <v>1</v>
      </c>
      <c r="I18" s="85">
        <f>C18</f>
        <v>0.23541903599547745</v>
      </c>
    </row>
    <row r="19" spans="1:9" ht="15.6">
      <c r="A19" s="2"/>
      <c r="B19" s="4">
        <v>1</v>
      </c>
      <c r="C19" s="4">
        <f t="shared" si="5"/>
        <v>1</v>
      </c>
      <c r="E19" s="81">
        <f t="shared" si="6"/>
        <v>1</v>
      </c>
      <c r="F19" s="81">
        <f>B19^2</f>
        <v>1</v>
      </c>
      <c r="G19" s="81">
        <f>B19</f>
        <v>1</v>
      </c>
      <c r="H19" s="81">
        <v>1</v>
      </c>
      <c r="I19" s="82">
        <f>C19</f>
        <v>1</v>
      </c>
    </row>
    <row r="20" spans="1:9" ht="15.6">
      <c r="B20" s="5">
        <v>0.7</v>
      </c>
      <c r="C20" s="87">
        <f>E20*B20^3+F20*B20^2+G20*B20+H20</f>
        <v>0.23541903599547842</v>
      </c>
      <c r="E20" s="84" cm="1">
        <f t="array" ref="E20:H20">TRANSPOSE(MMULT(MINVERSE(E16:H19),I16:I19))</f>
        <v>4.1005559890754615</v>
      </c>
      <c r="F20" s="84">
        <v>-4.7586548766448402</v>
      </c>
      <c r="G20" s="84">
        <v>1.6580988875693814</v>
      </c>
      <c r="H20" s="83">
        <v>0</v>
      </c>
      <c r="I20" s="74"/>
    </row>
    <row r="21" spans="1:9" ht="15.6">
      <c r="C21" s="88">
        <f>B20^EXP(2*B20)</f>
        <v>0.23541903599547745</v>
      </c>
      <c r="E21" s="10" t="s">
        <v>9</v>
      </c>
      <c r="F21" s="10" t="s">
        <v>7</v>
      </c>
      <c r="G21" s="10" t="s">
        <v>4</v>
      </c>
      <c r="H21" s="10" t="s">
        <v>5</v>
      </c>
      <c r="I21" s="7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CF98-A884-4D8F-99F7-C564C3DC3FCA}">
  <dimension ref="A1:N23"/>
  <sheetViews>
    <sheetView zoomScaleNormal="80" zoomScaleSheetLayoutView="100" workbookViewId="0">
      <selection activeCell="J5" sqref="J5"/>
    </sheetView>
  </sheetViews>
  <sheetFormatPr defaultColWidth="8.85546875" defaultRowHeight="14.45"/>
  <cols>
    <col min="1" max="1" width="22.5703125" customWidth="1"/>
    <col min="2" max="2" width="8.5703125" customWidth="1"/>
    <col min="3" max="4" width="9" customWidth="1"/>
    <col min="5" max="5" width="10.42578125" customWidth="1"/>
    <col min="7" max="7" width="10.140625" bestFit="1" customWidth="1"/>
    <col min="8" max="8" width="11.42578125" bestFit="1" customWidth="1"/>
    <col min="9" max="13" width="10.140625" bestFit="1" customWidth="1"/>
    <col min="16384" max="16384" width="11.42578125" bestFit="1" customWidth="1"/>
  </cols>
  <sheetData>
    <row r="1" spans="1:14" ht="15.6">
      <c r="A1" s="12" t="s">
        <v>10</v>
      </c>
      <c r="B1" s="10">
        <f>B7-B3</f>
        <v>0.6</v>
      </c>
      <c r="C1" s="10"/>
      <c r="D1" s="10"/>
      <c r="E1" s="10"/>
      <c r="F1" s="10"/>
      <c r="G1" s="10"/>
      <c r="H1" s="10"/>
      <c r="I1" s="10"/>
    </row>
    <row r="2" spans="1:14" ht="18.600000000000001">
      <c r="A2" s="10" t="s">
        <v>8</v>
      </c>
      <c r="B2" s="11" t="s">
        <v>2</v>
      </c>
      <c r="C2" s="11" t="s">
        <v>3</v>
      </c>
      <c r="D2" s="27" t="s">
        <v>11</v>
      </c>
      <c r="F2" s="10"/>
      <c r="G2" s="11" t="s">
        <v>12</v>
      </c>
      <c r="H2" s="11" t="s">
        <v>13</v>
      </c>
      <c r="I2" s="11" t="s">
        <v>14</v>
      </c>
      <c r="J2" s="11" t="s">
        <v>15</v>
      </c>
    </row>
    <row r="3" spans="1:14" ht="15">
      <c r="A3" s="10"/>
      <c r="B3" s="10">
        <v>0</v>
      </c>
      <c r="C3" s="10">
        <v>0</v>
      </c>
      <c r="D3" s="10">
        <f>G4/K6</f>
        <v>-1.1428571428571425E-2</v>
      </c>
      <c r="F3" s="10"/>
      <c r="G3" s="10">
        <f>B7-B3</f>
        <v>0.6</v>
      </c>
      <c r="H3" s="10">
        <f>B7-B4</f>
        <v>9.9999999999999978E-2</v>
      </c>
      <c r="I3" s="10">
        <f>B7-B5</f>
        <v>-9.9999999999999978E-2</v>
      </c>
      <c r="J3" s="10">
        <f>B7-B6</f>
        <v>-0.4</v>
      </c>
    </row>
    <row r="4" spans="1:14" ht="15">
      <c r="A4" s="10"/>
      <c r="B4" s="10">
        <v>0.5</v>
      </c>
      <c r="C4" s="26">
        <f>(B4^EXP(2*B4))</f>
        <v>0.15195522325791297</v>
      </c>
      <c r="D4" s="21">
        <f>H4/K7</f>
        <v>0.48</v>
      </c>
      <c r="F4" s="10"/>
      <c r="G4" s="18">
        <f>PRODUCT(H3,I3,J3)</f>
        <v>3.9999999999999983E-3</v>
      </c>
      <c r="H4" s="18">
        <f>PRODUCT(G3,I3,J3)</f>
        <v>2.3999999999999994E-2</v>
      </c>
      <c r="I4" s="18">
        <f>PRODUCT(H3,G3,J3)</f>
        <v>-2.3999999999999994E-2</v>
      </c>
      <c r="J4" s="18">
        <f>PRODUCT(G3,H3,I3)</f>
        <v>-5.9999999999999967E-3</v>
      </c>
    </row>
    <row r="5" spans="1:14" ht="18.600000000000001">
      <c r="A5" s="10"/>
      <c r="B5" s="10">
        <v>0.7</v>
      </c>
      <c r="C5" s="10">
        <f>(B5^EXP(2*B5))</f>
        <v>0.23541903599547745</v>
      </c>
      <c r="D5" s="10">
        <f>I4/K8</f>
        <v>0.57142857142857129</v>
      </c>
      <c r="F5" s="28"/>
      <c r="G5" s="27" t="s">
        <v>16</v>
      </c>
      <c r="H5" s="27" t="s">
        <v>17</v>
      </c>
      <c r="I5" s="27" t="s">
        <v>18</v>
      </c>
      <c r="J5" s="27" t="s">
        <v>19</v>
      </c>
    </row>
    <row r="6" spans="1:14" ht="15">
      <c r="A6" s="10"/>
      <c r="B6" s="10">
        <v>1</v>
      </c>
      <c r="C6" s="10">
        <v>1</v>
      </c>
      <c r="D6" s="10">
        <f>J4/K9</f>
        <v>-3.9999999999999973E-2</v>
      </c>
      <c r="F6" s="37" t="str" cm="1">
        <f t="array" ref="F6:F9">TRANSPOSE(G5:J5)</f>
        <v>x0</v>
      </c>
      <c r="G6" s="15"/>
      <c r="H6" s="10">
        <f>B3-B4</f>
        <v>-0.5</v>
      </c>
      <c r="I6" s="10">
        <f>B3-B5</f>
        <v>-0.7</v>
      </c>
      <c r="J6" s="10">
        <f>B3-B6</f>
        <v>-1</v>
      </c>
      <c r="K6" s="19">
        <f>PRODUCT(H6,J6,I6)</f>
        <v>-0.35</v>
      </c>
    </row>
    <row r="7" spans="1:14" ht="15.6">
      <c r="A7" s="10"/>
      <c r="B7" s="16">
        <v>0.6</v>
      </c>
      <c r="C7" s="20">
        <f>(D3*C3)+(D4*C4)+(D5*C5)+(D6*C6)</f>
        <v>0.16746367058978534</v>
      </c>
      <c r="D7" s="17"/>
      <c r="F7" s="37" t="str">
        <v>x1</v>
      </c>
      <c r="G7" s="10" cm="1">
        <f t="array" ref="G7">-TRANSPOSE(H6)</f>
        <v>0.5</v>
      </c>
      <c r="H7" s="15"/>
      <c r="I7" s="10">
        <f>B4-B5</f>
        <v>-0.19999999999999996</v>
      </c>
      <c r="J7" s="10">
        <f>B4-B6</f>
        <v>-0.5</v>
      </c>
      <c r="K7" s="19">
        <f>PRODUCT(G7:J7)</f>
        <v>4.9999999999999989E-2</v>
      </c>
    </row>
    <row r="8" spans="1:14" ht="15">
      <c r="A8" s="10"/>
      <c r="B8" s="10"/>
      <c r="C8" s="10"/>
      <c r="D8" s="10"/>
      <c r="F8" s="37" t="str">
        <v>x2</v>
      </c>
      <c r="G8" s="10" cm="1">
        <f t="array" ref="G8">-TRANSPOSE(I6)</f>
        <v>0.7</v>
      </c>
      <c r="H8" s="10" cm="1">
        <f t="array" ref="H8">-TRANSPOSE(I7)</f>
        <v>0.19999999999999996</v>
      </c>
      <c r="I8" s="15"/>
      <c r="J8" s="10">
        <f>B5-B6</f>
        <v>-0.30000000000000004</v>
      </c>
      <c r="K8" s="19">
        <f>PRODUCT(G8:J8)</f>
        <v>-4.1999999999999996E-2</v>
      </c>
    </row>
    <row r="9" spans="1:14" ht="15">
      <c r="A9" s="10"/>
      <c r="B9" s="10"/>
      <c r="C9" s="10"/>
      <c r="D9" s="10"/>
      <c r="F9" s="37" t="str">
        <v>x3</v>
      </c>
      <c r="G9" s="10" cm="1">
        <f t="array" ref="G9">-TRANSPOSE(J6)</f>
        <v>1</v>
      </c>
      <c r="H9" s="10" cm="1">
        <f t="array" ref="H9">-TRANSPOSE(J7)</f>
        <v>0.5</v>
      </c>
      <c r="I9" s="10" cm="1">
        <f t="array" ref="I9">-TRANSPOSE(J8)</f>
        <v>0.30000000000000004</v>
      </c>
      <c r="J9" s="15"/>
      <c r="K9" s="19">
        <f>PRODUCT(G9:J9)</f>
        <v>0.15000000000000002</v>
      </c>
    </row>
    <row r="10" spans="1:14">
      <c r="B10" s="13"/>
      <c r="C10" s="13"/>
      <c r="D10" s="13"/>
      <c r="E10" s="13"/>
      <c r="F10" s="13"/>
      <c r="G10" s="13"/>
      <c r="H10" s="13"/>
      <c r="I10" s="13"/>
    </row>
    <row r="11" spans="1:14" ht="18.600000000000001">
      <c r="A11" s="22" t="s">
        <v>20</v>
      </c>
      <c r="B11" s="23" t="s">
        <v>2</v>
      </c>
      <c r="C11" s="23" t="s">
        <v>3</v>
      </c>
      <c r="D11" s="23" t="s">
        <v>11</v>
      </c>
      <c r="E11" s="22"/>
      <c r="F11" s="29"/>
      <c r="G11" s="23" t="s">
        <v>12</v>
      </c>
      <c r="H11" s="23" t="s">
        <v>13</v>
      </c>
      <c r="I11" s="23" t="s">
        <v>14</v>
      </c>
      <c r="J11" s="23" t="s">
        <v>15</v>
      </c>
      <c r="K11" s="23" t="s">
        <v>21</v>
      </c>
      <c r="L11" s="23" t="s">
        <v>22</v>
      </c>
      <c r="M11" s="23" t="s">
        <v>23</v>
      </c>
    </row>
    <row r="12" spans="1:14" ht="15">
      <c r="A12" s="22"/>
      <c r="B12" s="22">
        <v>0</v>
      </c>
      <c r="C12" s="22">
        <v>0</v>
      </c>
      <c r="D12" s="22">
        <f>G13/N15</f>
        <v>-3.8095238095238071E-2</v>
      </c>
      <c r="E12" s="22"/>
      <c r="G12" s="31">
        <f>B19-B12</f>
        <v>0.6</v>
      </c>
      <c r="H12" s="10">
        <f>B19-B13</f>
        <v>0.5</v>
      </c>
      <c r="I12" s="10">
        <f>B19-B14</f>
        <v>0.39999999999999997</v>
      </c>
      <c r="J12" s="10">
        <f>B19-B15</f>
        <v>9.9999999999999978E-2</v>
      </c>
      <c r="K12" s="10">
        <f>B19-B16</f>
        <v>-9.9999999999999978E-2</v>
      </c>
      <c r="L12" s="10">
        <f>B19-B17</f>
        <v>-0.30000000000000004</v>
      </c>
      <c r="M12" s="10">
        <f>B19-B18</f>
        <v>-0.4</v>
      </c>
      <c r="N12" s="10"/>
    </row>
    <row r="13" spans="1:14" ht="15">
      <c r="A13" s="22"/>
      <c r="B13" s="22">
        <v>0.1</v>
      </c>
      <c r="C13" s="22">
        <f t="shared" ref="C13:C18" si="0">(B13^EXP(2*B13))</f>
        <v>6.0061647645308573E-2</v>
      </c>
      <c r="D13" s="22">
        <f>H13/N16</f>
        <v>0.16666666666666652</v>
      </c>
      <c r="E13" s="22"/>
      <c r="F13" s="22"/>
      <c r="G13" s="32">
        <f>PRODUCT(H12,,I12,J12,K12,L12,M12)</f>
        <v>-2.399999999999999E-4</v>
      </c>
      <c r="H13" s="33">
        <f>PRODUCT(G12,I12:M12)</f>
        <v>-2.8799999999999984E-4</v>
      </c>
      <c r="I13" s="33">
        <f>PRODUCT(G12:H12,J12:M12)</f>
        <v>-3.5999999999999986E-4</v>
      </c>
      <c r="J13" s="33">
        <f>PRODUCT(G12:I12,K12:M12)</f>
        <v>-1.4399999999999997E-3</v>
      </c>
      <c r="K13" s="33">
        <f>PRODUCT(G12:J12,L12:M12)</f>
        <v>1.4399999999999997E-3</v>
      </c>
      <c r="L13" s="33">
        <f>PRODUCT(G12:K12,M12)</f>
        <v>4.7999999999999974E-4</v>
      </c>
      <c r="M13" s="33">
        <f>PRODUCT(G12:L12)</f>
        <v>3.5999999999999981E-4</v>
      </c>
      <c r="N13" s="10"/>
    </row>
    <row r="14" spans="1:14" ht="18.600000000000001">
      <c r="A14" s="22"/>
      <c r="B14" s="22">
        <v>0.2</v>
      </c>
      <c r="C14" s="22">
        <f t="shared" si="0"/>
        <v>9.062735072679691E-2</v>
      </c>
      <c r="D14" s="22">
        <f>I13/N17</f>
        <v>-0.21428571428571419</v>
      </c>
      <c r="E14" s="22"/>
      <c r="F14" s="22"/>
      <c r="G14" s="38" t="s">
        <v>16</v>
      </c>
      <c r="H14" s="38" t="s">
        <v>17</v>
      </c>
      <c r="I14" s="38" t="s">
        <v>18</v>
      </c>
      <c r="J14" s="38" t="s">
        <v>19</v>
      </c>
      <c r="K14" s="38" t="s">
        <v>24</v>
      </c>
      <c r="L14" s="38" t="s">
        <v>25</v>
      </c>
      <c r="M14" s="38" t="s">
        <v>26</v>
      </c>
      <c r="N14" s="10"/>
    </row>
    <row r="15" spans="1:14" ht="15">
      <c r="A15" s="22"/>
      <c r="B15" s="22">
        <v>0.5</v>
      </c>
      <c r="C15" s="22">
        <f t="shared" si="0"/>
        <v>0.15195522325791297</v>
      </c>
      <c r="D15" s="22">
        <f>J13/N18</f>
        <v>0.6</v>
      </c>
      <c r="E15" s="22"/>
      <c r="F15" s="22" t="str" cm="1">
        <f t="array" ref="F15:F18">TRANSPOSE(G14:J14)</f>
        <v>x0</v>
      </c>
      <c r="G15" s="35"/>
      <c r="H15" s="10">
        <f>B12-B13</f>
        <v>-0.1</v>
      </c>
      <c r="I15" s="10">
        <f>B12-B14</f>
        <v>-0.2</v>
      </c>
      <c r="J15" s="10">
        <f>B12-B15</f>
        <v>-0.5</v>
      </c>
      <c r="K15" s="10">
        <f>B12-B16</f>
        <v>-0.7</v>
      </c>
      <c r="L15" s="10">
        <f>B12-B17</f>
        <v>-0.9</v>
      </c>
      <c r="M15" s="10">
        <f>B12-B18</f>
        <v>-1</v>
      </c>
      <c r="N15" s="36">
        <f>PRODUCT(H15,J15,I15,K15,L15,M15)</f>
        <v>6.3000000000000009E-3</v>
      </c>
    </row>
    <row r="16" spans="1:14" ht="15.6">
      <c r="A16" s="22"/>
      <c r="B16" s="22">
        <v>0.7</v>
      </c>
      <c r="C16" s="22">
        <f t="shared" si="0"/>
        <v>0.23541903599547745</v>
      </c>
      <c r="D16" s="22">
        <f>K13/N19</f>
        <v>0.57142857142857129</v>
      </c>
      <c r="E16" s="25"/>
      <c r="F16" s="22" t="str">
        <v>x1</v>
      </c>
      <c r="G16" s="34" cm="1">
        <f t="array" ref="G16">-TRANSPOSE(H15)</f>
        <v>0.1</v>
      </c>
      <c r="H16" s="15"/>
      <c r="I16" s="10">
        <f>B13-B14</f>
        <v>-0.1</v>
      </c>
      <c r="J16" s="10">
        <f>B13-B15</f>
        <v>-0.4</v>
      </c>
      <c r="K16" s="10">
        <f>B13-B16</f>
        <v>-0.6</v>
      </c>
      <c r="L16" s="10">
        <f>B13-B17</f>
        <v>-0.8</v>
      </c>
      <c r="M16" s="10">
        <f>B13-B18</f>
        <v>-0.9</v>
      </c>
      <c r="N16" s="36">
        <f>PRODUCT(G16,I16:M16)</f>
        <v>-1.7280000000000006E-3</v>
      </c>
    </row>
    <row r="17" spans="1:14" ht="15">
      <c r="A17" s="22"/>
      <c r="B17" s="22">
        <v>0.9</v>
      </c>
      <c r="C17" s="22">
        <f t="shared" si="0"/>
        <v>0.52866835261740652</v>
      </c>
      <c r="D17" s="22">
        <f>L13/N20</f>
        <v>-0.11904761904761896</v>
      </c>
      <c r="E17" s="22"/>
      <c r="F17" s="22" t="str">
        <v>x2</v>
      </c>
      <c r="G17" s="34" cm="1">
        <f t="array" ref="G17">-TRANSPOSE(I15)</f>
        <v>0.2</v>
      </c>
      <c r="H17" s="34" cm="1">
        <f t="array" ref="H17">-TRANSPOSE(I16)</f>
        <v>0.1</v>
      </c>
      <c r="I17" s="15"/>
      <c r="J17" s="10">
        <f>B14-B15</f>
        <v>-0.3</v>
      </c>
      <c r="K17" s="10">
        <f>B14-B16</f>
        <v>-0.49999999999999994</v>
      </c>
      <c r="L17" s="10">
        <f>B14-B17</f>
        <v>-0.7</v>
      </c>
      <c r="M17" s="10">
        <f>B14-B18</f>
        <v>-0.8</v>
      </c>
      <c r="N17" s="36">
        <f>PRODUCT(G17,H17,J17:M17)</f>
        <v>1.6800000000000001E-3</v>
      </c>
    </row>
    <row r="18" spans="1:14" ht="15">
      <c r="A18" s="22"/>
      <c r="B18" s="22">
        <v>1</v>
      </c>
      <c r="C18" s="22">
        <f t="shared" si="0"/>
        <v>1</v>
      </c>
      <c r="D18" s="22">
        <f>M13/N21</f>
        <v>3.3333333333333312E-2</v>
      </c>
      <c r="E18" s="22"/>
      <c r="F18" s="22" t="str">
        <v>x3</v>
      </c>
      <c r="G18" s="34" cm="1">
        <f t="array" ref="G18">-TRANSPOSE(J15)</f>
        <v>0.5</v>
      </c>
      <c r="H18" s="34" cm="1">
        <f t="array" ref="H18">-TRANSPOSE(J16)</f>
        <v>0.4</v>
      </c>
      <c r="I18" s="34" cm="1">
        <f t="array" ref="I18">-TRANSPOSE(J17)</f>
        <v>0.3</v>
      </c>
      <c r="J18" s="15"/>
      <c r="K18" s="10">
        <f>B15-B16</f>
        <v>-0.19999999999999996</v>
      </c>
      <c r="L18" s="10">
        <f>B15-B17</f>
        <v>-0.4</v>
      </c>
      <c r="M18" s="10">
        <f>B15-B18</f>
        <v>-0.5</v>
      </c>
      <c r="N18" s="36">
        <f>PRODUCT(G18:I18,K18:M18)</f>
        <v>-2.3999999999999994E-3</v>
      </c>
    </row>
    <row r="19" spans="1:14" ht="18.600000000000001">
      <c r="A19" s="22"/>
      <c r="B19" s="24">
        <v>0.6</v>
      </c>
      <c r="C19" s="20">
        <f>(D12*C12)+(D13*C13)+(D14*C14)+(D15*C15)+(D16*C16)+(D17*C17)+(D18*C18)</f>
        <v>0.18668505009237668</v>
      </c>
      <c r="D19" s="25"/>
      <c r="F19" s="30" t="s">
        <v>27</v>
      </c>
      <c r="G19" s="10" cm="1">
        <f t="array" ref="G19">-TRANSPOSE(K15)</f>
        <v>0.7</v>
      </c>
      <c r="H19" s="34" cm="1">
        <f t="array" ref="H19">-TRANSPOSE(K16)</f>
        <v>0.6</v>
      </c>
      <c r="I19" s="34" cm="1">
        <f t="array" ref="I19">-TRANSPOSE(K17)</f>
        <v>0.49999999999999994</v>
      </c>
      <c r="J19" s="34" cm="1">
        <f t="array" ref="J19">-TRANSPOSE(K18)</f>
        <v>0.19999999999999996</v>
      </c>
      <c r="K19" s="15"/>
      <c r="L19" s="10">
        <f>B16-B17</f>
        <v>-0.20000000000000007</v>
      </c>
      <c r="M19" s="10">
        <f>B16-B18</f>
        <v>-0.30000000000000004</v>
      </c>
      <c r="N19" s="36">
        <f>PRODUCT(G19:J19,L19:M19)</f>
        <v>2.5200000000000001E-3</v>
      </c>
    </row>
    <row r="20" spans="1:14" ht="18.600000000000001">
      <c r="A20" s="22"/>
      <c r="B20" s="22"/>
      <c r="C20" s="22"/>
      <c r="D20" s="22"/>
      <c r="F20" s="30" t="s">
        <v>25</v>
      </c>
      <c r="G20" s="10" cm="1">
        <f t="array" ref="G20">-TRANSPOSE(L15)</f>
        <v>0.9</v>
      </c>
      <c r="H20" s="34" cm="1">
        <f t="array" ref="H20">-TRANSPOSE(L16)</f>
        <v>0.8</v>
      </c>
      <c r="I20" s="34" cm="1">
        <f t="array" ref="I20">-TRANSPOSE(L17)</f>
        <v>0.7</v>
      </c>
      <c r="J20" s="34" cm="1">
        <f t="array" ref="J20">-TRANSPOSE(L18)</f>
        <v>0.4</v>
      </c>
      <c r="K20" s="34" cm="1">
        <f t="array" ref="K20">-TRANSPOSE(L19)</f>
        <v>0.20000000000000007</v>
      </c>
      <c r="L20" s="15"/>
      <c r="M20" s="10">
        <f>B17-B18</f>
        <v>-9.9999999999999978E-2</v>
      </c>
      <c r="N20" s="36">
        <f>PRODUCT(G20:K20,M20)</f>
        <v>-4.0320000000000009E-3</v>
      </c>
    </row>
    <row r="21" spans="1:14" ht="18.600000000000001">
      <c r="A21" s="22"/>
      <c r="B21" s="22"/>
      <c r="C21" s="22"/>
      <c r="D21" s="22"/>
      <c r="F21" s="30" t="s">
        <v>26</v>
      </c>
      <c r="G21" s="10" cm="1">
        <f t="array" ref="G21">-TRANSPOSE(M15)</f>
        <v>1</v>
      </c>
      <c r="H21" s="34" cm="1">
        <f t="array" ref="H21">-TRANSPOSE(M16)</f>
        <v>0.9</v>
      </c>
      <c r="I21" s="34" cm="1">
        <f t="array" ref="I21">-TRANSPOSE(M17)</f>
        <v>0.8</v>
      </c>
      <c r="J21" s="34" cm="1">
        <f t="array" ref="J21">-TRANSPOSE(M18)</f>
        <v>0.5</v>
      </c>
      <c r="K21" s="34" cm="1">
        <f t="array" ref="K21">-TRANSPOSE(M19)</f>
        <v>0.30000000000000004</v>
      </c>
      <c r="L21" s="34" cm="1">
        <f t="array" ref="L21">-TRANSPOSE(M20)</f>
        <v>9.9999999999999978E-2</v>
      </c>
      <c r="M21" s="15"/>
      <c r="N21" s="36">
        <f>PRODUCT(G21:L21)</f>
        <v>1.0800000000000001E-2</v>
      </c>
    </row>
    <row r="22" spans="1:14" ht="15">
      <c r="A22" s="22"/>
    </row>
    <row r="23" spans="1:14" ht="15">
      <c r="A23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9933-92C1-4D31-B674-67C68D103EDE}">
  <dimension ref="A1:M23"/>
  <sheetViews>
    <sheetView zoomScaleNormal="100" zoomScaleSheetLayoutView="100" workbookViewId="0">
      <selection activeCell="G21" sqref="G21"/>
    </sheetView>
  </sheetViews>
  <sheetFormatPr defaultColWidth="7.7109375" defaultRowHeight="14.45"/>
  <cols>
    <col min="1" max="1" width="34.42578125" customWidth="1"/>
    <col min="2" max="2" width="8.85546875" bestFit="1" customWidth="1"/>
    <col min="3" max="3" width="11.140625" customWidth="1"/>
    <col min="4" max="4" width="3.85546875" customWidth="1"/>
    <col min="7" max="7" width="10.42578125" customWidth="1"/>
    <col min="9" max="9" width="8.85546875" style="55" customWidth="1"/>
    <col min="10" max="10" width="10.85546875" bestFit="1" customWidth="1"/>
    <col min="11" max="11" width="13.85546875" bestFit="1" customWidth="1"/>
    <col min="12" max="12" width="12.140625" customWidth="1"/>
    <col min="13" max="13" width="13" customWidth="1"/>
  </cols>
  <sheetData>
    <row r="1" spans="1:13" ht="15.6">
      <c r="A1" s="14" t="s">
        <v>28</v>
      </c>
    </row>
    <row r="2" spans="1:13" ht="17.45">
      <c r="B2" s="46" t="s">
        <v>2</v>
      </c>
      <c r="C2" s="47" t="s">
        <v>3</v>
      </c>
      <c r="D2" s="45"/>
      <c r="E2" s="11" t="s">
        <v>2</v>
      </c>
      <c r="F2" s="40" t="s">
        <v>29</v>
      </c>
      <c r="G2" s="40" t="s">
        <v>30</v>
      </c>
      <c r="H2" s="49" t="s">
        <v>31</v>
      </c>
      <c r="I2" s="56" t="s">
        <v>32</v>
      </c>
      <c r="J2" s="49" t="s">
        <v>33</v>
      </c>
      <c r="K2" s="49" t="s">
        <v>34</v>
      </c>
      <c r="L2" s="48" t="s">
        <v>35</v>
      </c>
    </row>
    <row r="3" spans="1:13" ht="15.6">
      <c r="B3" s="39">
        <v>-6</v>
      </c>
      <c r="C3" s="18">
        <v>40.1</v>
      </c>
      <c r="E3" s="10">
        <v>-6</v>
      </c>
      <c r="F3" s="41">
        <v>40.1</v>
      </c>
      <c r="G3" s="61">
        <f>B10-E3</f>
        <v>5</v>
      </c>
      <c r="H3" s="41"/>
      <c r="I3" s="50"/>
      <c r="J3" s="41"/>
      <c r="K3" s="41"/>
      <c r="L3" s="10"/>
    </row>
    <row r="4" spans="1:13" ht="15.6">
      <c r="B4" s="39">
        <v>-4</v>
      </c>
      <c r="C4" s="18">
        <v>4.22</v>
      </c>
      <c r="E4" s="10"/>
      <c r="F4" s="41"/>
      <c r="G4" s="58">
        <f>(F5-F3)/(E5-E3)</f>
        <v>-17.940000000000001</v>
      </c>
      <c r="H4" s="61">
        <f>G3*($B$10-E5)</f>
        <v>15</v>
      </c>
      <c r="I4" s="50"/>
      <c r="J4" s="41"/>
      <c r="K4" s="41"/>
      <c r="L4" s="10"/>
    </row>
    <row r="5" spans="1:13" ht="15.6">
      <c r="B5" s="39">
        <v>-2</v>
      </c>
      <c r="C5" s="18">
        <v>-27.655000000000001</v>
      </c>
      <c r="E5" s="10">
        <f>B4</f>
        <v>-4</v>
      </c>
      <c r="F5" s="41">
        <f>C4</f>
        <v>4.22</v>
      </c>
      <c r="G5" s="64">
        <f>($B$10-E5)</f>
        <v>3</v>
      </c>
      <c r="H5" s="59">
        <f>(G6-G4)/(E7-E3)</f>
        <v>0.50062500000000032</v>
      </c>
      <c r="I5" s="62">
        <f>H4*($B$10-E7)</f>
        <v>15</v>
      </c>
      <c r="J5" s="41"/>
      <c r="K5" s="41"/>
      <c r="L5" s="10"/>
    </row>
    <row r="6" spans="1:13" ht="15.6">
      <c r="B6" s="39">
        <v>0</v>
      </c>
      <c r="C6" s="18">
        <v>-55.378999999999998</v>
      </c>
      <c r="E6" s="10"/>
      <c r="F6" s="41"/>
      <c r="G6" s="58">
        <f>(F7-F5)/(E7-E5)</f>
        <v>-15.9375</v>
      </c>
      <c r="H6" s="64">
        <f>G5*($B$10-E7)</f>
        <v>3</v>
      </c>
      <c r="I6" s="51">
        <f>(H7-H5)/(E9-E3)</f>
        <v>3.0416666666666834E-3</v>
      </c>
      <c r="J6" s="61">
        <f>I5*($B$10-E9)</f>
        <v>-15</v>
      </c>
      <c r="K6" s="41"/>
      <c r="L6" s="10"/>
    </row>
    <row r="7" spans="1:13" ht="15.6">
      <c r="B7" s="39">
        <v>2</v>
      </c>
      <c r="C7" s="18">
        <v>-79.212999999999994</v>
      </c>
      <c r="E7" s="10">
        <f>B5</f>
        <v>-2</v>
      </c>
      <c r="F7" s="41">
        <f>C5</f>
        <v>-27.655000000000001</v>
      </c>
      <c r="G7" s="64">
        <f>($B$10-E7)</f>
        <v>1</v>
      </c>
      <c r="H7" s="59">
        <f>(G8-G6)/(E9-E5)</f>
        <v>0.51887500000000042</v>
      </c>
      <c r="I7" s="65">
        <f>H6*($B$10-E9)</f>
        <v>-3</v>
      </c>
      <c r="J7" s="57">
        <f>(I8-I6)/(E11-E3)</f>
        <v>-1.0598958333333426E-3</v>
      </c>
      <c r="K7" s="62">
        <f>J6*($B$10-E11)</f>
        <v>45</v>
      </c>
      <c r="L7" s="10"/>
    </row>
    <row r="8" spans="1:13" ht="15.6">
      <c r="B8" s="39">
        <v>4</v>
      </c>
      <c r="C8" s="18">
        <v>-99.156999999999996</v>
      </c>
      <c r="E8" s="10"/>
      <c r="F8" s="41"/>
      <c r="G8" s="58">
        <f>(F9-F7)/(E9-E7)</f>
        <v>-13.861999999999998</v>
      </c>
      <c r="H8" s="64">
        <f>G7*($B$10-E9)</f>
        <v>-1</v>
      </c>
      <c r="I8" s="51">
        <f>(H9-H7)/(E11-E5)</f>
        <v>-5.4375000000000577E-3</v>
      </c>
      <c r="J8" s="64">
        <f>I7*($B$10-E11)</f>
        <v>9</v>
      </c>
      <c r="K8" s="53">
        <f>(J9-J7)/(E13-E3)</f>
        <v>1.7395833333333312E-4</v>
      </c>
      <c r="L8" s="63">
        <f>K7*($B$10-E13)</f>
        <v>-225</v>
      </c>
    </row>
    <row r="9" spans="1:13" ht="15.6">
      <c r="B9" s="39">
        <v>6</v>
      </c>
      <c r="C9" s="18">
        <v>-114.77200000000001</v>
      </c>
      <c r="E9" s="10">
        <f>B6</f>
        <v>0</v>
      </c>
      <c r="F9" s="41">
        <f>C6</f>
        <v>-55.378999999999998</v>
      </c>
      <c r="G9" s="64">
        <f>($B$10-E9)</f>
        <v>-1</v>
      </c>
      <c r="H9" s="59">
        <f>(G10-G8)/(E11-E7)</f>
        <v>0.48625000000000007</v>
      </c>
      <c r="I9" s="65">
        <f>H8*($B$10-E11)</f>
        <v>3</v>
      </c>
      <c r="J9" s="57">
        <f>(I10-I8)/(E13-E5)</f>
        <v>6.7968749999998868E-4</v>
      </c>
      <c r="K9" s="65">
        <f>J8*($B$10-E13)</f>
        <v>-45</v>
      </c>
      <c r="L9" s="54">
        <f>(K10-K8)/(E15-E3)</f>
        <v>-1.0633680555555288E-5</v>
      </c>
      <c r="M9" s="63">
        <f>L8*(B10-E15)</f>
        <v>1575</v>
      </c>
    </row>
    <row r="10" spans="1:13" ht="15.6">
      <c r="A10" s="10" t="s">
        <v>36</v>
      </c>
      <c r="B10" s="43">
        <v>-1</v>
      </c>
      <c r="C10" s="60">
        <f>F3+G4*G3+H5*H4+I6*I5+J7*J6+K8*K7+L9*L8</f>
        <v>-42.018880859374995</v>
      </c>
      <c r="E10" s="10"/>
      <c r="F10" s="41"/>
      <c r="G10" s="58">
        <f>(F11-F9)/(E11-E9)</f>
        <v>-11.916999999999998</v>
      </c>
      <c r="H10" s="64">
        <f>G9*($B$10-E11)</f>
        <v>3</v>
      </c>
      <c r="I10" s="32">
        <f>(H11-H9)/(E13-E7)</f>
        <v>-1.4802973661668753E-16</v>
      </c>
      <c r="J10" s="64">
        <f>I9*($B$10-E13)</f>
        <v>-15</v>
      </c>
      <c r="K10" s="53">
        <f>(J11-J9)/(E15-E5)</f>
        <v>4.6354166666669652E-5</v>
      </c>
      <c r="L10" s="66">
        <f>K9*($B$10-E15)</f>
        <v>315</v>
      </c>
    </row>
    <row r="11" spans="1:13" ht="15.6">
      <c r="A11" s="67" t="s">
        <v>37</v>
      </c>
      <c r="B11" s="10" t="s">
        <v>38</v>
      </c>
      <c r="C11" s="10">
        <f>F15+G14*G15+H13*H14+I12*I13+J11*J12+K10*K11+L9*L10</f>
        <v>-42.018880859375003</v>
      </c>
      <c r="E11" s="10">
        <f>B7</f>
        <v>2</v>
      </c>
      <c r="F11" s="41">
        <f>C7</f>
        <v>-79.212999999999994</v>
      </c>
      <c r="G11" s="64">
        <f>($B$10-E11)</f>
        <v>-3</v>
      </c>
      <c r="H11" s="59">
        <f>(G12-G10)/(E13-E9)</f>
        <v>0.48624999999999918</v>
      </c>
      <c r="I11" s="65">
        <f>H10*($B$10-E13)</f>
        <v>-15</v>
      </c>
      <c r="J11" s="52">
        <f>(I12-I10)/(E15-E7)</f>
        <v>1.1432291666666852E-3</v>
      </c>
      <c r="K11" s="65">
        <f>J10*($B$10-E15)</f>
        <v>105</v>
      </c>
      <c r="L11" s="10"/>
    </row>
    <row r="12" spans="1:13" ht="15.6">
      <c r="A12" s="67" t="s">
        <v>39</v>
      </c>
      <c r="B12" s="10" t="s">
        <v>38</v>
      </c>
      <c r="C12" s="10">
        <f>F9+G10*G9+H11*H10+I12*I11+J11*J12+K10*K11+L9*L10</f>
        <v>-42.01888085937501</v>
      </c>
      <c r="E12" s="10"/>
      <c r="F12" s="41"/>
      <c r="G12" s="58">
        <f>(F13-F11)/(E13-E11)</f>
        <v>-9.9720000000000013</v>
      </c>
      <c r="H12" s="64">
        <f>G11*($B$10-E13)</f>
        <v>15</v>
      </c>
      <c r="I12" s="51">
        <f>(H13-H11)/(E15-E9)</f>
        <v>9.1458333333333339E-3</v>
      </c>
      <c r="J12" s="64">
        <f>I11*($B$10-E15)</f>
        <v>105</v>
      </c>
      <c r="K12" s="41"/>
      <c r="L12" s="10"/>
    </row>
    <row r="13" spans="1:13" ht="18">
      <c r="A13" s="69" t="s">
        <v>40</v>
      </c>
      <c r="B13" s="10" t="s">
        <v>38</v>
      </c>
      <c r="C13" s="72">
        <f>F7+G8*G7+H7*H8+I8*I7+J7*J8+K8*K7+L9*L8</f>
        <v>-42.018880859375003</v>
      </c>
      <c r="E13" s="10">
        <f>B8</f>
        <v>4</v>
      </c>
      <c r="F13" s="41">
        <f>C8</f>
        <v>-99.156999999999996</v>
      </c>
      <c r="G13" s="64">
        <f>($B$10-E13)</f>
        <v>-5</v>
      </c>
      <c r="H13" s="59">
        <f>(G14-G12)/(E15-E11)</f>
        <v>0.54112499999999919</v>
      </c>
      <c r="I13" s="65">
        <f>H12*($B$10-E15)</f>
        <v>-105</v>
      </c>
      <c r="J13" s="41"/>
      <c r="K13" s="41"/>
      <c r="L13" s="10"/>
    </row>
    <row r="14" spans="1:13" ht="18">
      <c r="A14" s="70" t="s">
        <v>41</v>
      </c>
      <c r="B14" s="10" t="s">
        <v>38</v>
      </c>
      <c r="C14" s="72">
        <f>F11+(G10+G12)/2*G11+H11*(H10+H12)/2+(I10+I12)/2*I11+J11*(J10+J12)/2+K10*K11+L9*L10</f>
        <v>-42.018880859375003</v>
      </c>
      <c r="E14" s="10"/>
      <c r="F14" s="42"/>
      <c r="G14" s="44">
        <f>(F15-F13)/(E15-E13)</f>
        <v>-7.8075000000000045</v>
      </c>
      <c r="H14" s="64">
        <f>G13*($B$10-E15)</f>
        <v>35</v>
      </c>
      <c r="I14" s="50"/>
      <c r="J14" s="41"/>
      <c r="K14" s="41"/>
      <c r="L14" s="10"/>
    </row>
    <row r="15" spans="1:13" ht="15.6">
      <c r="E15" s="10">
        <f>B9</f>
        <v>6</v>
      </c>
      <c r="F15" s="42">
        <f>C9</f>
        <v>-114.77200000000001</v>
      </c>
      <c r="G15" s="64">
        <f>($B$10-E15)</f>
        <v>-7</v>
      </c>
      <c r="H15" s="41"/>
      <c r="I15" s="50"/>
      <c r="J15" s="41"/>
      <c r="K15" s="41"/>
      <c r="L15" s="10"/>
    </row>
    <row r="16" spans="1:13" ht="18">
      <c r="A16" s="70" t="s">
        <v>42</v>
      </c>
      <c r="B16" s="10" t="s">
        <v>43</v>
      </c>
      <c r="C16" s="73">
        <f>F7+G8*G7</f>
        <v>-41.516999999999996</v>
      </c>
    </row>
    <row r="17" spans="1:10" ht="18">
      <c r="A17" s="70" t="s">
        <v>44</v>
      </c>
      <c r="B17" s="10" t="s">
        <v>43</v>
      </c>
      <c r="C17" s="73">
        <f>(F7+F9)/2+G8*(G7+G9)/2</f>
        <v>-41.516999999999996</v>
      </c>
      <c r="J17" s="68"/>
    </row>
    <row r="18" spans="1:10">
      <c r="C18" s="1"/>
      <c r="H18" t="s">
        <v>45</v>
      </c>
    </row>
    <row r="19" spans="1:10" ht="18">
      <c r="A19" s="67" t="s">
        <v>46</v>
      </c>
      <c r="B19" s="71" t="s">
        <v>47</v>
      </c>
      <c r="C19" s="73">
        <f>F11+G10*G11+H9*H10</f>
        <v>-42.003250000000001</v>
      </c>
      <c r="H19" t="s">
        <v>48</v>
      </c>
    </row>
    <row r="20" spans="1:10" ht="18">
      <c r="A20" s="67" t="s">
        <v>49</v>
      </c>
      <c r="B20" s="71" t="s">
        <v>47</v>
      </c>
      <c r="C20" s="73">
        <f>F5+G5*G6+H6*H7</f>
        <v>-42.035874999999997</v>
      </c>
    </row>
    <row r="21" spans="1:10">
      <c r="C21" s="1"/>
    </row>
    <row r="22" spans="1:10" ht="18">
      <c r="A22" s="67" t="s">
        <v>46</v>
      </c>
      <c r="B22" s="71" t="s">
        <v>50</v>
      </c>
      <c r="C22" s="73">
        <f>F11+G10*G11+H9*H10+I8*I9</f>
        <v>-42.019562499999999</v>
      </c>
    </row>
    <row r="23" spans="1:10" ht="18">
      <c r="A23" s="67" t="s">
        <v>51</v>
      </c>
      <c r="B23" s="71" t="s">
        <v>50</v>
      </c>
      <c r="C23" s="69">
        <f>F3+G4*G3+H5*H4+I6*I5</f>
        <v>-42.044999999999995</v>
      </c>
    </row>
  </sheetData>
  <phoneticPr fontId="23" alignment="center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4C74-B928-4B6E-8ABA-7133BE1D5760}">
  <dimension ref="A1:J22"/>
  <sheetViews>
    <sheetView topLeftCell="G30" workbookViewId="0">
      <selection activeCell="E24" sqref="E24"/>
    </sheetView>
  </sheetViews>
  <sheetFormatPr defaultColWidth="10.7109375" defaultRowHeight="14.45"/>
  <cols>
    <col min="1" max="1" width="16.28515625" bestFit="1" customWidth="1"/>
    <col min="5" max="5" width="15.5703125" bestFit="1" customWidth="1"/>
  </cols>
  <sheetData>
    <row r="1" spans="1:10" ht="15.6">
      <c r="A1" s="3" t="s">
        <v>0</v>
      </c>
      <c r="B1" s="2"/>
      <c r="C1" s="2"/>
    </row>
    <row r="2" spans="1:10" ht="16.149999999999999" thickBot="1">
      <c r="A2" s="8" t="s">
        <v>1</v>
      </c>
      <c r="B2" s="113" t="s">
        <v>2</v>
      </c>
      <c r="C2" s="113" t="s">
        <v>3</v>
      </c>
      <c r="F2" s="1"/>
    </row>
    <row r="3" spans="1:10" ht="15.6">
      <c r="A3" s="2"/>
      <c r="B3" s="114">
        <v>-4</v>
      </c>
      <c r="C3" s="2">
        <v>-4.3330000000000002</v>
      </c>
      <c r="E3" s="81">
        <f t="shared" ref="E3:E4" si="0">B3</f>
        <v>-4</v>
      </c>
      <c r="F3" s="81">
        <v>1</v>
      </c>
      <c r="G3" s="86">
        <f t="shared" ref="G3:G4" si="1">C3</f>
        <v>-4.3330000000000002</v>
      </c>
      <c r="H3" s="74"/>
      <c r="I3" s="74"/>
    </row>
    <row r="4" spans="1:10" ht="15.6">
      <c r="A4" s="2"/>
      <c r="B4" s="115">
        <v>4</v>
      </c>
      <c r="C4" s="2">
        <v>38.332999999999998</v>
      </c>
      <c r="E4" s="81">
        <f t="shared" si="0"/>
        <v>4</v>
      </c>
      <c r="F4" s="81">
        <v>1</v>
      </c>
      <c r="G4" s="86">
        <f t="shared" si="1"/>
        <v>38.332999999999998</v>
      </c>
      <c r="H4" s="74"/>
      <c r="I4" s="74"/>
    </row>
    <row r="5" spans="1:10" ht="15.6">
      <c r="B5" s="116">
        <v>1</v>
      </c>
      <c r="C5" s="107">
        <f>E5*B5+F5</f>
        <v>22.33325</v>
      </c>
      <c r="E5" s="83" cm="1">
        <f t="array" ref="E5:F5">TRANSPOSE(MMULT(MINVERSE(E3:F4),G3:G4))</f>
        <v>5.3332499999999996</v>
      </c>
      <c r="F5" s="83">
        <v>17</v>
      </c>
      <c r="G5" s="74"/>
      <c r="H5" s="74"/>
      <c r="I5" s="74"/>
    </row>
    <row r="6" spans="1:10" ht="15.6">
      <c r="C6" s="108"/>
      <c r="E6" s="10" t="s">
        <v>4</v>
      </c>
      <c r="F6" s="10" t="s">
        <v>5</v>
      </c>
      <c r="G6" s="74"/>
      <c r="H6" s="74"/>
      <c r="I6" s="74"/>
    </row>
    <row r="7" spans="1:10" ht="15.6">
      <c r="E7" s="74"/>
      <c r="F7" s="74"/>
      <c r="G7" s="74"/>
      <c r="H7" s="74"/>
      <c r="I7" s="74"/>
    </row>
    <row r="8" spans="1:10" ht="16.149999999999999" thickBot="1">
      <c r="A8" s="8" t="s">
        <v>6</v>
      </c>
      <c r="B8" s="113" t="s">
        <v>2</v>
      </c>
      <c r="C8" s="113" t="s">
        <v>3</v>
      </c>
      <c r="E8" s="74"/>
      <c r="F8" s="10"/>
      <c r="G8" s="74"/>
      <c r="H8" s="74"/>
      <c r="I8" s="74"/>
    </row>
    <row r="9" spans="1:10" ht="15.6">
      <c r="A9" s="2"/>
      <c r="B9" s="114">
        <v>-4</v>
      </c>
      <c r="C9" s="2">
        <v>-4.3330000000000002</v>
      </c>
      <c r="E9" s="81">
        <f>B9^2</f>
        <v>16</v>
      </c>
      <c r="F9" s="81">
        <f>B9</f>
        <v>-4</v>
      </c>
      <c r="G9" s="81">
        <v>1</v>
      </c>
      <c r="H9" s="82">
        <f>C9</f>
        <v>-4.3330000000000002</v>
      </c>
      <c r="I9" s="74"/>
    </row>
    <row r="10" spans="1:10" ht="15.6">
      <c r="A10" s="2"/>
      <c r="B10" s="115">
        <v>0</v>
      </c>
      <c r="C10" s="2">
        <v>1</v>
      </c>
      <c r="E10" s="81">
        <f t="shared" ref="E10:E11" si="2">B10^2</f>
        <v>0</v>
      </c>
      <c r="F10" s="81">
        <f t="shared" ref="F10:F11" si="3">B10</f>
        <v>0</v>
      </c>
      <c r="G10" s="81">
        <v>1</v>
      </c>
      <c r="H10" s="82">
        <f t="shared" ref="H10:H11" si="4">C10</f>
        <v>1</v>
      </c>
      <c r="I10" s="74"/>
    </row>
    <row r="11" spans="1:10" ht="15.6">
      <c r="A11" s="2"/>
      <c r="B11" s="115">
        <v>4</v>
      </c>
      <c r="C11" s="2">
        <v>38.332999999999998</v>
      </c>
      <c r="E11" s="81">
        <f t="shared" si="2"/>
        <v>16</v>
      </c>
      <c r="F11" s="81">
        <f t="shared" si="3"/>
        <v>4</v>
      </c>
      <c r="G11" s="81">
        <v>1</v>
      </c>
      <c r="H11" s="82">
        <f t="shared" si="4"/>
        <v>38.332999999999998</v>
      </c>
      <c r="I11" s="74"/>
    </row>
    <row r="12" spans="1:10" ht="15.6">
      <c r="B12" s="116">
        <v>1</v>
      </c>
      <c r="C12" s="109">
        <f>E12*B12^2+F12*B12+G12</f>
        <v>7.3332499999999996</v>
      </c>
      <c r="E12" s="84" cm="1">
        <f t="array" ref="E12:G12">TRANSPOSE(MMULT(MINVERSE(E9:G11),H9:H11))</f>
        <v>1</v>
      </c>
      <c r="F12" s="84">
        <v>5.3332499999999996</v>
      </c>
      <c r="G12" s="84">
        <v>1</v>
      </c>
      <c r="H12" s="74"/>
      <c r="I12" s="74"/>
    </row>
    <row r="13" spans="1:10" ht="15.6">
      <c r="C13" s="110"/>
      <c r="E13" s="10" t="s">
        <v>7</v>
      </c>
      <c r="F13" s="10" t="s">
        <v>4</v>
      </c>
      <c r="G13" s="10" t="s">
        <v>5</v>
      </c>
      <c r="H13" s="74"/>
      <c r="I13" s="74"/>
    </row>
    <row r="14" spans="1:10" ht="15.6">
      <c r="E14" s="74"/>
      <c r="F14" s="74"/>
      <c r="G14" s="74"/>
      <c r="H14" s="74"/>
      <c r="I14" s="74"/>
    </row>
    <row r="15" spans="1:10" ht="16.149999999999999" thickBot="1">
      <c r="A15" s="8" t="s">
        <v>8</v>
      </c>
      <c r="B15" s="113" t="s">
        <v>2</v>
      </c>
      <c r="C15" s="113" t="s">
        <v>3</v>
      </c>
      <c r="E15" s="74"/>
      <c r="F15" s="10"/>
      <c r="G15" s="74"/>
      <c r="H15" s="74"/>
      <c r="I15" s="74"/>
    </row>
    <row r="16" spans="1:10" ht="15.6">
      <c r="A16" s="2"/>
      <c r="B16" s="114">
        <v>-4</v>
      </c>
      <c r="C16" s="2">
        <v>-4.3330000000000002</v>
      </c>
      <c r="E16" s="81">
        <f>B16^4</f>
        <v>256</v>
      </c>
      <c r="F16" s="81">
        <f>B16^3</f>
        <v>-64</v>
      </c>
      <c r="G16" s="81">
        <f>B16^2</f>
        <v>16</v>
      </c>
      <c r="H16" s="81">
        <f>B16</f>
        <v>-4</v>
      </c>
      <c r="I16" s="81">
        <v>1</v>
      </c>
      <c r="J16" s="82">
        <f>C16</f>
        <v>-4.3330000000000002</v>
      </c>
    </row>
    <row r="17" spans="1:10" ht="15.6">
      <c r="A17" s="2"/>
      <c r="B17" s="115">
        <v>-2</v>
      </c>
      <c r="C17" s="111">
        <v>2.3330000000000002</v>
      </c>
      <c r="E17" s="81">
        <f>B17^4</f>
        <v>16</v>
      </c>
      <c r="F17" s="81">
        <f>B17^3</f>
        <v>-8</v>
      </c>
      <c r="G17" s="81">
        <f>B17^2</f>
        <v>4</v>
      </c>
      <c r="H17" s="81">
        <f>B17</f>
        <v>-2</v>
      </c>
      <c r="I17" s="81">
        <v>1</v>
      </c>
      <c r="J17" s="85">
        <f>C17</f>
        <v>2.3330000000000002</v>
      </c>
    </row>
    <row r="18" spans="1:10" ht="15.6">
      <c r="A18" s="2"/>
      <c r="B18" s="115">
        <v>0</v>
      </c>
      <c r="C18" s="112">
        <v>1</v>
      </c>
      <c r="E18" s="81">
        <f t="shared" ref="E18:E20" si="5">B18^4</f>
        <v>0</v>
      </c>
      <c r="F18" s="81">
        <f>B18^3</f>
        <v>0</v>
      </c>
      <c r="G18" s="81">
        <f>B18^2</f>
        <v>0</v>
      </c>
      <c r="H18" s="81">
        <f>B18</f>
        <v>0</v>
      </c>
      <c r="I18" s="81">
        <v>1</v>
      </c>
      <c r="J18" s="85">
        <f>C18</f>
        <v>1</v>
      </c>
    </row>
    <row r="19" spans="1:10" ht="15.6">
      <c r="A19" s="2"/>
      <c r="B19" s="115">
        <v>2</v>
      </c>
      <c r="C19" s="2">
        <v>7.6669999999999998</v>
      </c>
      <c r="E19" s="81">
        <f t="shared" si="5"/>
        <v>16</v>
      </c>
      <c r="F19" s="81">
        <f>B19^3</f>
        <v>8</v>
      </c>
      <c r="G19" s="81">
        <f>B19^2</f>
        <v>4</v>
      </c>
      <c r="H19" s="81">
        <f>B19</f>
        <v>2</v>
      </c>
      <c r="I19" s="81">
        <v>1</v>
      </c>
      <c r="J19" s="82">
        <f>C19</f>
        <v>7.6669999999999998</v>
      </c>
    </row>
    <row r="20" spans="1:10" ht="15.6">
      <c r="A20" s="2"/>
      <c r="B20" s="115">
        <v>4</v>
      </c>
      <c r="C20" s="2">
        <v>38.332999999999998</v>
      </c>
      <c r="E20" s="81">
        <f t="shared" si="5"/>
        <v>256</v>
      </c>
      <c r="F20" s="81">
        <f>B20^3</f>
        <v>64</v>
      </c>
      <c r="G20" s="81">
        <f>B20^2</f>
        <v>16</v>
      </c>
      <c r="H20" s="81">
        <f>B20</f>
        <v>4</v>
      </c>
      <c r="I20" s="81">
        <v>1</v>
      </c>
      <c r="J20" s="82">
        <f>C20</f>
        <v>38.332999999999998</v>
      </c>
    </row>
    <row r="21" spans="1:10" ht="15.6">
      <c r="B21" s="116">
        <v>1</v>
      </c>
      <c r="C21" s="109">
        <f>E21*B21^4+F21*B21^3+G21*B21^2+H21*B21+I21</f>
        <v>2.3335624999999998</v>
      </c>
      <c r="E21" s="105" cm="1">
        <f t="array" ref="E21:I21">TRANSPOSE(MMULT(MINVERSE(E16:I20),J16:J20))</f>
        <v>-1.3877787807814457E-17</v>
      </c>
      <c r="F21" s="77">
        <v>0.33331249999999996</v>
      </c>
      <c r="G21" s="105">
        <v>0.99999999999999989</v>
      </c>
      <c r="H21" s="77">
        <v>2.4999999999986144E-4</v>
      </c>
      <c r="I21" s="105">
        <v>1</v>
      </c>
    </row>
    <row r="22" spans="1:10" ht="15">
      <c r="E22" t="s">
        <v>52</v>
      </c>
      <c r="F22" s="10" t="s">
        <v>9</v>
      </c>
      <c r="G22" s="10" t="s">
        <v>7</v>
      </c>
      <c r="H22" s="10" t="s">
        <v>4</v>
      </c>
      <c r="I22" s="10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50B4-8293-414A-947D-53A5BDC89683}">
  <dimension ref="A1:P36"/>
  <sheetViews>
    <sheetView topLeftCell="A22" zoomScale="96" zoomScaleNormal="80" zoomScaleSheetLayoutView="100" workbookViewId="0">
      <selection activeCell="F43" sqref="F43"/>
    </sheetView>
  </sheetViews>
  <sheetFormatPr defaultColWidth="8.85546875" defaultRowHeight="14.45"/>
  <cols>
    <col min="1" max="1" width="22.5703125" customWidth="1"/>
    <col min="2" max="2" width="8.5703125" customWidth="1"/>
    <col min="3" max="3" width="10.5703125" bestFit="1" customWidth="1"/>
    <col min="4" max="4" width="9" customWidth="1"/>
    <col min="5" max="5" width="10.42578125" customWidth="1"/>
    <col min="7" max="7" width="17" bestFit="1" customWidth="1"/>
    <col min="8" max="11" width="15" bestFit="1" customWidth="1"/>
    <col min="12" max="12" width="16.28515625" bestFit="1" customWidth="1"/>
    <col min="13" max="13" width="15.7109375" bestFit="1" customWidth="1"/>
    <col min="14" max="14" width="11.28515625" bestFit="1" customWidth="1"/>
    <col min="16384" max="16384" width="11.42578125" bestFit="1" customWidth="1"/>
  </cols>
  <sheetData>
    <row r="1" spans="1:16" ht="15.6">
      <c r="A1" s="12" t="s">
        <v>10</v>
      </c>
      <c r="B1" s="10"/>
      <c r="C1" s="10"/>
      <c r="D1" s="10"/>
      <c r="E1" s="10"/>
      <c r="F1" s="10"/>
      <c r="G1" s="10"/>
      <c r="H1" s="10"/>
      <c r="I1" s="10"/>
    </row>
    <row r="2" spans="1:16" ht="15.75">
      <c r="A2" s="100"/>
      <c r="B2" s="23" t="s">
        <v>2</v>
      </c>
      <c r="C2" s="23" t="s">
        <v>3</v>
      </c>
      <c r="D2" s="23" t="s">
        <v>11</v>
      </c>
      <c r="E2" s="22"/>
      <c r="F2" s="29"/>
      <c r="G2" s="23" t="s">
        <v>12</v>
      </c>
      <c r="H2" s="23" t="s">
        <v>13</v>
      </c>
      <c r="I2" s="23" t="s">
        <v>14</v>
      </c>
      <c r="J2" s="23" t="s">
        <v>15</v>
      </c>
      <c r="K2" s="23" t="s">
        <v>21</v>
      </c>
      <c r="L2" s="23" t="s">
        <v>22</v>
      </c>
      <c r="M2" s="23" t="s">
        <v>23</v>
      </c>
      <c r="P2" s="22" t="s">
        <v>53</v>
      </c>
    </row>
    <row r="3" spans="1:16" ht="15.6">
      <c r="A3" s="100" t="s">
        <v>20</v>
      </c>
      <c r="B3" s="22">
        <v>0</v>
      </c>
      <c r="C3" s="22">
        <v>0</v>
      </c>
      <c r="D3" s="22">
        <f>G4/N6</f>
        <v>-2.05078125E-2</v>
      </c>
      <c r="E3" s="22"/>
      <c r="G3" s="31">
        <f>B10-B3</f>
        <v>7.5</v>
      </c>
      <c r="H3" s="10">
        <f>B10-B4</f>
        <v>2.5</v>
      </c>
      <c r="I3" s="10">
        <f>B10-B5</f>
        <v>-2.5</v>
      </c>
      <c r="J3" s="10">
        <f>B10-B6</f>
        <v>-7.5</v>
      </c>
      <c r="K3" s="10">
        <f>B10-B7</f>
        <v>-12.5</v>
      </c>
      <c r="L3" s="10">
        <f>B10-B8</f>
        <v>-17.5</v>
      </c>
      <c r="M3" s="10">
        <f>B10-B9</f>
        <v>-22.5</v>
      </c>
      <c r="N3" s="10"/>
    </row>
    <row r="4" spans="1:16" ht="15">
      <c r="A4" s="22"/>
      <c r="B4" s="22">
        <v>5</v>
      </c>
      <c r="C4" s="22">
        <v>0.5</v>
      </c>
      <c r="D4" s="117">
        <f>H4/N7</f>
        <v>0.369140625</v>
      </c>
      <c r="E4" s="22"/>
      <c r="F4" s="22"/>
      <c r="G4" s="32">
        <f>PRODUCT(H3,,I3,J3,K3,L3,M3)</f>
        <v>-230712.890625</v>
      </c>
      <c r="H4" s="104">
        <f>PRODUCT(G3,I3:M3)</f>
        <v>-692138.671875</v>
      </c>
      <c r="I4" s="103">
        <f>PRODUCT(G3:H3,J3:M3)</f>
        <v>692138.671875</v>
      </c>
      <c r="J4" s="102">
        <f>PRODUCT(G3:I3,K3:M3)</f>
        <v>230712.890625</v>
      </c>
      <c r="K4" s="33">
        <f>PRODUCT(G3:J3,L3:M3)</f>
        <v>138427.734375</v>
      </c>
      <c r="L4" s="33">
        <f>PRODUCT(G3:K3,M3)</f>
        <v>98876.953125</v>
      </c>
      <c r="M4" s="33">
        <f>PRODUCT(G3:L3)</f>
        <v>76904.296875</v>
      </c>
      <c r="N4" s="10"/>
    </row>
    <row r="5" spans="1:16" ht="18.600000000000001">
      <c r="A5" s="22"/>
      <c r="B5" s="22">
        <v>10</v>
      </c>
      <c r="C5" s="22">
        <v>7</v>
      </c>
      <c r="D5" s="22">
        <f>I4/N8</f>
        <v>0.9228515625</v>
      </c>
      <c r="E5" s="22"/>
      <c r="F5" s="22"/>
      <c r="G5" s="38" t="s">
        <v>16</v>
      </c>
      <c r="H5" s="38" t="s">
        <v>17</v>
      </c>
      <c r="I5" s="38" t="s">
        <v>18</v>
      </c>
      <c r="J5" s="38" t="s">
        <v>19</v>
      </c>
      <c r="K5" s="38" t="s">
        <v>24</v>
      </c>
      <c r="L5" s="38" t="s">
        <v>25</v>
      </c>
      <c r="M5" s="38" t="s">
        <v>26</v>
      </c>
      <c r="N5" s="10"/>
    </row>
    <row r="6" spans="1:16" ht="15">
      <c r="A6" s="22"/>
      <c r="B6" s="22">
        <v>15</v>
      </c>
      <c r="C6" s="22">
        <v>27</v>
      </c>
      <c r="D6" s="22">
        <f>J4/N9</f>
        <v>-0.41015625</v>
      </c>
      <c r="E6" s="22"/>
      <c r="F6" s="22" t="str" cm="1">
        <f t="array" ref="F6:F9">TRANSPOSE(G5:J5)</f>
        <v>x0</v>
      </c>
      <c r="G6" s="35"/>
      <c r="H6" s="10">
        <f>B3-B4</f>
        <v>-5</v>
      </c>
      <c r="I6" s="10">
        <f>B3-B5</f>
        <v>-10</v>
      </c>
      <c r="J6" s="10">
        <f>B3-B6</f>
        <v>-15</v>
      </c>
      <c r="K6" s="10">
        <f>B3-B7</f>
        <v>-20</v>
      </c>
      <c r="L6" s="10">
        <f>B3-B8</f>
        <v>-25</v>
      </c>
      <c r="M6" s="10">
        <f>B3-B9</f>
        <v>-30</v>
      </c>
      <c r="N6" s="106">
        <f>PRODUCT(H6,J6,I6,K6,L6,M6)</f>
        <v>11250000</v>
      </c>
    </row>
    <row r="7" spans="1:16" ht="15.6">
      <c r="A7" s="22"/>
      <c r="B7" s="22">
        <v>20</v>
      </c>
      <c r="C7" s="22">
        <v>68</v>
      </c>
      <c r="D7" s="22">
        <f>K4/N10</f>
        <v>0.1845703125</v>
      </c>
      <c r="E7" s="25"/>
      <c r="F7" s="22" t="str">
        <v>x1</v>
      </c>
      <c r="G7" s="34" cm="1">
        <f t="array" ref="G7">-TRANSPOSE(H6)</f>
        <v>5</v>
      </c>
      <c r="H7" s="15"/>
      <c r="I7" s="10">
        <f>B4-B5</f>
        <v>-5</v>
      </c>
      <c r="J7" s="10">
        <f>B4-B6</f>
        <v>-10</v>
      </c>
      <c r="K7" s="10">
        <f>B4-B7</f>
        <v>-15</v>
      </c>
      <c r="L7" s="10">
        <f>B4-B8</f>
        <v>-20</v>
      </c>
      <c r="M7" s="10">
        <f>B4-B9</f>
        <v>-25</v>
      </c>
      <c r="N7" s="106">
        <f>PRODUCT(G7,I7:M7)</f>
        <v>-1875000</v>
      </c>
    </row>
    <row r="8" spans="1:16" ht="15">
      <c r="A8" s="22"/>
      <c r="B8" s="22">
        <v>25</v>
      </c>
      <c r="C8" s="22">
        <v>137.5</v>
      </c>
      <c r="D8" s="22">
        <f>L4/N11</f>
        <v>-5.2734375E-2</v>
      </c>
      <c r="E8" s="22"/>
      <c r="F8" s="22" t="str">
        <v>x2</v>
      </c>
      <c r="G8" s="34" cm="1">
        <f t="array" ref="G8">-TRANSPOSE(I6)</f>
        <v>10</v>
      </c>
      <c r="H8" s="34" cm="1">
        <f t="array" ref="H8">-TRANSPOSE(I7)</f>
        <v>5</v>
      </c>
      <c r="I8" s="15"/>
      <c r="J8" s="10">
        <f>B5-B6</f>
        <v>-5</v>
      </c>
      <c r="K8" s="10">
        <f>B5-B7</f>
        <v>-10</v>
      </c>
      <c r="L8" s="10">
        <f>B5-B8</f>
        <v>-15</v>
      </c>
      <c r="M8" s="10">
        <f>B5-B9</f>
        <v>-20</v>
      </c>
      <c r="N8" s="106">
        <f>PRODUCT(G8,H8,J8:M8)</f>
        <v>750000</v>
      </c>
    </row>
    <row r="9" spans="1:16" ht="15">
      <c r="A9" s="22"/>
      <c r="B9" s="22">
        <v>30</v>
      </c>
      <c r="C9" s="22">
        <v>243</v>
      </c>
      <c r="D9" s="118">
        <f>M4/N12</f>
        <v>6.8359375E-3</v>
      </c>
      <c r="E9" s="22"/>
      <c r="F9" s="22" t="str">
        <v>x3</v>
      </c>
      <c r="G9" s="34" cm="1">
        <f t="array" ref="G9">-TRANSPOSE(J6)</f>
        <v>15</v>
      </c>
      <c r="H9" s="34" cm="1">
        <f t="array" ref="H9">-TRANSPOSE(J7)</f>
        <v>10</v>
      </c>
      <c r="I9" s="34" cm="1">
        <f t="array" ref="I9">-TRANSPOSE(J8)</f>
        <v>5</v>
      </c>
      <c r="J9" s="15"/>
      <c r="K9" s="10">
        <f>B6-B7</f>
        <v>-5</v>
      </c>
      <c r="L9" s="10">
        <f>B6-B8</f>
        <v>-10</v>
      </c>
      <c r="M9" s="10">
        <f>B6-B9</f>
        <v>-15</v>
      </c>
      <c r="N9" s="106">
        <f>PRODUCT(G9:I9,K9:M9)</f>
        <v>-562500</v>
      </c>
    </row>
    <row r="10" spans="1:16" ht="18.600000000000001">
      <c r="A10" s="22"/>
      <c r="B10" s="24">
        <v>7.5</v>
      </c>
      <c r="C10" s="20">
        <f>(D3*C3)+(D4*C4)+(D5*C5)+(D6*C6)+(D7*C7)+(D8*C8)+(D9*C9)</f>
        <v>2.53125</v>
      </c>
      <c r="D10" s="25"/>
      <c r="F10" s="30" t="s">
        <v>27</v>
      </c>
      <c r="G10" s="10" cm="1">
        <f t="array" ref="G10">-TRANSPOSE(K6)</f>
        <v>20</v>
      </c>
      <c r="H10" s="34" cm="1">
        <f t="array" ref="H10">-TRANSPOSE(K7)</f>
        <v>15</v>
      </c>
      <c r="I10" s="34" cm="1">
        <f t="array" ref="I10">-TRANSPOSE(K8)</f>
        <v>10</v>
      </c>
      <c r="J10" s="34" cm="1">
        <f t="array" ref="J10">-TRANSPOSE(K9)</f>
        <v>5</v>
      </c>
      <c r="K10" s="15"/>
      <c r="L10" s="10">
        <f>B7-B8</f>
        <v>-5</v>
      </c>
      <c r="M10" s="10">
        <f>B7-B9</f>
        <v>-10</v>
      </c>
      <c r="N10" s="106">
        <f>PRODUCT(G10:J10,L10:M10)</f>
        <v>750000</v>
      </c>
    </row>
    <row r="11" spans="1:16" ht="18.600000000000001">
      <c r="A11" s="22"/>
      <c r="B11" s="22"/>
      <c r="C11" s="22"/>
      <c r="D11" s="22"/>
      <c r="F11" s="30" t="s">
        <v>25</v>
      </c>
      <c r="G11" s="10" cm="1">
        <f t="array" ref="G11">-TRANSPOSE(L6)</f>
        <v>25</v>
      </c>
      <c r="H11" s="34" cm="1">
        <f t="array" ref="H11">-TRANSPOSE(L7)</f>
        <v>20</v>
      </c>
      <c r="I11" s="34" cm="1">
        <f t="array" ref="I11">-TRANSPOSE(L8)</f>
        <v>15</v>
      </c>
      <c r="J11" s="34" cm="1">
        <f t="array" ref="J11">-TRANSPOSE(L9)</f>
        <v>10</v>
      </c>
      <c r="K11" s="34" cm="1">
        <f t="array" ref="K11">-TRANSPOSE(L10)</f>
        <v>5</v>
      </c>
      <c r="L11" s="15"/>
      <c r="M11" s="10">
        <f>B8-B9</f>
        <v>-5</v>
      </c>
      <c r="N11" s="106">
        <f>PRODUCT(G11:K11,M11)</f>
        <v>-1875000</v>
      </c>
    </row>
    <row r="12" spans="1:16" ht="18.600000000000001">
      <c r="A12" s="22"/>
      <c r="B12" s="22"/>
      <c r="C12" s="22"/>
      <c r="D12" s="22"/>
      <c r="F12" s="30" t="s">
        <v>26</v>
      </c>
      <c r="G12" s="10" cm="1">
        <f t="array" ref="G12">-TRANSPOSE(M6)</f>
        <v>30</v>
      </c>
      <c r="H12" s="34" cm="1">
        <f t="array" ref="H12">-TRANSPOSE(M7)</f>
        <v>25</v>
      </c>
      <c r="I12" s="34" cm="1">
        <f t="array" ref="I12">-TRANSPOSE(M8)</f>
        <v>20</v>
      </c>
      <c r="J12" s="34" cm="1">
        <f t="array" ref="J12">-TRANSPOSE(M9)</f>
        <v>15</v>
      </c>
      <c r="K12" s="34" cm="1">
        <f t="array" ref="K12">-TRANSPOSE(M10)</f>
        <v>10</v>
      </c>
      <c r="L12" s="34" cm="1">
        <f t="array" ref="L12">-TRANSPOSE(M11)</f>
        <v>5</v>
      </c>
      <c r="M12" s="15"/>
      <c r="N12" s="106">
        <f>PRODUCT(G12:L12)</f>
        <v>11250000</v>
      </c>
    </row>
    <row r="14" spans="1:16" ht="18.600000000000001">
      <c r="A14" s="100"/>
      <c r="B14" s="23" t="s">
        <v>2</v>
      </c>
      <c r="C14" s="23" t="s">
        <v>3</v>
      </c>
      <c r="D14" s="23" t="s">
        <v>11</v>
      </c>
      <c r="E14" s="22"/>
      <c r="F14" s="29"/>
      <c r="G14" s="23" t="s">
        <v>12</v>
      </c>
      <c r="H14" s="23" t="s">
        <v>13</v>
      </c>
      <c r="I14" s="23" t="s">
        <v>14</v>
      </c>
      <c r="J14" s="23" t="s">
        <v>15</v>
      </c>
      <c r="K14" s="23" t="s">
        <v>21</v>
      </c>
      <c r="L14" s="23" t="s">
        <v>22</v>
      </c>
      <c r="M14" s="23" t="s">
        <v>23</v>
      </c>
    </row>
    <row r="15" spans="1:16" ht="15.6">
      <c r="A15" s="100" t="s">
        <v>20</v>
      </c>
      <c r="B15" s="22">
        <v>0</v>
      </c>
      <c r="C15" s="22">
        <v>0</v>
      </c>
      <c r="D15" s="22">
        <f>G16/N18</f>
        <v>1.5887872000000001</v>
      </c>
      <c r="E15" s="22"/>
      <c r="G15" s="31">
        <f>B22-B15</f>
        <v>-1</v>
      </c>
      <c r="H15" s="10">
        <f>B22-B16</f>
        <v>-6</v>
      </c>
      <c r="I15" s="10">
        <f>B22-B17</f>
        <v>-11</v>
      </c>
      <c r="J15" s="10">
        <f>B22-B18</f>
        <v>-16</v>
      </c>
      <c r="K15" s="10">
        <f>B22-B19</f>
        <v>-21</v>
      </c>
      <c r="L15" s="10">
        <f>B22-B20</f>
        <v>-26</v>
      </c>
      <c r="M15" s="10">
        <f>B22-B21</f>
        <v>-31</v>
      </c>
      <c r="N15" s="10"/>
    </row>
    <row r="16" spans="1:16" ht="15">
      <c r="A16" s="22"/>
      <c r="B16" s="22">
        <v>5</v>
      </c>
      <c r="C16" s="22">
        <v>0.5</v>
      </c>
      <c r="D16" s="117">
        <f>H16/N19</f>
        <v>-1.5887872000000001</v>
      </c>
      <c r="E16" s="22"/>
      <c r="F16" s="22"/>
      <c r="G16" s="119">
        <f>PRODUCT(H15,,I15,J15,K15,L15,M15)</f>
        <v>17873856</v>
      </c>
      <c r="H16" s="104">
        <f>PRODUCT(G15,I15:M15)</f>
        <v>2978976</v>
      </c>
      <c r="I16" s="104">
        <f>PRODUCT(G15:H15,J15:M15)</f>
        <v>1624896</v>
      </c>
      <c r="J16" s="104">
        <f>PRODUCT(G15:I15,K15:M15)</f>
        <v>1117116</v>
      </c>
      <c r="K16" s="104">
        <f>PRODUCT(G15:J15,L15:M15)</f>
        <v>851136</v>
      </c>
      <c r="L16" s="104">
        <f>PRODUCT(G15:K15,M15)</f>
        <v>687456</v>
      </c>
      <c r="M16" s="104">
        <f>PRODUCT(G15:L15)</f>
        <v>576576</v>
      </c>
      <c r="N16" s="10"/>
    </row>
    <row r="17" spans="1:14" ht="18.600000000000001">
      <c r="A17" s="22"/>
      <c r="B17" s="22">
        <v>10</v>
      </c>
      <c r="C17" s="22">
        <v>7</v>
      </c>
      <c r="D17" s="22">
        <f>I16/N20</f>
        <v>2.166528</v>
      </c>
      <c r="E17" s="22"/>
      <c r="F17" s="22"/>
      <c r="G17" s="38" t="s">
        <v>16</v>
      </c>
      <c r="H17" s="38" t="s">
        <v>17</v>
      </c>
      <c r="I17" s="38" t="s">
        <v>18</v>
      </c>
      <c r="J17" s="38" t="s">
        <v>19</v>
      </c>
      <c r="K17" s="38" t="s">
        <v>24</v>
      </c>
      <c r="L17" s="38" t="s">
        <v>25</v>
      </c>
      <c r="M17" s="38" t="s">
        <v>26</v>
      </c>
      <c r="N17" s="10"/>
    </row>
    <row r="18" spans="1:14" ht="15">
      <c r="A18" s="22"/>
      <c r="B18" s="22">
        <v>15</v>
      </c>
      <c r="C18" s="22">
        <v>27</v>
      </c>
      <c r="D18" s="22">
        <f>J16/N21</f>
        <v>-1.985984</v>
      </c>
      <c r="E18" s="22"/>
      <c r="F18" s="22" t="str" cm="1">
        <f t="array" ref="F18:F21">TRANSPOSE(G17:J17)</f>
        <v>x0</v>
      </c>
      <c r="G18" s="35"/>
      <c r="H18" s="10">
        <f>B15-B16</f>
        <v>-5</v>
      </c>
      <c r="I18" s="10">
        <f>B15-B17</f>
        <v>-10</v>
      </c>
      <c r="J18" s="10">
        <f>B15-B18</f>
        <v>-15</v>
      </c>
      <c r="K18" s="10">
        <f>B15-B19</f>
        <v>-20</v>
      </c>
      <c r="L18" s="10">
        <f>B15-B20</f>
        <v>-25</v>
      </c>
      <c r="M18" s="10">
        <f>B15-B21</f>
        <v>-30</v>
      </c>
      <c r="N18" s="106">
        <f>PRODUCT(H18,J18,I18,K18,L18,M18)</f>
        <v>11250000</v>
      </c>
    </row>
    <row r="19" spans="1:14" ht="15.6">
      <c r="A19" s="22"/>
      <c r="B19" s="22">
        <v>20</v>
      </c>
      <c r="C19" s="22">
        <v>68</v>
      </c>
      <c r="D19" s="22">
        <f>K16/N22</f>
        <v>1.1348480000000001</v>
      </c>
      <c r="E19" s="25"/>
      <c r="F19" s="22" t="str">
        <v>x1</v>
      </c>
      <c r="G19" s="34" cm="1">
        <f t="array" ref="G19">-TRANSPOSE(H18)</f>
        <v>5</v>
      </c>
      <c r="H19" s="15"/>
      <c r="I19" s="10">
        <f>B16-B17</f>
        <v>-5</v>
      </c>
      <c r="J19" s="10">
        <f>B16-B18</f>
        <v>-10</v>
      </c>
      <c r="K19" s="10">
        <f>B16-B19</f>
        <v>-15</v>
      </c>
      <c r="L19" s="10">
        <f>B16-B20</f>
        <v>-20</v>
      </c>
      <c r="M19" s="10">
        <f>B16-B21</f>
        <v>-25</v>
      </c>
      <c r="N19" s="106">
        <f>PRODUCT(G19,I19:M19)</f>
        <v>-1875000</v>
      </c>
    </row>
    <row r="20" spans="1:14" ht="15">
      <c r="A20" s="22"/>
      <c r="B20" s="22">
        <v>25</v>
      </c>
      <c r="C20" s="22">
        <v>137.5</v>
      </c>
      <c r="D20" s="22">
        <f>L16/N23</f>
        <v>-0.3666432</v>
      </c>
      <c r="E20" s="22"/>
      <c r="F20" s="22" t="str">
        <v>x2</v>
      </c>
      <c r="G20" s="34" cm="1">
        <f t="array" ref="G20">-TRANSPOSE(I18)</f>
        <v>10</v>
      </c>
      <c r="H20" s="34" cm="1">
        <f t="array" ref="H20">-TRANSPOSE(I19)</f>
        <v>5</v>
      </c>
      <c r="I20" s="15"/>
      <c r="J20" s="10">
        <f>B17-B18</f>
        <v>-5</v>
      </c>
      <c r="K20" s="10">
        <f>B17-B19</f>
        <v>-10</v>
      </c>
      <c r="L20" s="10">
        <f>B17-B20</f>
        <v>-15</v>
      </c>
      <c r="M20" s="10">
        <f>B17-B21</f>
        <v>-20</v>
      </c>
      <c r="N20" s="106">
        <f>PRODUCT(G20,H20,J20:M20)</f>
        <v>750000</v>
      </c>
    </row>
    <row r="21" spans="1:14" ht="15">
      <c r="A21" s="22"/>
      <c r="B21" s="22">
        <v>30</v>
      </c>
      <c r="C21" s="22">
        <v>243</v>
      </c>
      <c r="D21" s="118">
        <f>M16/N24</f>
        <v>5.1251199999999997E-2</v>
      </c>
      <c r="E21" s="22"/>
      <c r="F21" s="22" t="str">
        <v>x3</v>
      </c>
      <c r="G21" s="34" cm="1">
        <f t="array" ref="G21">-TRANSPOSE(J18)</f>
        <v>15</v>
      </c>
      <c r="H21" s="34" cm="1">
        <f t="array" ref="H21">-TRANSPOSE(J19)</f>
        <v>10</v>
      </c>
      <c r="I21" s="34" cm="1">
        <f t="array" ref="I21">-TRANSPOSE(J20)</f>
        <v>5</v>
      </c>
      <c r="J21" s="15"/>
      <c r="K21" s="10">
        <f>B18-B19</f>
        <v>-5</v>
      </c>
      <c r="L21" s="10">
        <f>B18-B20</f>
        <v>-10</v>
      </c>
      <c r="M21" s="10">
        <f>B18-B21</f>
        <v>-15</v>
      </c>
      <c r="N21" s="106">
        <f>PRODUCT(G21:I21,K21:M21)</f>
        <v>-562500</v>
      </c>
    </row>
    <row r="22" spans="1:14" ht="18.600000000000001">
      <c r="A22" s="22"/>
      <c r="B22" s="24">
        <v>-1</v>
      </c>
      <c r="C22" s="20">
        <f>(D15*C15)+(D16*C16)+(D17*C17)+(D18*C18)+(D19*C19)+(D20*C20)+(D21*C21)</f>
        <v>-3.9999999999981384E-2</v>
      </c>
      <c r="D22" s="25"/>
      <c r="F22" s="30" t="s">
        <v>27</v>
      </c>
      <c r="G22" s="10" cm="1">
        <f t="array" ref="G22">-TRANSPOSE(K18)</f>
        <v>20</v>
      </c>
      <c r="H22" s="34" cm="1">
        <f t="array" ref="H22">-TRANSPOSE(K19)</f>
        <v>15</v>
      </c>
      <c r="I22" s="34" cm="1">
        <f t="array" ref="I22">-TRANSPOSE(K20)</f>
        <v>10</v>
      </c>
      <c r="J22" s="34" cm="1">
        <f t="array" ref="J22">-TRANSPOSE(K21)</f>
        <v>5</v>
      </c>
      <c r="K22" s="15"/>
      <c r="L22" s="10">
        <f>B19-B20</f>
        <v>-5</v>
      </c>
      <c r="M22" s="10">
        <f>B19-B21</f>
        <v>-10</v>
      </c>
      <c r="N22" s="106">
        <f>PRODUCT(G22:J22,L22:M22)</f>
        <v>750000</v>
      </c>
    </row>
    <row r="23" spans="1:14" ht="18.600000000000001">
      <c r="A23" s="22"/>
      <c r="B23" s="22"/>
      <c r="C23" s="22"/>
      <c r="D23" s="22"/>
      <c r="F23" s="30" t="s">
        <v>25</v>
      </c>
      <c r="G23" s="10" cm="1">
        <f t="array" ref="G23">-TRANSPOSE(L18)</f>
        <v>25</v>
      </c>
      <c r="H23" s="34" cm="1">
        <f t="array" ref="H23">-TRANSPOSE(L19)</f>
        <v>20</v>
      </c>
      <c r="I23" s="34" cm="1">
        <f t="array" ref="I23">-TRANSPOSE(L20)</f>
        <v>15</v>
      </c>
      <c r="J23" s="34" cm="1">
        <f t="array" ref="J23">-TRANSPOSE(L21)</f>
        <v>10</v>
      </c>
      <c r="K23" s="34" cm="1">
        <f t="array" ref="K23">-TRANSPOSE(L22)</f>
        <v>5</v>
      </c>
      <c r="L23" s="15"/>
      <c r="M23" s="10">
        <f>B20-B21</f>
        <v>-5</v>
      </c>
      <c r="N23" s="106">
        <f>PRODUCT(G23:K23,M23)</f>
        <v>-1875000</v>
      </c>
    </row>
    <row r="24" spans="1:14" ht="18.600000000000001">
      <c r="A24" s="22"/>
      <c r="B24" s="22"/>
      <c r="C24" s="22"/>
      <c r="D24" s="22"/>
      <c r="F24" s="30" t="s">
        <v>26</v>
      </c>
      <c r="G24" s="10" cm="1">
        <f t="array" ref="G24">-TRANSPOSE(M18)</f>
        <v>30</v>
      </c>
      <c r="H24" s="34" cm="1">
        <f t="array" ref="H24">-TRANSPOSE(M19)</f>
        <v>25</v>
      </c>
      <c r="I24" s="34" cm="1">
        <f t="array" ref="I24">-TRANSPOSE(M20)</f>
        <v>20</v>
      </c>
      <c r="J24" s="34" cm="1">
        <f t="array" ref="J24">-TRANSPOSE(M21)</f>
        <v>15</v>
      </c>
      <c r="K24" s="34" cm="1">
        <f t="array" ref="K24">-TRANSPOSE(M22)</f>
        <v>10</v>
      </c>
      <c r="L24" s="34" cm="1">
        <f t="array" ref="L24">-TRANSPOSE(M23)</f>
        <v>5</v>
      </c>
      <c r="M24" s="15"/>
      <c r="N24" s="106">
        <f>PRODUCT(G24:L24)</f>
        <v>11250000</v>
      </c>
    </row>
    <row r="26" spans="1:14" ht="18.600000000000001">
      <c r="A26" s="100"/>
      <c r="B26" s="23" t="s">
        <v>2</v>
      </c>
      <c r="C26" s="23" t="s">
        <v>3</v>
      </c>
      <c r="D26" s="23" t="s">
        <v>11</v>
      </c>
      <c r="E26" s="22"/>
      <c r="F26" s="29"/>
      <c r="G26" s="23" t="s">
        <v>12</v>
      </c>
      <c r="H26" s="23" t="s">
        <v>13</v>
      </c>
      <c r="I26" s="23" t="s">
        <v>14</v>
      </c>
      <c r="J26" s="23" t="s">
        <v>15</v>
      </c>
      <c r="K26" s="23" t="s">
        <v>21</v>
      </c>
      <c r="L26" s="23" t="s">
        <v>22</v>
      </c>
      <c r="M26" s="23" t="s">
        <v>23</v>
      </c>
    </row>
    <row r="27" spans="1:14" ht="15.6">
      <c r="A27" s="100" t="s">
        <v>20</v>
      </c>
      <c r="B27" s="22">
        <v>0</v>
      </c>
      <c r="C27" s="22">
        <v>0</v>
      </c>
      <c r="D27" s="22">
        <f t="shared" ref="D27" si="0">G28/N30</f>
        <v>-2.3471837127200003E-2</v>
      </c>
      <c r="E27" s="22"/>
      <c r="G27" s="31">
        <f t="shared" ref="G27" si="1">B34-B27</f>
        <v>28.3</v>
      </c>
      <c r="H27" s="10">
        <f t="shared" ref="H27" si="2">B34-B28</f>
        <v>23.3</v>
      </c>
      <c r="I27" s="10">
        <f t="shared" ref="I27" si="3">B34-B29</f>
        <v>18.3</v>
      </c>
      <c r="J27" s="10">
        <f t="shared" ref="J27" si="4">B34-B30</f>
        <v>13.3</v>
      </c>
      <c r="K27" s="10">
        <f t="shared" ref="K27" si="5">B34-B31</f>
        <v>8.3000000000000007</v>
      </c>
      <c r="L27" s="10">
        <f t="shared" ref="L27" si="6">B34-B32</f>
        <v>3.3000000000000007</v>
      </c>
      <c r="M27" s="10">
        <f t="shared" ref="M27" si="7">B34-B33</f>
        <v>-1.6999999999999993</v>
      </c>
      <c r="N27" s="10"/>
    </row>
    <row r="28" spans="1:14" ht="15">
      <c r="A28" s="22"/>
      <c r="B28" s="22">
        <v>5</v>
      </c>
      <c r="C28" s="22">
        <v>0.5</v>
      </c>
      <c r="D28" s="117">
        <f t="shared" ref="D28" si="8">H28/N31</f>
        <v>0.1710522722832</v>
      </c>
      <c r="E28" s="22"/>
      <c r="F28" s="22"/>
      <c r="G28" s="32">
        <f t="shared" ref="G28" si="9">PRODUCT(H27,,I27,J27,K27,L27,M27)</f>
        <v>-264058.16768100002</v>
      </c>
      <c r="H28" s="33">
        <f t="shared" ref="H28" si="10">PRODUCT(G27,I27:M27)</f>
        <v>-320723.01053099998</v>
      </c>
      <c r="I28" s="33">
        <f t="shared" ref="I28" si="11">PRODUCT(G27:H27,J27:M27)</f>
        <v>-408352.24838100001</v>
      </c>
      <c r="J28" s="33">
        <f t="shared" ref="J28" si="12">PRODUCT(G27:I27,K27:M27)</f>
        <v>-561868.13123099995</v>
      </c>
      <c r="K28" s="33">
        <f t="shared" ref="K28" si="13">PRODUCT(G27:J27,L27:M27)</f>
        <v>-900342.9090809999</v>
      </c>
      <c r="L28" s="33">
        <f t="shared" ref="L28" si="14">PRODUCT(G27:K27,M27)</f>
        <v>-2264498.8319309992</v>
      </c>
      <c r="M28" s="33">
        <f t="shared" ref="M28" si="15">PRODUCT(G27:L27)</f>
        <v>4395791.850219002</v>
      </c>
      <c r="N28" s="10"/>
    </row>
    <row r="29" spans="1:14" ht="18.600000000000001">
      <c r="A29" s="22"/>
      <c r="B29" s="22">
        <v>10</v>
      </c>
      <c r="C29" s="22">
        <v>7</v>
      </c>
      <c r="D29" s="22">
        <f t="shared" ref="D29" si="16">I28/N32</f>
        <v>-0.54446966450800005</v>
      </c>
      <c r="E29" s="22"/>
      <c r="F29" s="22"/>
      <c r="G29" s="38" t="s">
        <v>16</v>
      </c>
      <c r="H29" s="38" t="s">
        <v>17</v>
      </c>
      <c r="I29" s="38" t="s">
        <v>18</v>
      </c>
      <c r="J29" s="38" t="s">
        <v>19</v>
      </c>
      <c r="K29" s="38" t="s">
        <v>24</v>
      </c>
      <c r="L29" s="38" t="s">
        <v>25</v>
      </c>
      <c r="M29" s="38" t="s">
        <v>26</v>
      </c>
      <c r="N29" s="10"/>
    </row>
    <row r="30" spans="1:14" ht="15">
      <c r="A30" s="22"/>
      <c r="B30" s="22">
        <v>15</v>
      </c>
      <c r="C30" s="22">
        <v>27</v>
      </c>
      <c r="D30" s="22">
        <f t="shared" ref="D30" si="17">J28/N33</f>
        <v>0.99887667774399991</v>
      </c>
      <c r="E30" s="22"/>
      <c r="F30" s="22" t="str" cm="1">
        <f t="array" ref="F30:F33">TRANSPOSE(G29:J29)</f>
        <v>x0</v>
      </c>
      <c r="G30" s="35"/>
      <c r="H30" s="10">
        <f t="shared" ref="H30" si="18">B27-B28</f>
        <v>-5</v>
      </c>
      <c r="I30" s="10">
        <f t="shared" ref="I30" si="19">B27-B29</f>
        <v>-10</v>
      </c>
      <c r="J30" s="10">
        <f t="shared" ref="J30" si="20">B27-B30</f>
        <v>-15</v>
      </c>
      <c r="K30" s="10">
        <f t="shared" ref="K30" si="21">B27-B31</f>
        <v>-20</v>
      </c>
      <c r="L30" s="10">
        <f t="shared" ref="L30" si="22">B27-B32</f>
        <v>-25</v>
      </c>
      <c r="M30" s="10">
        <f t="shared" ref="M30" si="23">B27-B33</f>
        <v>-30</v>
      </c>
      <c r="N30" s="106">
        <f t="shared" ref="N30" si="24">PRODUCT(H30,J30,I30,K30,L30,M30)</f>
        <v>11250000</v>
      </c>
    </row>
    <row r="31" spans="1:14" ht="15.6">
      <c r="A31" s="22"/>
      <c r="B31" s="22">
        <v>20</v>
      </c>
      <c r="C31" s="22">
        <v>68</v>
      </c>
      <c r="D31" s="22">
        <f t="shared" ref="D31" si="25">K28/N34</f>
        <v>-1.2004572121079999</v>
      </c>
      <c r="E31" s="25"/>
      <c r="F31" s="22" t="str">
        <v>x1</v>
      </c>
      <c r="G31" s="34" cm="1">
        <f t="array" ref="G31">-TRANSPOSE(H30)</f>
        <v>5</v>
      </c>
      <c r="H31" s="15"/>
      <c r="I31" s="10">
        <f t="shared" ref="I31" si="26">B28-B29</f>
        <v>-5</v>
      </c>
      <c r="J31" s="10">
        <f t="shared" ref="J31" si="27">B28-B30</f>
        <v>-10</v>
      </c>
      <c r="K31" s="10">
        <f t="shared" ref="K31" si="28">B28-B31</f>
        <v>-15</v>
      </c>
      <c r="L31" s="10">
        <f t="shared" ref="L31" si="29">B28-B32</f>
        <v>-20</v>
      </c>
      <c r="M31" s="10">
        <f t="shared" ref="M31" si="30">B28-B33</f>
        <v>-25</v>
      </c>
      <c r="N31" s="106">
        <f t="shared" ref="N31" si="31">PRODUCT(G31,I31:M31)</f>
        <v>-1875000</v>
      </c>
    </row>
    <row r="32" spans="1:14" ht="15">
      <c r="A32" s="22"/>
      <c r="B32" s="22">
        <v>25</v>
      </c>
      <c r="C32" s="22">
        <v>137.5</v>
      </c>
      <c r="D32" s="22">
        <f t="shared" ref="D32" si="32">L28/N35</f>
        <v>1.2077327103631996</v>
      </c>
      <c r="E32" s="22"/>
      <c r="F32" s="22" t="str">
        <v>x2</v>
      </c>
      <c r="G32" s="34" cm="1">
        <f t="array" ref="G32">-TRANSPOSE(I30)</f>
        <v>10</v>
      </c>
      <c r="H32" s="34" cm="1">
        <f t="array" ref="H32">-TRANSPOSE(I31)</f>
        <v>5</v>
      </c>
      <c r="I32" s="15"/>
      <c r="J32" s="10">
        <f t="shared" ref="J32" si="33">B29-B30</f>
        <v>-5</v>
      </c>
      <c r="K32" s="10">
        <f t="shared" ref="K32" si="34">B29-B31</f>
        <v>-10</v>
      </c>
      <c r="L32" s="10">
        <f t="shared" ref="L32" si="35">B29-B32</f>
        <v>-15</v>
      </c>
      <c r="M32" s="10">
        <f t="shared" ref="M32" si="36">B29-B33</f>
        <v>-20</v>
      </c>
      <c r="N32" s="106">
        <f t="shared" ref="N32" si="37">PRODUCT(G32,H32,J32:M32)</f>
        <v>750000</v>
      </c>
    </row>
    <row r="33" spans="1:14" ht="15">
      <c r="A33" s="22"/>
      <c r="B33" s="22">
        <v>30</v>
      </c>
      <c r="C33" s="22">
        <v>243</v>
      </c>
      <c r="D33" s="118">
        <f t="shared" ref="D33" si="38">M28/N36</f>
        <v>0.39073705335280018</v>
      </c>
      <c r="E33" s="22"/>
      <c r="F33" s="22" t="str">
        <v>x3</v>
      </c>
      <c r="G33" s="34" cm="1">
        <f t="array" ref="G33">-TRANSPOSE(J30)</f>
        <v>15</v>
      </c>
      <c r="H33" s="34" cm="1">
        <f t="array" ref="H33">-TRANSPOSE(J31)</f>
        <v>10</v>
      </c>
      <c r="I33" s="34" cm="1">
        <f t="array" ref="I33">-TRANSPOSE(J32)</f>
        <v>5</v>
      </c>
      <c r="J33" s="15"/>
      <c r="K33" s="10">
        <f t="shared" ref="K33" si="39">B30-B31</f>
        <v>-5</v>
      </c>
      <c r="L33" s="10">
        <f t="shared" ref="L33" si="40">B30-B32</f>
        <v>-10</v>
      </c>
      <c r="M33" s="10">
        <f t="shared" ref="M33" si="41">B30-B33</f>
        <v>-15</v>
      </c>
      <c r="N33" s="106">
        <f t="shared" ref="N33" si="42">PRODUCT(G33:I33,K33:M33)</f>
        <v>-562500</v>
      </c>
    </row>
    <row r="34" spans="1:14" ht="18.600000000000001">
      <c r="A34" s="22"/>
      <c r="B34" s="24">
        <v>28.3</v>
      </c>
      <c r="C34" s="20">
        <f t="shared" ref="C34" si="43">(D27*C27)+(D28*C28)+(D29*C29)+(D30*C30)+(D31*C31)+(D32*C32)+(D33*C33)</f>
        <v>202.62517000000003</v>
      </c>
      <c r="D34" s="25"/>
      <c r="F34" s="30" t="s">
        <v>27</v>
      </c>
      <c r="G34" s="10" cm="1">
        <f t="array" ref="G34">-TRANSPOSE(K30)</f>
        <v>20</v>
      </c>
      <c r="H34" s="34" cm="1">
        <f t="array" ref="H34">-TRANSPOSE(K31)</f>
        <v>15</v>
      </c>
      <c r="I34" s="34" cm="1">
        <f t="array" ref="I34">-TRANSPOSE(K32)</f>
        <v>10</v>
      </c>
      <c r="J34" s="34" cm="1">
        <f t="array" ref="J34">-TRANSPOSE(K33)</f>
        <v>5</v>
      </c>
      <c r="K34" s="15"/>
      <c r="L34" s="10">
        <f t="shared" ref="L34" si="44">B31-B32</f>
        <v>-5</v>
      </c>
      <c r="M34" s="10">
        <f t="shared" ref="M34" si="45">B31-B33</f>
        <v>-10</v>
      </c>
      <c r="N34" s="106">
        <f t="shared" ref="N34" si="46">PRODUCT(G34:J34,L34:M34)</f>
        <v>750000</v>
      </c>
    </row>
    <row r="35" spans="1:14" ht="18.600000000000001">
      <c r="A35" s="22"/>
      <c r="B35" s="22"/>
      <c r="C35" s="22"/>
      <c r="D35" s="22"/>
      <c r="F35" s="30" t="s">
        <v>25</v>
      </c>
      <c r="G35" s="10" cm="1">
        <f t="array" ref="G35">-TRANSPOSE(L30)</f>
        <v>25</v>
      </c>
      <c r="H35" s="34" cm="1">
        <f t="array" ref="H35">-TRANSPOSE(L31)</f>
        <v>20</v>
      </c>
      <c r="I35" s="34" cm="1">
        <f t="array" ref="I35">-TRANSPOSE(L32)</f>
        <v>15</v>
      </c>
      <c r="J35" s="34" cm="1">
        <f t="array" ref="J35">-TRANSPOSE(L33)</f>
        <v>10</v>
      </c>
      <c r="K35" s="34" cm="1">
        <f t="array" ref="K35">-TRANSPOSE(L34)</f>
        <v>5</v>
      </c>
      <c r="L35" s="15"/>
      <c r="M35" s="10">
        <f t="shared" ref="M35" si="47">B32-B33</f>
        <v>-5</v>
      </c>
      <c r="N35" s="106">
        <f t="shared" ref="N35" si="48">PRODUCT(G35:K35,M35)</f>
        <v>-1875000</v>
      </c>
    </row>
    <row r="36" spans="1:14" ht="18.600000000000001">
      <c r="A36" s="22"/>
      <c r="B36" s="22"/>
      <c r="C36" s="22"/>
      <c r="D36" s="22"/>
      <c r="F36" s="30" t="s">
        <v>26</v>
      </c>
      <c r="G36" s="10" cm="1">
        <f t="array" ref="G36">-TRANSPOSE(M30)</f>
        <v>30</v>
      </c>
      <c r="H36" s="34" cm="1">
        <f t="array" ref="H36">-TRANSPOSE(M31)</f>
        <v>25</v>
      </c>
      <c r="I36" s="34" cm="1">
        <f t="array" ref="I36">-TRANSPOSE(M32)</f>
        <v>20</v>
      </c>
      <c r="J36" s="34" cm="1">
        <f t="array" ref="J36">-TRANSPOSE(M33)</f>
        <v>15</v>
      </c>
      <c r="K36" s="34" cm="1">
        <f t="array" ref="K36">-TRANSPOSE(M34)</f>
        <v>10</v>
      </c>
      <c r="L36" s="34" cm="1">
        <f t="array" ref="L36">-TRANSPOSE(M35)</f>
        <v>5</v>
      </c>
      <c r="M36" s="15"/>
      <c r="N36" s="106">
        <f t="shared" ref="N36" si="49">PRODUCT(G36:L36)</f>
        <v>11250000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6CDE-C0CE-4BA5-B847-0419CF7DE6E1}">
  <dimension ref="A1:J29"/>
  <sheetViews>
    <sheetView workbookViewId="0">
      <selection activeCell="H22" sqref="H22"/>
    </sheetView>
  </sheetViews>
  <sheetFormatPr defaultColWidth="10.7109375" defaultRowHeight="14.45"/>
  <cols>
    <col min="1" max="1" width="16.28515625" bestFit="1" customWidth="1"/>
    <col min="2" max="3" width="11" bestFit="1" customWidth="1"/>
    <col min="5" max="5" width="14.7109375" bestFit="1" customWidth="1"/>
    <col min="6" max="10" width="11" bestFit="1" customWidth="1"/>
  </cols>
  <sheetData>
    <row r="1" spans="1:10" ht="15.6">
      <c r="A1" s="3" t="s">
        <v>0</v>
      </c>
      <c r="B1" s="2"/>
      <c r="C1" s="2"/>
    </row>
    <row r="2" spans="1:10" ht="15.6">
      <c r="A2" s="100"/>
      <c r="B2" s="10"/>
      <c r="C2" s="10"/>
      <c r="D2" s="10"/>
      <c r="E2" s="10"/>
      <c r="F2" s="10"/>
      <c r="G2" s="10"/>
      <c r="H2" s="10"/>
      <c r="I2" s="10"/>
      <c r="J2" s="10"/>
    </row>
    <row r="3" spans="1:10" ht="16.149999999999999" thickBot="1">
      <c r="A3" s="100" t="s">
        <v>54</v>
      </c>
      <c r="B3" s="90" t="s">
        <v>2</v>
      </c>
      <c r="C3" s="90" t="s">
        <v>3</v>
      </c>
      <c r="D3" s="10"/>
      <c r="E3" s="10"/>
      <c r="F3" s="10"/>
      <c r="G3" s="10"/>
      <c r="H3" s="10"/>
      <c r="I3" s="10"/>
      <c r="J3" s="10"/>
    </row>
    <row r="4" spans="1:10" ht="15">
      <c r="A4" s="10"/>
      <c r="B4" s="91">
        <v>5</v>
      </c>
      <c r="C4" s="10">
        <v>8.1</v>
      </c>
      <c r="D4" s="10"/>
      <c r="E4" s="36">
        <f>B4^4</f>
        <v>625</v>
      </c>
      <c r="F4" s="36">
        <f>B4^3</f>
        <v>125</v>
      </c>
      <c r="G4" s="36">
        <f>B4^2</f>
        <v>25</v>
      </c>
      <c r="H4" s="36">
        <f>B4</f>
        <v>5</v>
      </c>
      <c r="I4" s="36">
        <v>1</v>
      </c>
      <c r="J4" s="92">
        <f>C4</f>
        <v>8.1</v>
      </c>
    </row>
    <row r="5" spans="1:10" ht="15">
      <c r="A5" s="10"/>
      <c r="B5" s="93">
        <v>10</v>
      </c>
      <c r="C5" s="10">
        <v>15.1</v>
      </c>
      <c r="D5" s="10"/>
      <c r="E5" s="36">
        <f>B5^4</f>
        <v>10000</v>
      </c>
      <c r="F5" s="36">
        <f>B5^3</f>
        <v>1000</v>
      </c>
      <c r="G5" s="36">
        <f>B5^2</f>
        <v>100</v>
      </c>
      <c r="H5" s="36">
        <f>B5</f>
        <v>10</v>
      </c>
      <c r="I5" s="36">
        <v>1</v>
      </c>
      <c r="J5" s="92">
        <f>C5</f>
        <v>15.1</v>
      </c>
    </row>
    <row r="6" spans="1:10" ht="15">
      <c r="A6" s="10"/>
      <c r="B6" s="93">
        <v>15</v>
      </c>
      <c r="C6" s="10">
        <v>21.1</v>
      </c>
      <c r="D6" s="10"/>
      <c r="E6" s="36">
        <f>B6^4</f>
        <v>50625</v>
      </c>
      <c r="F6" s="36">
        <f>B6^3</f>
        <v>3375</v>
      </c>
      <c r="G6" s="36">
        <f>B6^2</f>
        <v>225</v>
      </c>
      <c r="H6" s="36">
        <f>B6</f>
        <v>15</v>
      </c>
      <c r="I6" s="36">
        <v>1</v>
      </c>
      <c r="J6" s="92">
        <f>C6</f>
        <v>21.1</v>
      </c>
    </row>
    <row r="7" spans="1:10" ht="15">
      <c r="A7" s="10"/>
      <c r="B7" s="93">
        <v>20</v>
      </c>
      <c r="C7" s="94">
        <v>25.9</v>
      </c>
      <c r="D7" s="10"/>
      <c r="E7" s="36">
        <f>B7^4</f>
        <v>160000</v>
      </c>
      <c r="F7" s="36">
        <f>B7^3</f>
        <v>8000</v>
      </c>
      <c r="G7" s="36">
        <f>B7^2</f>
        <v>400</v>
      </c>
      <c r="H7" s="36">
        <f>B7</f>
        <v>20</v>
      </c>
      <c r="I7" s="36">
        <v>1</v>
      </c>
      <c r="J7" s="92">
        <f>C7</f>
        <v>25.9</v>
      </c>
    </row>
    <row r="8" spans="1:10" ht="15">
      <c r="A8" s="10"/>
      <c r="B8" s="93">
        <v>25</v>
      </c>
      <c r="C8" s="10">
        <v>29.7</v>
      </c>
      <c r="D8" s="10"/>
      <c r="E8" s="36">
        <f>B8^4</f>
        <v>390625</v>
      </c>
      <c r="F8" s="36">
        <f>B8^3</f>
        <v>15625</v>
      </c>
      <c r="G8" s="36">
        <f>B8^2</f>
        <v>625</v>
      </c>
      <c r="H8" s="36">
        <f>B8</f>
        <v>25</v>
      </c>
      <c r="I8" s="36">
        <v>1</v>
      </c>
      <c r="J8" s="92">
        <f>C8</f>
        <v>29.7</v>
      </c>
    </row>
    <row r="9" spans="1:10" ht="15">
      <c r="A9" s="10"/>
      <c r="B9" s="95">
        <v>17</v>
      </c>
      <c r="C9" s="98">
        <f>E9*B9^4+F9*B9^3+G9*B9^2+H9*B9+I9</f>
        <v>23.161759999999891</v>
      </c>
      <c r="D9" s="10"/>
      <c r="E9" s="97">
        <f t="array" ref="E9:I9">TRANSPOSE(MMULT(MINVERSE(E4:I8),J4:J8))</f>
        <v>2.6666666666667459E-5</v>
      </c>
      <c r="F9" s="83">
        <v>-1.6000000000000042E-3</v>
      </c>
      <c r="G9" s="84">
        <v>1.1333333333332529E-2</v>
      </c>
      <c r="H9" s="83">
        <v>1.4600000000000026</v>
      </c>
      <c r="I9" s="83">
        <v>0.70000000000003482</v>
      </c>
      <c r="J9" s="10"/>
    </row>
    <row r="10" spans="1:10" ht="15">
      <c r="A10" s="10"/>
      <c r="B10" s="10"/>
      <c r="C10" s="10"/>
      <c r="D10" s="10"/>
      <c r="E10" s="10" t="s">
        <v>52</v>
      </c>
      <c r="F10" s="10" t="s">
        <v>9</v>
      </c>
      <c r="G10" s="10" t="s">
        <v>7</v>
      </c>
      <c r="H10" s="10" t="s">
        <v>4</v>
      </c>
      <c r="I10" s="10" t="s">
        <v>5</v>
      </c>
      <c r="J10" s="10"/>
    </row>
    <row r="11" spans="1:10" ht="1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6">
      <c r="A12" s="10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6.149999999999999" thickBot="1">
      <c r="A13" s="100" t="s">
        <v>54</v>
      </c>
      <c r="B13" s="90" t="s">
        <v>3</v>
      </c>
      <c r="C13" s="90" t="s">
        <v>2</v>
      </c>
      <c r="D13" s="10"/>
      <c r="E13" s="10"/>
      <c r="F13" s="10"/>
      <c r="G13" s="10"/>
      <c r="H13" s="10"/>
      <c r="I13" s="10"/>
      <c r="J13" s="10"/>
    </row>
    <row r="14" spans="1:10" ht="15">
      <c r="A14" s="10"/>
      <c r="B14" s="91">
        <v>20.5</v>
      </c>
      <c r="C14" s="10">
        <v>65</v>
      </c>
      <c r="D14" s="10"/>
      <c r="E14" s="36">
        <f>B14^4</f>
        <v>176610.0625</v>
      </c>
      <c r="F14" s="36">
        <f>B14^3</f>
        <v>8615.125</v>
      </c>
      <c r="G14" s="36">
        <f>B14^2</f>
        <v>420.25</v>
      </c>
      <c r="H14" s="36">
        <f>B14</f>
        <v>20.5</v>
      </c>
      <c r="I14" s="36">
        <v>1</v>
      </c>
      <c r="J14" s="92">
        <f>C14</f>
        <v>65</v>
      </c>
    </row>
    <row r="15" spans="1:10" ht="15">
      <c r="A15" s="10"/>
      <c r="B15" s="93">
        <v>14.4</v>
      </c>
      <c r="C15" s="10">
        <v>70</v>
      </c>
      <c r="D15" s="10"/>
      <c r="E15" s="36">
        <f>B15^4</f>
        <v>42998.169600000008</v>
      </c>
      <c r="F15" s="36">
        <f>B15^3</f>
        <v>2985.9840000000004</v>
      </c>
      <c r="G15" s="36">
        <f>B15^2</f>
        <v>207.36</v>
      </c>
      <c r="H15" s="36">
        <f>B15</f>
        <v>14.4</v>
      </c>
      <c r="I15" s="36">
        <v>1</v>
      </c>
      <c r="J15" s="92">
        <f>C15</f>
        <v>70</v>
      </c>
    </row>
    <row r="16" spans="1:10" ht="15">
      <c r="A16" s="10"/>
      <c r="B16" s="93">
        <v>7.3</v>
      </c>
      <c r="C16" s="10">
        <v>75</v>
      </c>
      <c r="D16" s="10"/>
      <c r="E16" s="36">
        <f>B16^4</f>
        <v>2839.8240999999998</v>
      </c>
      <c r="F16" s="36">
        <f>B16^3</f>
        <v>389.017</v>
      </c>
      <c r="G16" s="36">
        <f>B16^2</f>
        <v>53.29</v>
      </c>
      <c r="H16" s="36">
        <f>B16</f>
        <v>7.3</v>
      </c>
      <c r="I16" s="36">
        <v>1</v>
      </c>
      <c r="J16" s="92">
        <f>C16</f>
        <v>75</v>
      </c>
    </row>
    <row r="17" spans="1:10" ht="15">
      <c r="A17" s="10"/>
      <c r="B17" s="96">
        <v>-0.96</v>
      </c>
      <c r="C17" s="10">
        <v>80</v>
      </c>
      <c r="D17" s="10"/>
      <c r="E17" s="99">
        <f>B17^4</f>
        <v>0.84934655999999997</v>
      </c>
      <c r="F17" s="99">
        <f>B17^3</f>
        <v>-0.88473599999999997</v>
      </c>
      <c r="G17" s="36">
        <f>B17^2</f>
        <v>0.92159999999999997</v>
      </c>
      <c r="H17" s="36">
        <f>B17</f>
        <v>-0.96</v>
      </c>
      <c r="I17" s="36">
        <v>1</v>
      </c>
      <c r="J17" s="92">
        <f>C17</f>
        <v>80</v>
      </c>
    </row>
    <row r="18" spans="1:10" ht="15">
      <c r="A18" s="10"/>
      <c r="B18" s="93">
        <v>-10.3</v>
      </c>
      <c r="C18" s="10">
        <v>85</v>
      </c>
      <c r="D18" s="10"/>
      <c r="E18" s="36">
        <f>B18^4</f>
        <v>11255.088100000004</v>
      </c>
      <c r="F18" s="36">
        <f>B18^3</f>
        <v>-1092.7270000000003</v>
      </c>
      <c r="G18" s="36">
        <f>B18^2</f>
        <v>106.09000000000002</v>
      </c>
      <c r="H18" s="36">
        <f>B18</f>
        <v>-10.3</v>
      </c>
      <c r="I18" s="36">
        <v>1</v>
      </c>
      <c r="J18" s="92">
        <f>C18</f>
        <v>85</v>
      </c>
    </row>
    <row r="19" spans="1:10" ht="15">
      <c r="A19" s="10"/>
      <c r="B19" s="98">
        <f>E19*C19^4+F19*C19^3+G19*C19^2+H19*C19+I19</f>
        <v>79.453686032475503</v>
      </c>
      <c r="C19" s="95">
        <v>0</v>
      </c>
      <c r="D19" s="10"/>
      <c r="E19" s="97">
        <f t="array" ref="E19:I19">TRANSPOSE(MMULT(MINVERSE(E14:I18),J14:J18))</f>
        <v>-2.5487276426058945E-7</v>
      </c>
      <c r="F19" s="97">
        <v>-9.7003738264506839E-5</v>
      </c>
      <c r="G19" s="84">
        <v>-4.3386951145973907E-3</v>
      </c>
      <c r="H19" s="84">
        <v>-0.57315302366462784</v>
      </c>
      <c r="I19" s="84">
        <v>79.453686032475503</v>
      </c>
      <c r="J19" s="10"/>
    </row>
    <row r="20" spans="1:10" ht="15">
      <c r="A20" s="10"/>
      <c r="B20" s="10"/>
      <c r="C20" s="10"/>
      <c r="D20" s="10"/>
      <c r="E20" s="10" t="s">
        <v>52</v>
      </c>
      <c r="F20" s="10" t="s">
        <v>9</v>
      </c>
      <c r="G20" s="10" t="s">
        <v>7</v>
      </c>
      <c r="H20" s="10" t="s">
        <v>4</v>
      </c>
      <c r="I20" s="10" t="s">
        <v>5</v>
      </c>
      <c r="J20" s="10"/>
    </row>
    <row r="21" spans="1:10" ht="1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5.6">
      <c r="A22" s="100"/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6.149999999999999" thickBot="1">
      <c r="A23" s="100" t="s">
        <v>6</v>
      </c>
      <c r="B23" s="90" t="s">
        <v>2</v>
      </c>
      <c r="C23" s="90" t="s">
        <v>3</v>
      </c>
      <c r="D23" s="10"/>
      <c r="E23" s="10"/>
      <c r="F23" s="10"/>
      <c r="G23" s="10"/>
      <c r="H23" s="10"/>
      <c r="I23" s="10"/>
      <c r="J23" s="10"/>
    </row>
    <row r="24" spans="1:10" ht="15">
      <c r="A24" s="10"/>
      <c r="B24" s="91">
        <v>0</v>
      </c>
      <c r="C24" s="10">
        <v>0</v>
      </c>
      <c r="D24" s="10"/>
      <c r="E24" s="36">
        <f t="shared" ref="E24:E26" si="0">B24^2</f>
        <v>0</v>
      </c>
      <c r="F24" s="36">
        <f t="shared" ref="F24:F26" si="1">B24</f>
        <v>0</v>
      </c>
      <c r="G24" s="36">
        <v>1</v>
      </c>
      <c r="H24" s="92">
        <f t="shared" ref="H24:H26" si="2">C24</f>
        <v>0</v>
      </c>
      <c r="I24" s="10"/>
      <c r="J24" s="10"/>
    </row>
    <row r="25" spans="1:10" ht="15">
      <c r="A25" s="10"/>
      <c r="B25" s="93">
        <v>15</v>
      </c>
      <c r="C25" s="10">
        <v>21.1</v>
      </c>
      <c r="D25" s="10"/>
      <c r="E25" s="36">
        <f t="shared" si="0"/>
        <v>225</v>
      </c>
      <c r="F25" s="36">
        <f t="shared" si="1"/>
        <v>15</v>
      </c>
      <c r="G25" s="36">
        <v>1</v>
      </c>
      <c r="H25" s="92">
        <f t="shared" si="2"/>
        <v>21.1</v>
      </c>
      <c r="I25" s="10"/>
      <c r="J25" s="10"/>
    </row>
    <row r="26" spans="1:10" ht="15">
      <c r="A26" s="10"/>
      <c r="B26" s="93">
        <v>30</v>
      </c>
      <c r="C26" s="10">
        <v>32.299999999999997</v>
      </c>
      <c r="D26" s="10"/>
      <c r="E26" s="36">
        <f t="shared" si="0"/>
        <v>900</v>
      </c>
      <c r="F26" s="36">
        <f t="shared" si="1"/>
        <v>30</v>
      </c>
      <c r="G26" s="36">
        <v>1</v>
      </c>
      <c r="H26" s="92">
        <f t="shared" si="2"/>
        <v>32.299999999999997</v>
      </c>
      <c r="I26" s="10"/>
      <c r="J26" s="10"/>
    </row>
    <row r="27" spans="1:10" ht="15">
      <c r="A27" s="10"/>
      <c r="B27" s="95">
        <v>17</v>
      </c>
      <c r="C27" s="98">
        <f>E27*B27^2+F27*B27+G27</f>
        <v>23.165333333333336</v>
      </c>
      <c r="D27" s="10"/>
      <c r="E27" s="83">
        <f t="array" ref="E27:G27">TRANSPOSE(MMULT(MINVERSE(E24:G26),H24:H26))</f>
        <v>-2.2000000000000006E-2</v>
      </c>
      <c r="F27" s="84">
        <v>1.7366666666666668</v>
      </c>
      <c r="G27" s="83">
        <v>0</v>
      </c>
      <c r="H27" s="10"/>
      <c r="I27" s="10"/>
      <c r="J27" s="10"/>
    </row>
    <row r="28" spans="1:10" ht="15">
      <c r="A28" s="10"/>
      <c r="B28" s="10" t="s">
        <v>55</v>
      </c>
      <c r="C28" s="75">
        <v>23.161759999999891</v>
      </c>
      <c r="D28" s="10"/>
      <c r="E28" s="10" t="s">
        <v>7</v>
      </c>
      <c r="F28" s="10" t="s">
        <v>4</v>
      </c>
      <c r="G28" s="10" t="s">
        <v>5</v>
      </c>
      <c r="H28" s="10"/>
      <c r="I28" s="10"/>
      <c r="J28" s="10"/>
    </row>
    <row r="29" spans="1:10" ht="15">
      <c r="A29" s="10"/>
      <c r="B29" s="10" t="s">
        <v>56</v>
      </c>
      <c r="C29" s="75">
        <f>ABS(C27 - C28)</f>
        <v>3.5733333334455608E-3</v>
      </c>
      <c r="D29" s="10"/>
      <c r="E29" s="10"/>
      <c r="F29" s="10"/>
      <c r="G29" s="10"/>
      <c r="H29" s="10"/>
      <c r="I29" s="10"/>
      <c r="J29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7D9F-AB1A-495E-9274-8EA560DB9FAF}">
  <dimension ref="A1:K23"/>
  <sheetViews>
    <sheetView zoomScaleNormal="80" zoomScaleSheetLayoutView="100" workbookViewId="0">
      <selection activeCell="I16" sqref="I16"/>
    </sheetView>
  </sheetViews>
  <sheetFormatPr defaultColWidth="8.85546875" defaultRowHeight="14.45"/>
  <cols>
    <col min="1" max="1" width="13.28515625" bestFit="1" customWidth="1"/>
    <col min="2" max="2" width="8.5703125" customWidth="1"/>
    <col min="3" max="4" width="9" customWidth="1"/>
    <col min="5" max="5" width="10.42578125" customWidth="1"/>
    <col min="7" max="7" width="10.140625" bestFit="1" customWidth="1"/>
    <col min="8" max="8" width="11.42578125" bestFit="1" customWidth="1"/>
    <col min="9" max="13" width="10.140625" bestFit="1" customWidth="1"/>
    <col min="16384" max="16384" width="11.42578125" bestFit="1" customWidth="1"/>
  </cols>
  <sheetData>
    <row r="1" spans="1:11" ht="15.6">
      <c r="A1" s="12" t="s">
        <v>10</v>
      </c>
      <c r="B1" s="10"/>
      <c r="C1" s="10"/>
      <c r="D1" s="10"/>
      <c r="E1" s="10"/>
      <c r="F1" s="10"/>
      <c r="G1" s="10"/>
      <c r="H1" s="10"/>
      <c r="I1" s="10"/>
    </row>
    <row r="2" spans="1:11" ht="18.600000000000001">
      <c r="A2" s="10" t="s">
        <v>8</v>
      </c>
      <c r="B2" s="11" t="s">
        <v>2</v>
      </c>
      <c r="C2" s="11" t="s">
        <v>3</v>
      </c>
      <c r="D2" s="27" t="s">
        <v>11</v>
      </c>
      <c r="F2" s="10"/>
      <c r="G2" s="11" t="s">
        <v>12</v>
      </c>
      <c r="H2" s="11" t="s">
        <v>13</v>
      </c>
      <c r="I2" s="11" t="s">
        <v>14</v>
      </c>
      <c r="J2" s="11" t="s">
        <v>15</v>
      </c>
    </row>
    <row r="3" spans="1:11" ht="15">
      <c r="A3" s="10"/>
      <c r="B3" s="10">
        <v>4.5679999999999996</v>
      </c>
      <c r="C3" s="10">
        <v>0.3</v>
      </c>
      <c r="D3" s="10">
        <f>G4/K6</f>
        <v>5.653881543979148E-2</v>
      </c>
      <c r="F3" s="10"/>
      <c r="G3" s="75">
        <f>B7-B3</f>
        <v>-1.2679999999999998</v>
      </c>
      <c r="H3" s="75">
        <f>B7-B4</f>
        <v>0.17399999999999993</v>
      </c>
      <c r="I3" s="75">
        <f>B7-B5</f>
        <v>-0.26200000000000001</v>
      </c>
      <c r="J3" s="75">
        <f>B7-B6</f>
        <v>-0.81500000000000039</v>
      </c>
    </row>
    <row r="4" spans="1:11" ht="15">
      <c r="A4" s="10"/>
      <c r="B4" s="10">
        <v>3.1259999999999999</v>
      </c>
      <c r="C4" s="26">
        <v>0.7</v>
      </c>
      <c r="D4" s="21">
        <f>H4/K7</f>
        <v>0.43544179577510694</v>
      </c>
      <c r="F4" s="10"/>
      <c r="G4" s="33">
        <f>PRODUCT(H3,I3,J3)</f>
        <v>3.7154220000000002E-2</v>
      </c>
      <c r="H4" s="33">
        <f>PRODUCT(G3,I3,J3)</f>
        <v>-0.27075604000000009</v>
      </c>
      <c r="I4" s="33">
        <f>PRODUCT(H3,G3,J3)</f>
        <v>0.17981507999999999</v>
      </c>
      <c r="J4" s="33">
        <f>PRODUCT(G3,H3,I3)</f>
        <v>5.7805583999999972E-2</v>
      </c>
    </row>
    <row r="5" spans="1:11" ht="18.600000000000001">
      <c r="A5" s="10"/>
      <c r="B5" s="10">
        <v>3.5619999999999998</v>
      </c>
      <c r="C5" s="10">
        <v>1.2</v>
      </c>
      <c r="D5" s="10">
        <f>I4/K8</f>
        <v>0.74133842201201583</v>
      </c>
      <c r="F5" s="28"/>
      <c r="G5" s="27" t="s">
        <v>16</v>
      </c>
      <c r="H5" s="27" t="s">
        <v>17</v>
      </c>
      <c r="I5" s="27" t="s">
        <v>18</v>
      </c>
      <c r="J5" s="27" t="s">
        <v>19</v>
      </c>
    </row>
    <row r="6" spans="1:11" ht="15">
      <c r="A6" s="10"/>
      <c r="B6" s="10">
        <v>4.1150000000000002</v>
      </c>
      <c r="C6" s="10">
        <v>1.4</v>
      </c>
      <c r="D6" s="10">
        <f>J4/K9</f>
        <v>-0.23331903322691416</v>
      </c>
      <c r="F6" s="37" t="str" cm="1">
        <f t="array" ref="F6:F9">TRANSPOSE(G5:J5)</f>
        <v>x0</v>
      </c>
      <c r="G6" s="15"/>
      <c r="H6" s="10">
        <f>B3-B4</f>
        <v>1.4419999999999997</v>
      </c>
      <c r="I6" s="10">
        <f>B3-B5</f>
        <v>1.0059999999999998</v>
      </c>
      <c r="J6" s="10">
        <f>B3-B6</f>
        <v>0.4529999999999994</v>
      </c>
      <c r="K6" s="80">
        <f>PRODUCT(H6,J6,I6)</f>
        <v>0.65714535599999879</v>
      </c>
    </row>
    <row r="7" spans="1:11" ht="15.6">
      <c r="A7" s="10"/>
      <c r="B7" s="16">
        <v>3.3</v>
      </c>
      <c r="C7" s="20">
        <f>(D3*C3)+(D4*C4)+(D5*C5)+(D6*C6)</f>
        <v>0.8847303615712514</v>
      </c>
      <c r="D7" s="17"/>
      <c r="F7" s="37" t="str">
        <v>x1</v>
      </c>
      <c r="G7" s="10" cm="1">
        <f t="array" ref="G7">-TRANSPOSE(H6)</f>
        <v>-1.4419999999999997</v>
      </c>
      <c r="H7" s="15"/>
      <c r="I7" s="10">
        <f>B4-B5</f>
        <v>-0.43599999999999994</v>
      </c>
      <c r="J7" s="10">
        <f>B4-B6</f>
        <v>-0.98900000000000032</v>
      </c>
      <c r="K7" s="80">
        <f>PRODUCT(G7:J7)</f>
        <v>-0.62179616800000004</v>
      </c>
    </row>
    <row r="8" spans="1:11" ht="15">
      <c r="A8" s="10"/>
      <c r="B8" s="10"/>
      <c r="C8" s="10"/>
      <c r="D8" s="10"/>
      <c r="F8" s="37" t="str">
        <v>x2</v>
      </c>
      <c r="G8" s="10" cm="1">
        <f t="array" ref="G8">-TRANSPOSE(I6)</f>
        <v>-1.0059999999999998</v>
      </c>
      <c r="H8" s="10" cm="1">
        <f t="array" ref="H8">-TRANSPOSE(I7)</f>
        <v>0.43599999999999994</v>
      </c>
      <c r="I8" s="15"/>
      <c r="J8" s="10">
        <f>B5-B6</f>
        <v>-0.55300000000000038</v>
      </c>
      <c r="K8" s="80">
        <f>PRODUCT(G8:J8)</f>
        <v>0.24255464800000007</v>
      </c>
    </row>
    <row r="9" spans="1:11" ht="15">
      <c r="A9" s="10"/>
      <c r="B9" s="10"/>
      <c r="C9" s="10"/>
      <c r="D9" s="10"/>
      <c r="F9" s="37" t="str">
        <v>x3</v>
      </c>
      <c r="G9" s="10" cm="1">
        <f t="array" ref="G9">-TRANSPOSE(J6)</f>
        <v>-0.4529999999999994</v>
      </c>
      <c r="H9" s="10" cm="1">
        <f t="array" ref="H9">-TRANSPOSE(J7)</f>
        <v>0.98900000000000032</v>
      </c>
      <c r="I9" s="10" cm="1">
        <f t="array" ref="I9">-TRANSPOSE(J8)</f>
        <v>0.55300000000000038</v>
      </c>
      <c r="J9" s="15"/>
      <c r="K9" s="80">
        <f>PRODUCT(G9:J9)</f>
        <v>-0.24775340099999993</v>
      </c>
    </row>
    <row r="10" spans="1:11">
      <c r="B10" s="13"/>
      <c r="C10" s="13"/>
      <c r="D10" s="13"/>
      <c r="E10" s="13"/>
      <c r="F10" s="13"/>
      <c r="G10" s="13"/>
      <c r="H10" s="13"/>
      <c r="I10" s="13"/>
    </row>
    <row r="22" spans="1:1" ht="15">
      <c r="A22" s="22"/>
    </row>
    <row r="23" spans="1:1" ht="15">
      <c r="A23" s="2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414C-9D82-4BFB-98A7-E358995FE76C}">
  <dimension ref="A1:I24"/>
  <sheetViews>
    <sheetView workbookViewId="0">
      <selection activeCell="A2" sqref="A2:G12"/>
    </sheetView>
  </sheetViews>
  <sheetFormatPr defaultColWidth="11.42578125" defaultRowHeight="14.45"/>
  <cols>
    <col min="1" max="1" width="12.140625" bestFit="1" customWidth="1"/>
    <col min="2" max="2" width="4.7109375" bestFit="1" customWidth="1"/>
    <col min="3" max="3" width="9" bestFit="1" customWidth="1"/>
    <col min="4" max="4" width="10.28515625" customWidth="1"/>
    <col min="5" max="7" width="13.140625" bestFit="1" customWidth="1"/>
  </cols>
  <sheetData>
    <row r="1" spans="1:9" ht="15.6">
      <c r="A1" s="12" t="s">
        <v>57</v>
      </c>
      <c r="B1" s="10"/>
      <c r="C1" s="10"/>
      <c r="D1" s="10"/>
      <c r="E1" s="10">
        <v>177.4838</v>
      </c>
    </row>
    <row r="2" spans="1:9" ht="15">
      <c r="A2" s="11" t="s">
        <v>58</v>
      </c>
      <c r="B2" s="11" t="s">
        <v>2</v>
      </c>
      <c r="C2" s="11" t="s">
        <v>3</v>
      </c>
      <c r="D2" s="11" t="s">
        <v>59</v>
      </c>
      <c r="E2" s="11" t="s">
        <v>60</v>
      </c>
      <c r="F2" s="11" t="s">
        <v>61</v>
      </c>
      <c r="G2" s="11" t="s">
        <v>62</v>
      </c>
    </row>
    <row r="3" spans="1:9" ht="15">
      <c r="A3" s="10">
        <v>0.5</v>
      </c>
      <c r="B3" s="10">
        <v>3</v>
      </c>
      <c r="C3" s="75">
        <f t="shared" ref="C3:C11" si="0">B3^2*LN(B3)</f>
        <v>9.8875105980129874</v>
      </c>
      <c r="D3" s="75"/>
      <c r="E3" s="76"/>
    </row>
    <row r="4" spans="1:9" ht="15">
      <c r="A4" s="10"/>
      <c r="B4" s="10">
        <f>B3+A3</f>
        <v>3.5</v>
      </c>
      <c r="C4" s="75">
        <f t="shared" si="0"/>
        <v>15.346346364068259</v>
      </c>
      <c r="D4" s="33">
        <f t="shared" ref="D4:D11" si="1">(($C3+$C4)*$A$3)/2</f>
        <v>6.308464240520312</v>
      </c>
      <c r="E4" s="76"/>
    </row>
    <row r="5" spans="1:9" ht="15">
      <c r="A5" s="10"/>
      <c r="B5" s="10">
        <f>B4+A3</f>
        <v>4</v>
      </c>
      <c r="C5" s="75">
        <f t="shared" si="0"/>
        <v>22.180709777918249</v>
      </c>
      <c r="D5" s="33">
        <f t="shared" si="1"/>
        <v>9.3817640354966265</v>
      </c>
      <c r="E5" s="54">
        <f>($C3+4*$C4+$C5)*$A$3/3</f>
        <v>15.575600972034046</v>
      </c>
      <c r="G5" s="54">
        <f>($C3+4*$C4+$C5)*$A$3/3</f>
        <v>15.575600972034046</v>
      </c>
    </row>
    <row r="6" spans="1:9" ht="15">
      <c r="A6" s="10"/>
      <c r="B6" s="10">
        <f>B5+A3</f>
        <v>4.5</v>
      </c>
      <c r="C6" s="75">
        <f t="shared" si="0"/>
        <v>30.457567284719552</v>
      </c>
      <c r="D6" s="33">
        <f t="shared" si="1"/>
        <v>13.159569265659449</v>
      </c>
      <c r="F6" s="80">
        <f>($C3+3*$C4+3*$C5+$C6)*3*$A$3/8</f>
        <v>28.673671182879758</v>
      </c>
    </row>
    <row r="7" spans="1:9" ht="15.6">
      <c r="A7" s="10"/>
      <c r="B7" s="10">
        <f>B6+A3</f>
        <v>5</v>
      </c>
      <c r="C7" s="75">
        <f t="shared" si="0"/>
        <v>40.235947810852508</v>
      </c>
      <c r="D7" s="33">
        <f t="shared" si="1"/>
        <v>17.673378773893013</v>
      </c>
      <c r="E7" s="78">
        <f>($C5+4*$C6+$C7)*$A$3/3</f>
        <v>30.707821121274829</v>
      </c>
      <c r="F7" s="74"/>
    </row>
    <row r="8" spans="1:9" ht="15.6">
      <c r="A8" s="10"/>
      <c r="B8" s="10">
        <f>B7+A3</f>
        <v>5.5</v>
      </c>
      <c r="C8" s="75">
        <f t="shared" si="0"/>
        <v>51.568629790212363</v>
      </c>
      <c r="D8" s="33">
        <f t="shared" si="1"/>
        <v>22.951144400266216</v>
      </c>
      <c r="F8" s="74"/>
      <c r="G8" s="80">
        <f>($C5+3*$C6+3*$C7+$C8)*3*$A$3/8</f>
        <v>53.593103410283774</v>
      </c>
    </row>
    <row r="9" spans="1:9" ht="15">
      <c r="A9" s="10"/>
      <c r="B9" s="10">
        <f>B8+A3</f>
        <v>6</v>
      </c>
      <c r="C9" s="75">
        <f t="shared" si="0"/>
        <v>64.503340892209977</v>
      </c>
      <c r="D9" s="33">
        <f t="shared" si="1"/>
        <v>29.017992670605587</v>
      </c>
      <c r="E9" s="79">
        <f>($C7+4*$C8+$C9)*$A$3/3</f>
        <v>51.835634643985323</v>
      </c>
      <c r="F9" s="80">
        <f>($C6+3*$C7+3*$C8+$C9)*3*$A$3/8</f>
        <v>69.445245183773267</v>
      </c>
    </row>
    <row r="10" spans="1:9" ht="15">
      <c r="A10" s="10"/>
      <c r="B10" s="10">
        <f>B9+A3</f>
        <v>6.5</v>
      </c>
      <c r="C10" s="75">
        <f t="shared" si="0"/>
        <v>79.083641974092231</v>
      </c>
      <c r="D10" s="33">
        <f t="shared" si="1"/>
        <v>35.896745716575552</v>
      </c>
      <c r="E10" s="76"/>
    </row>
    <row r="11" spans="1:9" ht="15">
      <c r="A11" s="10"/>
      <c r="B11" s="10">
        <f>B10+A3</f>
        <v>7</v>
      </c>
      <c r="C11" s="75">
        <f t="shared" si="0"/>
        <v>95.349597303710354</v>
      </c>
      <c r="D11" s="33">
        <f t="shared" si="1"/>
        <v>43.608309819450646</v>
      </c>
      <c r="E11" s="54">
        <f>($C9+4*$C10+$C11)*$A$3/3</f>
        <v>79.364584348714871</v>
      </c>
      <c r="F11" s="80">
        <f>($C9+4*$C10+$C11)*$A$3/3</f>
        <v>79.364584348714871</v>
      </c>
      <c r="G11" s="80">
        <f>($C8+3*$C9+3*$C10+$C11)*3*$A$3/8</f>
        <v>108.3148454424055</v>
      </c>
    </row>
    <row r="12" spans="1:9" ht="15.6">
      <c r="A12" s="1"/>
      <c r="B12" s="1"/>
      <c r="C12" s="76"/>
      <c r="D12" s="77">
        <f>SUM(D4:D11)</f>
        <v>177.99736892246739</v>
      </c>
      <c r="E12" s="77">
        <f>SUM(E5:E11)</f>
        <v>177.48364108600907</v>
      </c>
      <c r="F12" s="77">
        <f>SUM(F5:F11)</f>
        <v>177.48350071536788</v>
      </c>
      <c r="G12" s="77">
        <f>SUM(G5:G11)</f>
        <v>177.48354982472333</v>
      </c>
    </row>
    <row r="14" spans="1:9" ht="15">
      <c r="E14" s="10">
        <v>36.379899999999999</v>
      </c>
    </row>
    <row r="15" spans="1:9" ht="15">
      <c r="A15" s="11" t="s">
        <v>58</v>
      </c>
      <c r="B15" s="11" t="s">
        <v>2</v>
      </c>
      <c r="C15" s="11" t="s">
        <v>3</v>
      </c>
      <c r="D15" s="11" t="s">
        <v>59</v>
      </c>
      <c r="E15" s="11" t="s">
        <v>60</v>
      </c>
      <c r="F15" s="11" t="s">
        <v>61</v>
      </c>
      <c r="G15" s="11" t="s">
        <v>62</v>
      </c>
      <c r="H15" s="11" t="s">
        <v>62</v>
      </c>
      <c r="I15" s="11" t="s">
        <v>62</v>
      </c>
    </row>
    <row r="16" spans="1:9" ht="15">
      <c r="A16" s="10">
        <v>0.5</v>
      </c>
      <c r="B16" s="10">
        <v>0</v>
      </c>
      <c r="C16" s="75">
        <f t="shared" ref="C16:C23" si="2">EXP(0.25*B16)*(B16^2+SIN(B16)+1)</f>
        <v>1</v>
      </c>
      <c r="D16" s="75"/>
      <c r="E16" s="76"/>
    </row>
    <row r="17" spans="1:9" ht="15">
      <c r="A17" s="10"/>
      <c r="B17" s="10">
        <f>B16+A16</f>
        <v>0.5</v>
      </c>
      <c r="C17" s="75">
        <f t="shared" si="2"/>
        <v>1.9596958737636156</v>
      </c>
      <c r="D17" s="33">
        <f t="shared" ref="D17:D23" si="3">(($C16+$C17)*$A$3)/2</f>
        <v>0.73992396844090391</v>
      </c>
      <c r="E17" s="76"/>
      <c r="I17" s="33">
        <f>(($C16+$C17)*$A$3)/2</f>
        <v>0.73992396844090391</v>
      </c>
    </row>
    <row r="18" spans="1:9" ht="15">
      <c r="A18" s="10"/>
      <c r="B18" s="10">
        <f>B17+A16</f>
        <v>1</v>
      </c>
      <c r="C18" s="75">
        <f t="shared" si="2"/>
        <v>3.6485209652740864</v>
      </c>
      <c r="D18" s="33">
        <f t="shared" si="3"/>
        <v>1.4020542097594255</v>
      </c>
      <c r="E18" s="54">
        <f>($C16+4*$C17+$C18)*$A$3/3</f>
        <v>2.0812174100547582</v>
      </c>
      <c r="G18" s="54">
        <f>($C16+4*$C17+$C18)*$A$3/3</f>
        <v>2.0812174100547582</v>
      </c>
    </row>
    <row r="19" spans="1:9" ht="15">
      <c r="A19" s="10"/>
      <c r="B19" s="10">
        <f>B18+A16</f>
        <v>1.5</v>
      </c>
      <c r="C19" s="75">
        <f t="shared" si="2"/>
        <v>6.1800687391427518</v>
      </c>
      <c r="D19" s="33">
        <f t="shared" si="3"/>
        <v>2.4571474261042097</v>
      </c>
      <c r="F19" s="80">
        <f>($C16+3*$C17+3*$C18+$C19)*3*$A$3/8</f>
        <v>4.5008848605479734</v>
      </c>
      <c r="H19" s="80">
        <f>($C16+3*$C17+3*$C18+$C19)*3*$A$3/8</f>
        <v>4.5008848605479734</v>
      </c>
      <c r="I19" s="54">
        <f>($C17+4*$C18+$C19)*$A$3/3</f>
        <v>3.7889747456671188</v>
      </c>
    </row>
    <row r="20" spans="1:9" ht="15.6">
      <c r="A20" s="10"/>
      <c r="B20" s="10">
        <f>B19+A16</f>
        <v>2</v>
      </c>
      <c r="C20" s="75">
        <f t="shared" si="2"/>
        <v>9.7427843625010357</v>
      </c>
      <c r="D20" s="33">
        <f t="shared" si="3"/>
        <v>3.9807132754109471</v>
      </c>
      <c r="E20" s="78">
        <f>($C18+4*$C19+$C20)*$A$3/3</f>
        <v>6.3519300473910221</v>
      </c>
      <c r="F20" s="74"/>
    </row>
    <row r="21" spans="1:9" ht="15.6">
      <c r="A21" s="10"/>
      <c r="B21" s="10">
        <f>B20+A16</f>
        <v>2.5</v>
      </c>
      <c r="C21" s="75">
        <f t="shared" si="2"/>
        <v>14.662876355241623</v>
      </c>
      <c r="D21" s="33">
        <f t="shared" si="3"/>
        <v>6.1014151794356648</v>
      </c>
      <c r="F21" s="74"/>
      <c r="G21" s="80">
        <f>($C18+3*$C19+3*$C20+$C21)*3*$A$3/8</f>
        <v>12.389991867271327</v>
      </c>
      <c r="H21" s="54">
        <f>($C19+4*$C20+$C21)*$A$3/3</f>
        <v>9.9690137573980859</v>
      </c>
      <c r="I21" s="54">
        <f>($C19+4*$C20+$C21)*$A$3/3</f>
        <v>9.9690137573980859</v>
      </c>
    </row>
    <row r="22" spans="1:9" ht="15">
      <c r="A22" s="10"/>
      <c r="B22" s="10">
        <f>B21+A16</f>
        <v>3</v>
      </c>
      <c r="C22" s="75">
        <f t="shared" si="2"/>
        <v>21.468751225533865</v>
      </c>
      <c r="D22" s="33">
        <f t="shared" si="3"/>
        <v>9.0329068951938716</v>
      </c>
      <c r="E22" s="79">
        <f>($C20+4*$C21+$C22)*$A$3/3</f>
        <v>14.977173501500232</v>
      </c>
      <c r="F22" s="80">
        <f>($C19+3*$C20+3*$C21+$C22)*3*$A$3/8</f>
        <v>18.912337897107115</v>
      </c>
    </row>
    <row r="23" spans="1:9" ht="15">
      <c r="A23" s="10"/>
      <c r="B23" s="10">
        <f>B22+A16</f>
        <v>3.5</v>
      </c>
      <c r="C23" s="75">
        <f t="shared" si="2"/>
        <v>30.943612426621385</v>
      </c>
      <c r="D23" s="33">
        <f t="shared" si="3"/>
        <v>13.103090913038812</v>
      </c>
      <c r="E23" s="33">
        <f>(($C22+$C23)*$A$3)/2</f>
        <v>13.103090913038812</v>
      </c>
      <c r="F23" s="33">
        <f>(($C22+$C23)*$A$3)/2</f>
        <v>13.103090913038812</v>
      </c>
      <c r="G23" s="79">
        <f>($C21+4*$C22+$C23)*$A$3/3</f>
        <v>21.913582280666407</v>
      </c>
      <c r="H23" s="54">
        <f>($C21+4*$C22+$C23)*$A$3/3</f>
        <v>21.913582280666407</v>
      </c>
      <c r="I23" s="54">
        <f>($C21+4*$C22+$C23)*$A$3/3</f>
        <v>21.913582280666407</v>
      </c>
    </row>
    <row r="24" spans="1:9" ht="15.6">
      <c r="A24" s="1"/>
      <c r="B24" s="1"/>
      <c r="C24" s="76"/>
      <c r="D24" s="77">
        <f>SUM(D17:D23)</f>
        <v>36.817251867383831</v>
      </c>
      <c r="E24" s="77">
        <f>SUM(E18:E23)</f>
        <v>36.513411871984829</v>
      </c>
      <c r="F24" s="77">
        <f>SUM(F18:F23)</f>
        <v>36.516313670693904</v>
      </c>
      <c r="G24" s="77">
        <f>SUM(G18:G23)</f>
        <v>36.384791557992493</v>
      </c>
      <c r="H24" s="77">
        <f t="shared" ref="H24:I24" si="4">SUM(H18:H23)</f>
        <v>36.383480898612468</v>
      </c>
      <c r="I24" s="77">
        <f t="shared" si="4"/>
        <v>35.67157078373161</v>
      </c>
    </row>
  </sheetData>
  <phoneticPr fontId="2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0F2F-E6C5-4FBC-83ED-50907A9CE5CA}">
  <dimension ref="A1:H26"/>
  <sheetViews>
    <sheetView tabSelected="1" topLeftCell="A12" workbookViewId="0">
      <selection activeCell="G22" sqref="G22"/>
    </sheetView>
  </sheetViews>
  <sheetFormatPr defaultColWidth="11.42578125" defaultRowHeight="14.45"/>
  <cols>
    <col min="1" max="1" width="12.140625" bestFit="1" customWidth="1"/>
    <col min="2" max="2" width="4.7109375" bestFit="1" customWidth="1"/>
    <col min="3" max="3" width="10.28515625" bestFit="1" customWidth="1"/>
    <col min="4" max="4" width="11.42578125" bestFit="1" customWidth="1"/>
    <col min="5" max="7" width="13.140625" bestFit="1" customWidth="1"/>
  </cols>
  <sheetData>
    <row r="1" spans="1:8" ht="15.6">
      <c r="A1" s="12" t="s">
        <v>57</v>
      </c>
      <c r="B1" s="10"/>
      <c r="C1" s="10"/>
      <c r="D1" s="10"/>
    </row>
    <row r="2" spans="1:8" ht="15.6">
      <c r="A2" s="100" t="s">
        <v>63</v>
      </c>
      <c r="E2" s="10"/>
    </row>
    <row r="3" spans="1:8" ht="15">
      <c r="A3" s="11" t="s">
        <v>58</v>
      </c>
      <c r="B3" s="11" t="s">
        <v>2</v>
      </c>
      <c r="C3" s="11" t="s">
        <v>3</v>
      </c>
      <c r="D3" s="11" t="s">
        <v>59</v>
      </c>
      <c r="E3" s="11" t="s">
        <v>60</v>
      </c>
      <c r="F3" s="11" t="s">
        <v>61</v>
      </c>
      <c r="G3" s="11" t="s">
        <v>62</v>
      </c>
    </row>
    <row r="4" spans="1:8" ht="15">
      <c r="A4" s="10">
        <v>1</v>
      </c>
      <c r="B4" s="10">
        <v>1</v>
      </c>
      <c r="C4" s="101">
        <v>-4</v>
      </c>
      <c r="D4" s="75"/>
      <c r="E4" s="76"/>
    </row>
    <row r="5" spans="1:8" ht="15">
      <c r="A5" s="10">
        <v>2</v>
      </c>
      <c r="B5" s="10">
        <v>2</v>
      </c>
      <c r="C5" s="101">
        <v>6</v>
      </c>
      <c r="D5" s="104">
        <f t="shared" ref="D5:D12" si="0">(($C4+$C5)*$A$4)/2</f>
        <v>1</v>
      </c>
      <c r="E5" s="76"/>
    </row>
    <row r="6" spans="1:8" ht="15">
      <c r="A6" s="10">
        <v>3</v>
      </c>
      <c r="B6" s="10">
        <v>3</v>
      </c>
      <c r="C6" s="101">
        <v>18</v>
      </c>
      <c r="D6" s="104">
        <f t="shared" si="0"/>
        <v>12</v>
      </c>
      <c r="E6" s="54">
        <f>($C4+4*$C5+$C6)*$A$4/3</f>
        <v>12.666666666666666</v>
      </c>
      <c r="G6" s="54">
        <f>($C4+4*$C5+$C6)*$A$4/3</f>
        <v>12.666666666666666</v>
      </c>
    </row>
    <row r="7" spans="1:8" ht="15">
      <c r="A7" s="10">
        <v>4</v>
      </c>
      <c r="B7" s="10">
        <v>4</v>
      </c>
      <c r="C7" s="101">
        <v>32</v>
      </c>
      <c r="D7" s="104">
        <f t="shared" si="0"/>
        <v>25</v>
      </c>
      <c r="F7" s="80">
        <f>($C4+3*$C5+3*$C6+$C7)*3*$A$4/8</f>
        <v>37.5</v>
      </c>
    </row>
    <row r="8" spans="1:8" ht="15.6">
      <c r="A8" s="10">
        <v>5</v>
      </c>
      <c r="B8" s="10">
        <v>5</v>
      </c>
      <c r="C8" s="101">
        <v>48</v>
      </c>
      <c r="D8" s="104">
        <f t="shared" si="0"/>
        <v>40</v>
      </c>
      <c r="E8" s="78">
        <f>($C6+4*$C7+$C8)*$A$4/3</f>
        <v>64.666666666666671</v>
      </c>
      <c r="F8" s="74"/>
    </row>
    <row r="9" spans="1:8" ht="15.6">
      <c r="A9" s="10">
        <v>6</v>
      </c>
      <c r="B9" s="10">
        <v>6</v>
      </c>
      <c r="C9" s="101">
        <v>66</v>
      </c>
      <c r="D9" s="104">
        <f t="shared" si="0"/>
        <v>57</v>
      </c>
      <c r="F9" s="74"/>
      <c r="G9" s="80">
        <f>($C6+3*$C7+3*$C8+$C9)*3*$A$4/8</f>
        <v>121.5</v>
      </c>
    </row>
    <row r="10" spans="1:8" ht="15">
      <c r="A10" s="10">
        <v>7</v>
      </c>
      <c r="B10" s="10">
        <v>7</v>
      </c>
      <c r="C10" s="101">
        <v>86</v>
      </c>
      <c r="D10" s="104">
        <f t="shared" si="0"/>
        <v>76</v>
      </c>
      <c r="E10" s="79">
        <f>($C8+4*$C9+$C10)*$A$4/3</f>
        <v>132.66666666666666</v>
      </c>
      <c r="F10" s="80">
        <f>($C7+3*$C8+3*$C9+$C10)*3*$A$4/8</f>
        <v>172.5</v>
      </c>
    </row>
    <row r="11" spans="1:8" ht="15">
      <c r="A11" s="10">
        <v>8</v>
      </c>
      <c r="B11" s="10">
        <v>8</v>
      </c>
      <c r="C11" s="101">
        <v>108</v>
      </c>
      <c r="D11" s="104">
        <f t="shared" si="0"/>
        <v>97</v>
      </c>
      <c r="E11" s="76"/>
    </row>
    <row r="12" spans="1:8" ht="15">
      <c r="A12" s="10">
        <v>9</v>
      </c>
      <c r="B12" s="10">
        <v>9</v>
      </c>
      <c r="C12" s="101">
        <v>132</v>
      </c>
      <c r="D12" s="104">
        <f t="shared" si="0"/>
        <v>120</v>
      </c>
      <c r="E12" s="54">
        <f>($C10+4*$C11+$C12)*$A$4/3</f>
        <v>216.66666666666666</v>
      </c>
      <c r="F12" s="80">
        <f>($C10+4*$C11+$C12)*$A$4/3</f>
        <v>216.66666666666666</v>
      </c>
      <c r="G12" s="80">
        <f>($C9+3*$C10+3*$C11+$C12)*3*$A$4/8</f>
        <v>292.5</v>
      </c>
    </row>
    <row r="13" spans="1:8" ht="15.6">
      <c r="A13" s="1"/>
      <c r="B13" s="1"/>
      <c r="C13" s="76"/>
      <c r="D13" s="105">
        <f>SUM(D5:D12)</f>
        <v>428</v>
      </c>
      <c r="E13" s="77">
        <f>SUM(E6:E12)</f>
        <v>426.66666666666663</v>
      </c>
      <c r="F13" s="77">
        <f>SUM(F6:F12)</f>
        <v>426.66666666666663</v>
      </c>
      <c r="G13" s="77">
        <f>SUM(G6:G12)</f>
        <v>426.66666666666663</v>
      </c>
    </row>
    <row r="15" spans="1:8" ht="15.6">
      <c r="A15" s="100"/>
      <c r="E15" s="10"/>
      <c r="H15" s="10"/>
    </row>
    <row r="16" spans="1:8" ht="15">
      <c r="A16" s="11" t="s">
        <v>58</v>
      </c>
      <c r="B16" s="11" t="s">
        <v>2</v>
      </c>
      <c r="C16" s="11" t="s">
        <v>3</v>
      </c>
      <c r="D16" s="11" t="s">
        <v>60</v>
      </c>
      <c r="E16" s="11" t="s">
        <v>61</v>
      </c>
      <c r="F16" s="11" t="s">
        <v>62</v>
      </c>
    </row>
    <row r="17" spans="1:6" ht="15">
      <c r="A17" s="10">
        <v>1</v>
      </c>
      <c r="B17" s="10">
        <v>1</v>
      </c>
      <c r="C17" s="101">
        <v>-4</v>
      </c>
      <c r="D17" s="76"/>
    </row>
    <row r="18" spans="1:6" ht="15">
      <c r="A18" s="10">
        <v>2</v>
      </c>
      <c r="B18" s="10">
        <v>2</v>
      </c>
      <c r="C18" s="101">
        <v>6</v>
      </c>
      <c r="D18" s="76"/>
    </row>
    <row r="19" spans="1:6" ht="15">
      <c r="A19" s="10">
        <v>3</v>
      </c>
      <c r="B19" s="10">
        <v>3</v>
      </c>
      <c r="C19" s="101">
        <v>18</v>
      </c>
      <c r="D19" s="76"/>
    </row>
    <row r="20" spans="1:6" ht="15">
      <c r="A20" s="10">
        <v>4</v>
      </c>
      <c r="B20" s="10">
        <v>4</v>
      </c>
      <c r="C20" s="101">
        <v>32</v>
      </c>
      <c r="E20" s="80">
        <f>($C17+3*$C18+3*$C19+$C20)*3*$A$4/8</f>
        <v>37.5</v>
      </c>
      <c r="F20" s="80">
        <f>($C17+3*$C18+3*$C19+$C20)*3*$A$4/8</f>
        <v>37.5</v>
      </c>
    </row>
    <row r="21" spans="1:6" ht="15.6">
      <c r="A21" s="10">
        <v>5</v>
      </c>
      <c r="B21" s="10">
        <v>5</v>
      </c>
      <c r="C21" s="101">
        <v>48</v>
      </c>
      <c r="E21" s="74"/>
    </row>
    <row r="22" spans="1:6" ht="15.6">
      <c r="A22" s="10">
        <v>6</v>
      </c>
      <c r="B22" s="10">
        <v>6</v>
      </c>
      <c r="C22" s="101">
        <v>66</v>
      </c>
      <c r="D22" s="78">
        <f>($C20+4*$C21+$C22)*$A$4/3</f>
        <v>96.666666666666671</v>
      </c>
      <c r="E22" s="74"/>
      <c r="F22" s="78">
        <f>($C20+4*$C21+$C22)*$A$4/3</f>
        <v>96.666666666666671</v>
      </c>
    </row>
    <row r="23" spans="1:6" ht="15.6">
      <c r="A23" s="10"/>
      <c r="B23" s="10"/>
      <c r="C23" s="101"/>
      <c r="D23" s="77">
        <f>SUM(D20:D22)</f>
        <v>96.666666666666671</v>
      </c>
      <c r="E23" s="77">
        <f>SUM(E19:E22)</f>
        <v>37.5</v>
      </c>
      <c r="F23" s="77">
        <f ca="1">SUM(F19:F23)</f>
        <v>134.16666666666669</v>
      </c>
    </row>
    <row r="24" spans="1:6" ht="15">
      <c r="A24" s="10"/>
      <c r="B24" s="10"/>
      <c r="C24" s="101"/>
    </row>
    <row r="25" spans="1:6" ht="15">
      <c r="A25" s="10"/>
      <c r="B25" s="10"/>
      <c r="C25" s="101"/>
      <c r="D25" s="101"/>
      <c r="E25" s="101"/>
    </row>
    <row r="26" spans="1:6">
      <c r="A26" s="1"/>
      <c r="B26" s="1"/>
      <c r="C26" s="7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uriel ivan guerrero lopez</cp:lastModifiedBy>
  <cp:revision/>
  <dcterms:created xsi:type="dcterms:W3CDTF">2024-05-06T17:35:18Z</dcterms:created>
  <dcterms:modified xsi:type="dcterms:W3CDTF">2024-05-27T04:10:06Z</dcterms:modified>
  <cp:category/>
  <cp:contentStatus/>
</cp:coreProperties>
</file>