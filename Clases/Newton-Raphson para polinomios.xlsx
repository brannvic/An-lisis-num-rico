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7"/>
  <workbookPr/>
  <mc:AlternateContent xmlns:mc="http://schemas.openxmlformats.org/markup-compatibility/2006">
    <mc:Choice Requires="x15">
      <x15ac:absPath xmlns:x15ac="http://schemas.microsoft.com/office/spreadsheetml/2010/11/ac" url="https://d.docs.live.net/63cee1f57fb1c6e5/Escritorio/Vico/Segundo semestre/Analisis/"/>
    </mc:Choice>
  </mc:AlternateContent>
  <xr:revisionPtr revIDLastSave="3729" documentId="8_{D3A79824-BA58-458A-B2A6-AA159C66BEAE}" xr6:coauthVersionLast="47" xr6:coauthVersionMax="47" xr10:uidLastSave="{F88B343A-1E1C-4B90-9685-30ECFBB761CC}"/>
  <bookViews>
    <workbookView xWindow="-108" yWindow="-108" windowWidth="23256" windowHeight="13176" firstSheet="23" activeTab="1" xr2:uid="{8854FEB4-180F-46EA-A8D2-774712118615}"/>
  </bookViews>
  <sheets>
    <sheet name="T3-E1" sheetId="2" r:id="rId1"/>
    <sheet name="Ta3-E1" sheetId="27" r:id="rId2"/>
    <sheet name="T3-E2" sheetId="3" r:id="rId3"/>
    <sheet name="Ta3-E2" sheetId="15" r:id="rId4"/>
    <sheet name="T3-E3" sheetId="4" r:id="rId5"/>
    <sheet name="Ta3-E3" sheetId="16" r:id="rId6"/>
    <sheet name="T3-E4" sheetId="5" r:id="rId7"/>
    <sheet name="Ta3-E4" sheetId="17" r:id="rId8"/>
    <sheet name="T3-E5" sheetId="6" r:id="rId9"/>
    <sheet name="Ta3-E5" sheetId="18" r:id="rId10"/>
    <sheet name="T3-E6" sheetId="7" r:id="rId11"/>
    <sheet name="Ta3-E6" sheetId="29" r:id="rId12"/>
    <sheet name="T3-E7" sheetId="8" r:id="rId13"/>
    <sheet name="Ta3-E7" sheetId="20" r:id="rId14"/>
    <sheet name="T3-E8" sheetId="9" r:id="rId15"/>
    <sheet name="Ta3-E8" sheetId="21" r:id="rId16"/>
    <sheet name="T3-E9" sheetId="10" r:id="rId17"/>
    <sheet name="Ta3-E9" sheetId="23" r:id="rId18"/>
    <sheet name="T3-E10" sheetId="11" r:id="rId19"/>
    <sheet name="Ta3-E10" sheetId="24" r:id="rId20"/>
    <sheet name="T3-E11" sheetId="12" r:id="rId21"/>
    <sheet name="Ta3-E11" sheetId="25" r:id="rId22"/>
    <sheet name="T3-E12" sheetId="13" r:id="rId23"/>
    <sheet name="Ta3-E12" sheetId="26" r:id="rId2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9" l="1"/>
  <c r="B31" i="29"/>
  <c r="I33" i="29"/>
  <c r="H33" i="29"/>
  <c r="G33" i="29"/>
  <c r="F33" i="29"/>
  <c r="F38" i="29" s="1"/>
  <c r="E33" i="29"/>
  <c r="E38" i="29" s="1"/>
  <c r="D33" i="29"/>
  <c r="D38" i="29" s="1"/>
  <c r="D43" i="29" s="1"/>
  <c r="C33" i="29"/>
  <c r="C38" i="29" s="1"/>
  <c r="C31" i="29"/>
  <c r="D29" i="29" s="1"/>
  <c r="D31" i="29" s="1"/>
  <c r="M29" i="29"/>
  <c r="I7" i="29"/>
  <c r="H7" i="29"/>
  <c r="G7" i="29"/>
  <c r="G12" i="29" s="1"/>
  <c r="G17" i="29" s="1"/>
  <c r="F7" i="29"/>
  <c r="F12" i="29" s="1"/>
  <c r="F17" i="29" s="1"/>
  <c r="E7" i="29"/>
  <c r="E12" i="29" s="1"/>
  <c r="D7" i="29"/>
  <c r="D12" i="29" s="1"/>
  <c r="C7" i="29"/>
  <c r="C12" i="29" s="1"/>
  <c r="C5" i="29"/>
  <c r="D3" i="29" s="1"/>
  <c r="D5" i="29" s="1"/>
  <c r="M3" i="29"/>
  <c r="I33" i="27"/>
  <c r="I38" i="27" s="1"/>
  <c r="H33" i="27"/>
  <c r="G33" i="27"/>
  <c r="G38" i="27" s="1"/>
  <c r="G43" i="27" s="1"/>
  <c r="F33" i="27"/>
  <c r="F38" i="27" s="1"/>
  <c r="E33" i="27"/>
  <c r="E38" i="27" s="1"/>
  <c r="D33" i="27"/>
  <c r="D38" i="27" s="1"/>
  <c r="C33" i="27"/>
  <c r="C38" i="27" s="1"/>
  <c r="C31" i="27"/>
  <c r="B31" i="27"/>
  <c r="E30" i="27"/>
  <c r="M29" i="27"/>
  <c r="N30" i="27" s="1"/>
  <c r="D29" i="27"/>
  <c r="D31" i="27" s="1"/>
  <c r="I7" i="27"/>
  <c r="H7" i="27"/>
  <c r="G7" i="27"/>
  <c r="G12" i="27" s="1"/>
  <c r="G17" i="27" s="1"/>
  <c r="F7" i="27"/>
  <c r="F12" i="27" s="1"/>
  <c r="E7" i="27"/>
  <c r="E12" i="27" s="1"/>
  <c r="E17" i="27" s="1"/>
  <c r="E22" i="27" s="1"/>
  <c r="D7" i="27"/>
  <c r="D12" i="27" s="1"/>
  <c r="D17" i="27" s="1"/>
  <c r="C7" i="27"/>
  <c r="C12" i="27" s="1"/>
  <c r="C5" i="27"/>
  <c r="B5" i="27"/>
  <c r="M3" i="27"/>
  <c r="N5" i="27" s="1"/>
  <c r="B31" i="24"/>
  <c r="E38" i="24"/>
  <c r="E43" i="24" s="1"/>
  <c r="I33" i="24"/>
  <c r="I38" i="24" s="1"/>
  <c r="H33" i="24"/>
  <c r="H38" i="24" s="1"/>
  <c r="H43" i="24" s="1"/>
  <c r="G33" i="24"/>
  <c r="G38" i="24" s="1"/>
  <c r="G43" i="24" s="1"/>
  <c r="F33" i="24"/>
  <c r="F38" i="24" s="1"/>
  <c r="F43" i="24" s="1"/>
  <c r="E33" i="24"/>
  <c r="D33" i="24"/>
  <c r="D38" i="24" s="1"/>
  <c r="C33" i="24"/>
  <c r="C38" i="24" s="1"/>
  <c r="C31" i="24"/>
  <c r="D29" i="24" s="1"/>
  <c r="D31" i="24" s="1"/>
  <c r="M29" i="24"/>
  <c r="N31" i="24" s="1"/>
  <c r="F38" i="26"/>
  <c r="F43" i="26" s="1"/>
  <c r="D38" i="26"/>
  <c r="I33" i="26"/>
  <c r="H33" i="26"/>
  <c r="G33" i="26"/>
  <c r="G38" i="26" s="1"/>
  <c r="G43" i="26" s="1"/>
  <c r="F33" i="26"/>
  <c r="E33" i="26"/>
  <c r="E38" i="26" s="1"/>
  <c r="E43" i="26" s="1"/>
  <c r="D33" i="26"/>
  <c r="C33" i="26"/>
  <c r="C38" i="26" s="1"/>
  <c r="C31" i="26"/>
  <c r="E30" i="26" s="1"/>
  <c r="B31" i="26"/>
  <c r="M29" i="26"/>
  <c r="P30" i="26" s="1"/>
  <c r="D29" i="26"/>
  <c r="D31" i="26" s="1"/>
  <c r="B5" i="26"/>
  <c r="B5" i="25"/>
  <c r="I34" i="17"/>
  <c r="H34" i="17"/>
  <c r="G34" i="17"/>
  <c r="G39" i="17" s="1"/>
  <c r="G44" i="17" s="1"/>
  <c r="F34" i="17"/>
  <c r="F39" i="17" s="1"/>
  <c r="F44" i="17" s="1"/>
  <c r="E34" i="17"/>
  <c r="E39" i="17" s="1"/>
  <c r="E44" i="17" s="1"/>
  <c r="D34" i="17"/>
  <c r="D39" i="17" s="1"/>
  <c r="C34" i="17"/>
  <c r="C39" i="17" s="1"/>
  <c r="C32" i="17"/>
  <c r="E31" i="17" s="1"/>
  <c r="B32" i="17"/>
  <c r="M30" i="17"/>
  <c r="P31" i="17" s="1"/>
  <c r="D30" i="17"/>
  <c r="D32" i="17" s="1"/>
  <c r="I33" i="16"/>
  <c r="H33" i="16"/>
  <c r="H38" i="16" s="1"/>
  <c r="G33" i="16"/>
  <c r="G38" i="16" s="1"/>
  <c r="G43" i="16" s="1"/>
  <c r="F33" i="16"/>
  <c r="F38" i="16" s="1"/>
  <c r="E33" i="16"/>
  <c r="E38" i="16" s="1"/>
  <c r="D33" i="16"/>
  <c r="D38" i="16" s="1"/>
  <c r="C33" i="16"/>
  <c r="C38" i="16" s="1"/>
  <c r="C31" i="16"/>
  <c r="D29" i="16" s="1"/>
  <c r="D31" i="16" s="1"/>
  <c r="B31" i="16"/>
  <c r="M29" i="16"/>
  <c r="N31" i="16" s="1"/>
  <c r="I59" i="15"/>
  <c r="I64" i="15" s="1"/>
  <c r="H59" i="15"/>
  <c r="H64" i="15" s="1"/>
  <c r="H69" i="15" s="1"/>
  <c r="G59" i="15"/>
  <c r="G64" i="15" s="1"/>
  <c r="G69" i="15" s="1"/>
  <c r="F59" i="15"/>
  <c r="F64" i="15" s="1"/>
  <c r="F69" i="15" s="1"/>
  <c r="E59" i="15"/>
  <c r="D59" i="15"/>
  <c r="D64" i="15" s="1"/>
  <c r="C59" i="15"/>
  <c r="C64" i="15" s="1"/>
  <c r="C67" i="15" s="1"/>
  <c r="C57" i="15"/>
  <c r="D55" i="15" s="1"/>
  <c r="D57" i="15" s="1"/>
  <c r="I33" i="15"/>
  <c r="I38" i="15" s="1"/>
  <c r="I43" i="15" s="1"/>
  <c r="H33" i="15"/>
  <c r="H38" i="15" s="1"/>
  <c r="H43" i="15" s="1"/>
  <c r="G33" i="15"/>
  <c r="G38" i="15" s="1"/>
  <c r="G43" i="15" s="1"/>
  <c r="F33" i="15"/>
  <c r="F38" i="15" s="1"/>
  <c r="E33" i="15"/>
  <c r="E38" i="15" s="1"/>
  <c r="D33" i="15"/>
  <c r="D38" i="15" s="1"/>
  <c r="C33" i="15"/>
  <c r="C38" i="15" s="1"/>
  <c r="C31" i="15"/>
  <c r="E30" i="15" s="1"/>
  <c r="B31" i="15"/>
  <c r="M29" i="15"/>
  <c r="N31" i="15" s="1"/>
  <c r="D29" i="15"/>
  <c r="D31" i="15" s="1"/>
  <c r="E29" i="15" s="1"/>
  <c r="I7" i="26"/>
  <c r="H7" i="26"/>
  <c r="G7" i="26"/>
  <c r="F7" i="26"/>
  <c r="F12" i="26" s="1"/>
  <c r="E7" i="26"/>
  <c r="E12" i="26" s="1"/>
  <c r="D7" i="26"/>
  <c r="D12" i="26" s="1"/>
  <c r="C7" i="26"/>
  <c r="C12" i="26" s="1"/>
  <c r="C5" i="26"/>
  <c r="F12" i="25"/>
  <c r="F17" i="25" s="1"/>
  <c r="E12" i="25"/>
  <c r="E17" i="25" s="1"/>
  <c r="I7" i="25"/>
  <c r="H7" i="25"/>
  <c r="G7" i="25"/>
  <c r="F7" i="25"/>
  <c r="E7" i="25"/>
  <c r="D7" i="25"/>
  <c r="D12" i="25" s="1"/>
  <c r="C7" i="25"/>
  <c r="C12" i="25" s="1"/>
  <c r="C5" i="25"/>
  <c r="D3" i="25" s="1"/>
  <c r="D5" i="25" s="1"/>
  <c r="M3" i="25"/>
  <c r="C10" i="24"/>
  <c r="I7" i="24"/>
  <c r="I12" i="24" s="1"/>
  <c r="H7" i="24"/>
  <c r="H12" i="24" s="1"/>
  <c r="G7" i="24"/>
  <c r="F7" i="24"/>
  <c r="F12" i="24" s="1"/>
  <c r="E7" i="24"/>
  <c r="E12" i="24" s="1"/>
  <c r="D7" i="24"/>
  <c r="D12" i="24" s="1"/>
  <c r="C7" i="24"/>
  <c r="C12" i="24" s="1"/>
  <c r="C5" i="24"/>
  <c r="B5" i="24"/>
  <c r="E4" i="24"/>
  <c r="M3" i="24"/>
  <c r="N4" i="24" s="1"/>
  <c r="D3" i="24"/>
  <c r="D5" i="24" s="1"/>
  <c r="I7" i="23"/>
  <c r="H7" i="23"/>
  <c r="H12" i="23" s="1"/>
  <c r="G7" i="23"/>
  <c r="G12" i="23" s="1"/>
  <c r="G17" i="23" s="1"/>
  <c r="F7" i="23"/>
  <c r="F12" i="23" s="1"/>
  <c r="E7" i="23"/>
  <c r="E12" i="23" s="1"/>
  <c r="D7" i="23"/>
  <c r="D12" i="23" s="1"/>
  <c r="C7" i="23"/>
  <c r="C12" i="23" s="1"/>
  <c r="C5" i="23"/>
  <c r="D3" i="23" s="1"/>
  <c r="D5" i="23" s="1"/>
  <c r="B5" i="23"/>
  <c r="M3" i="23"/>
  <c r="I12" i="21"/>
  <c r="I7" i="21"/>
  <c r="H7" i="21"/>
  <c r="H12" i="21" s="1"/>
  <c r="G7" i="21"/>
  <c r="G12" i="21" s="1"/>
  <c r="G17" i="21" s="1"/>
  <c r="F7" i="21"/>
  <c r="F12" i="21" s="1"/>
  <c r="E7" i="21"/>
  <c r="E12" i="21" s="1"/>
  <c r="D7" i="21"/>
  <c r="D12" i="21" s="1"/>
  <c r="C7" i="21"/>
  <c r="C12" i="21" s="1"/>
  <c r="C5" i="21"/>
  <c r="E4" i="21" s="1"/>
  <c r="B5" i="21"/>
  <c r="M3" i="21"/>
  <c r="D3" i="21"/>
  <c r="D5" i="21" s="1"/>
  <c r="I7" i="20"/>
  <c r="I12" i="20" s="1"/>
  <c r="H7" i="20"/>
  <c r="H12" i="20" s="1"/>
  <c r="G7" i="20"/>
  <c r="G12" i="20" s="1"/>
  <c r="G17" i="20" s="1"/>
  <c r="F7" i="20"/>
  <c r="F12" i="20" s="1"/>
  <c r="E7" i="20"/>
  <c r="E12" i="20" s="1"/>
  <c r="E17" i="20" s="1"/>
  <c r="D7" i="20"/>
  <c r="D12" i="20" s="1"/>
  <c r="C7" i="20"/>
  <c r="C12" i="20" s="1"/>
  <c r="C5" i="20"/>
  <c r="D3" i="20" s="1"/>
  <c r="D5" i="20" s="1"/>
  <c r="E3" i="20" s="1"/>
  <c r="B5" i="20"/>
  <c r="E4" i="20"/>
  <c r="M3" i="20"/>
  <c r="H12" i="29" l="1"/>
  <c r="H38" i="29"/>
  <c r="E29" i="29"/>
  <c r="F30" i="29"/>
  <c r="C41" i="29"/>
  <c r="C43" i="29"/>
  <c r="F43" i="29"/>
  <c r="D48" i="29"/>
  <c r="H43" i="29"/>
  <c r="M30" i="29"/>
  <c r="M31" i="29" s="1"/>
  <c r="C36" i="29"/>
  <c r="G38" i="29"/>
  <c r="N30" i="29"/>
  <c r="I38" i="29"/>
  <c r="E43" i="29"/>
  <c r="O30" i="29"/>
  <c r="O31" i="29" s="1"/>
  <c r="E30" i="29"/>
  <c r="P30" i="29"/>
  <c r="N31" i="29"/>
  <c r="N4" i="29"/>
  <c r="N5" i="29"/>
  <c r="F4" i="29"/>
  <c r="E3" i="29"/>
  <c r="G22" i="29"/>
  <c r="E17" i="29"/>
  <c r="C15" i="29"/>
  <c r="C17" i="29"/>
  <c r="H17" i="29"/>
  <c r="F22" i="29"/>
  <c r="D17" i="29"/>
  <c r="M4" i="29"/>
  <c r="M5" i="29" s="1"/>
  <c r="C10" i="29"/>
  <c r="O4" i="29"/>
  <c r="O5" i="29" s="1"/>
  <c r="E4" i="29"/>
  <c r="P4" i="29"/>
  <c r="I12" i="29"/>
  <c r="D43" i="27"/>
  <c r="E29" i="27"/>
  <c r="E31" i="27" s="1"/>
  <c r="F30" i="27"/>
  <c r="E43" i="27"/>
  <c r="G48" i="27"/>
  <c r="F43" i="27"/>
  <c r="C41" i="27"/>
  <c r="C43" i="27"/>
  <c r="M30" i="27"/>
  <c r="M31" i="27" s="1"/>
  <c r="C36" i="27"/>
  <c r="H38" i="27"/>
  <c r="O30" i="27"/>
  <c r="O31" i="27" s="1"/>
  <c r="N31" i="27"/>
  <c r="I43" i="27"/>
  <c r="P30" i="27"/>
  <c r="N4" i="27"/>
  <c r="I12" i="27"/>
  <c r="C15" i="27"/>
  <c r="C17" i="27"/>
  <c r="G22" i="27"/>
  <c r="D3" i="27"/>
  <c r="D5" i="27" s="1"/>
  <c r="E4" i="27"/>
  <c r="F17" i="27"/>
  <c r="D22" i="27"/>
  <c r="M4" i="27"/>
  <c r="M5" i="27" s="1"/>
  <c r="C10" i="27"/>
  <c r="H12" i="27"/>
  <c r="O4" i="27"/>
  <c r="O5" i="27" s="1"/>
  <c r="P4" i="27"/>
  <c r="H48" i="24"/>
  <c r="I43" i="24"/>
  <c r="E29" i="24"/>
  <c r="F30" i="24"/>
  <c r="E48" i="24"/>
  <c r="C41" i="24"/>
  <c r="C43" i="24"/>
  <c r="F48" i="24"/>
  <c r="D43" i="24"/>
  <c r="G48" i="24"/>
  <c r="M30" i="24"/>
  <c r="M31" i="24" s="1"/>
  <c r="C36" i="24"/>
  <c r="N30" i="24"/>
  <c r="E30" i="24"/>
  <c r="P30" i="24"/>
  <c r="O30" i="24"/>
  <c r="O31" i="24" s="1"/>
  <c r="N31" i="26"/>
  <c r="N30" i="26"/>
  <c r="E48" i="26"/>
  <c r="F30" i="26"/>
  <c r="E29" i="26"/>
  <c r="E31" i="26" s="1"/>
  <c r="G48" i="26"/>
  <c r="C43" i="26"/>
  <c r="C41" i="26"/>
  <c r="F48" i="26"/>
  <c r="M30" i="26"/>
  <c r="M31" i="26" s="1"/>
  <c r="C36" i="26"/>
  <c r="H38" i="26"/>
  <c r="D43" i="26"/>
  <c r="I38" i="26"/>
  <c r="O30" i="26"/>
  <c r="O31" i="26" s="1"/>
  <c r="M3" i="26"/>
  <c r="N5" i="26" s="1"/>
  <c r="D3" i="26"/>
  <c r="D5" i="26" s="1"/>
  <c r="E3" i="26" s="1"/>
  <c r="P4" i="25"/>
  <c r="N5" i="25"/>
  <c r="M4" i="24"/>
  <c r="N4" i="23"/>
  <c r="N5" i="23"/>
  <c r="N32" i="17"/>
  <c r="N31" i="17"/>
  <c r="F49" i="17"/>
  <c r="G49" i="17"/>
  <c r="F31" i="17"/>
  <c r="E30" i="17"/>
  <c r="E32" i="17" s="1"/>
  <c r="C42" i="17"/>
  <c r="C44" i="17"/>
  <c r="E49" i="17"/>
  <c r="M31" i="17"/>
  <c r="M32" i="17" s="1"/>
  <c r="C37" i="17"/>
  <c r="H39" i="17"/>
  <c r="D44" i="17"/>
  <c r="I39" i="17"/>
  <c r="O31" i="17"/>
  <c r="O32" i="17" s="1"/>
  <c r="M30" i="16"/>
  <c r="M31" i="16" s="1"/>
  <c r="P30" i="16"/>
  <c r="N30" i="16"/>
  <c r="F43" i="16"/>
  <c r="G48" i="16"/>
  <c r="E29" i="16"/>
  <c r="F30" i="16"/>
  <c r="C43" i="16"/>
  <c r="C41" i="16"/>
  <c r="D43" i="16"/>
  <c r="C36" i="16"/>
  <c r="I38" i="16"/>
  <c r="E43" i="16"/>
  <c r="O30" i="16"/>
  <c r="O31" i="16" s="1"/>
  <c r="E30" i="16"/>
  <c r="H43" i="16"/>
  <c r="N4" i="21"/>
  <c r="M4" i="21"/>
  <c r="M5" i="21" s="1"/>
  <c r="O5" i="20"/>
  <c r="E55" i="15"/>
  <c r="F74" i="15"/>
  <c r="C69" i="15"/>
  <c r="G74" i="15"/>
  <c r="C62" i="15"/>
  <c r="D69" i="15"/>
  <c r="H74" i="15"/>
  <c r="E64" i="15"/>
  <c r="I69" i="15"/>
  <c r="E31" i="15"/>
  <c r="G30" i="15" s="1"/>
  <c r="M30" i="15"/>
  <c r="M31" i="15" s="1"/>
  <c r="N30" i="15"/>
  <c r="C41" i="15"/>
  <c r="C43" i="15"/>
  <c r="D43" i="15"/>
  <c r="G48" i="15"/>
  <c r="H48" i="15"/>
  <c r="E43" i="15"/>
  <c r="I48" i="15"/>
  <c r="C36" i="15"/>
  <c r="F43" i="15"/>
  <c r="F30" i="15"/>
  <c r="O30" i="15"/>
  <c r="O31" i="15" s="1"/>
  <c r="P30" i="15"/>
  <c r="E4" i="26"/>
  <c r="E4" i="25"/>
  <c r="E5" i="20"/>
  <c r="G4" i="20" s="1"/>
  <c r="C15" i="26"/>
  <c r="C17" i="26"/>
  <c r="D17" i="26"/>
  <c r="F17" i="26"/>
  <c r="C10" i="26"/>
  <c r="H12" i="26"/>
  <c r="G12" i="26"/>
  <c r="I12" i="26"/>
  <c r="E17" i="26"/>
  <c r="D17" i="25"/>
  <c r="F22" i="25"/>
  <c r="E3" i="25"/>
  <c r="F4" i="25"/>
  <c r="C15" i="25"/>
  <c r="C17" i="25"/>
  <c r="E22" i="25"/>
  <c r="M4" i="25"/>
  <c r="M5" i="25" s="1"/>
  <c r="C10" i="25"/>
  <c r="H12" i="25"/>
  <c r="G12" i="25"/>
  <c r="N4" i="25"/>
  <c r="I12" i="25"/>
  <c r="O4" i="25"/>
  <c r="O5" i="25" s="1"/>
  <c r="F17" i="24"/>
  <c r="E3" i="24"/>
  <c r="E5" i="24" s="1"/>
  <c r="F4" i="24"/>
  <c r="D17" i="24"/>
  <c r="E17" i="24"/>
  <c r="C15" i="24"/>
  <c r="C17" i="24"/>
  <c r="G12" i="24"/>
  <c r="O4" i="24"/>
  <c r="O5" i="24" s="1"/>
  <c r="P4" i="24"/>
  <c r="M5" i="24"/>
  <c r="H17" i="24"/>
  <c r="N5" i="24"/>
  <c r="I17" i="24"/>
  <c r="C15" i="23"/>
  <c r="C17" i="23"/>
  <c r="G22" i="23"/>
  <c r="D17" i="23"/>
  <c r="F17" i="23"/>
  <c r="H17" i="23"/>
  <c r="F4" i="23"/>
  <c r="E3" i="23"/>
  <c r="M4" i="23"/>
  <c r="M5" i="23" s="1"/>
  <c r="C10" i="23"/>
  <c r="E4" i="23"/>
  <c r="P4" i="23"/>
  <c r="I12" i="23"/>
  <c r="E17" i="23"/>
  <c r="O4" i="23"/>
  <c r="O5" i="23" s="1"/>
  <c r="E3" i="21"/>
  <c r="E5" i="21" s="1"/>
  <c r="F4" i="21"/>
  <c r="D17" i="21"/>
  <c r="E17" i="21"/>
  <c r="C15" i="21"/>
  <c r="C17" i="21"/>
  <c r="F17" i="21"/>
  <c r="G22" i="21"/>
  <c r="O4" i="21"/>
  <c r="O5" i="21" s="1"/>
  <c r="C10" i="21"/>
  <c r="P4" i="21"/>
  <c r="H17" i="21"/>
  <c r="N5" i="21"/>
  <c r="I17" i="21"/>
  <c r="C15" i="20"/>
  <c r="C17" i="20"/>
  <c r="G22" i="20"/>
  <c r="D17" i="20"/>
  <c r="F17" i="20"/>
  <c r="H17" i="20"/>
  <c r="I17" i="20"/>
  <c r="F3" i="20"/>
  <c r="E22" i="20"/>
  <c r="M4" i="20"/>
  <c r="M5" i="20" s="1"/>
  <c r="C10" i="20"/>
  <c r="N4" i="20"/>
  <c r="O4" i="20"/>
  <c r="P4" i="20"/>
  <c r="F4" i="20"/>
  <c r="N5" i="20"/>
  <c r="H48" i="29" l="1"/>
  <c r="F48" i="29"/>
  <c r="E48" i="29"/>
  <c r="G43" i="29"/>
  <c r="I43" i="29"/>
  <c r="C48" i="29"/>
  <c r="C51" i="29" s="1"/>
  <c r="C46" i="29"/>
  <c r="E31" i="29"/>
  <c r="E5" i="29"/>
  <c r="I17" i="29"/>
  <c r="H22" i="29"/>
  <c r="F3" i="29"/>
  <c r="F5" i="29" s="1"/>
  <c r="G4" i="29"/>
  <c r="E22" i="29"/>
  <c r="D22" i="29"/>
  <c r="C22" i="29"/>
  <c r="C25" i="29" s="1"/>
  <c r="C20" i="29"/>
  <c r="D48" i="27"/>
  <c r="C48" i="27"/>
  <c r="C51" i="27" s="1"/>
  <c r="C46" i="27"/>
  <c r="E48" i="27"/>
  <c r="H43" i="27"/>
  <c r="F48" i="27"/>
  <c r="I48" i="27"/>
  <c r="F29" i="27"/>
  <c r="F31" i="27" s="1"/>
  <c r="G30" i="27"/>
  <c r="C22" i="27"/>
  <c r="C25" i="27" s="1"/>
  <c r="C20" i="27"/>
  <c r="I17" i="27"/>
  <c r="F22" i="27"/>
  <c r="H17" i="27"/>
  <c r="F4" i="27"/>
  <c r="E3" i="27"/>
  <c r="E5" i="27" s="1"/>
  <c r="E31" i="24"/>
  <c r="I48" i="24"/>
  <c r="C48" i="24"/>
  <c r="C51" i="24" s="1"/>
  <c r="C46" i="24"/>
  <c r="D48" i="24"/>
  <c r="I43" i="26"/>
  <c r="D48" i="26"/>
  <c r="C48" i="26"/>
  <c r="C51" i="26" s="1"/>
  <c r="C46" i="26"/>
  <c r="H43" i="26"/>
  <c r="G30" i="26"/>
  <c r="F29" i="26"/>
  <c r="F31" i="26" s="1"/>
  <c r="M4" i="26"/>
  <c r="M5" i="26" s="1"/>
  <c r="E5" i="26"/>
  <c r="F3" i="26" s="1"/>
  <c r="O4" i="26"/>
  <c r="O5" i="26" s="1"/>
  <c r="F4" i="26"/>
  <c r="N4" i="26"/>
  <c r="P4" i="26"/>
  <c r="E5" i="23"/>
  <c r="F3" i="23" s="1"/>
  <c r="F5" i="23" s="1"/>
  <c r="G31" i="17"/>
  <c r="F30" i="17"/>
  <c r="F32" i="17" s="1"/>
  <c r="I44" i="17"/>
  <c r="D49" i="17"/>
  <c r="C49" i="17"/>
  <c r="C52" i="17" s="1"/>
  <c r="C47" i="17"/>
  <c r="H44" i="17"/>
  <c r="D48" i="16"/>
  <c r="I43" i="16"/>
  <c r="H48" i="16"/>
  <c r="F48" i="16"/>
  <c r="E48" i="16"/>
  <c r="C48" i="16"/>
  <c r="C51" i="16" s="1"/>
  <c r="C46" i="16"/>
  <c r="E31" i="16"/>
  <c r="D74" i="15"/>
  <c r="I74" i="15"/>
  <c r="E69" i="15"/>
  <c r="C74" i="15"/>
  <c r="C77" i="15" s="1"/>
  <c r="C72" i="15"/>
  <c r="F29" i="15"/>
  <c r="F31" i="15" s="1"/>
  <c r="D48" i="15"/>
  <c r="C46" i="15"/>
  <c r="C48" i="15"/>
  <c r="C51" i="15" s="1"/>
  <c r="F48" i="15"/>
  <c r="E48" i="15"/>
  <c r="E5" i="25"/>
  <c r="F3" i="25" s="1"/>
  <c r="F5" i="25" s="1"/>
  <c r="F22" i="26"/>
  <c r="D22" i="26"/>
  <c r="E22" i="26"/>
  <c r="H17" i="26"/>
  <c r="I17" i="26"/>
  <c r="C22" i="26"/>
  <c r="C25" i="26" s="1"/>
  <c r="C20" i="26"/>
  <c r="G17" i="26"/>
  <c r="I17" i="25"/>
  <c r="G17" i="25"/>
  <c r="C22" i="25"/>
  <c r="C25" i="25" s="1"/>
  <c r="C20" i="25"/>
  <c r="H17" i="25"/>
  <c r="D22" i="25"/>
  <c r="C20" i="24"/>
  <c r="C22" i="24"/>
  <c r="C25" i="24" s="1"/>
  <c r="F3" i="24"/>
  <c r="F5" i="24" s="1"/>
  <c r="G4" i="24"/>
  <c r="H22" i="24"/>
  <c r="G17" i="24"/>
  <c r="I22" i="24"/>
  <c r="E22" i="24"/>
  <c r="D22" i="24"/>
  <c r="F22" i="24"/>
  <c r="C22" i="23"/>
  <c r="C25" i="23" s="1"/>
  <c r="C20" i="23"/>
  <c r="I17" i="23"/>
  <c r="E22" i="23"/>
  <c r="F22" i="23"/>
  <c r="D22" i="23"/>
  <c r="H22" i="23"/>
  <c r="E22" i="21"/>
  <c r="H22" i="21"/>
  <c r="I22" i="21"/>
  <c r="D22" i="21"/>
  <c r="F22" i="21"/>
  <c r="C20" i="21"/>
  <c r="C22" i="21"/>
  <c r="C25" i="21" s="1"/>
  <c r="F3" i="21"/>
  <c r="F5" i="21" s="1"/>
  <c r="G4" i="21"/>
  <c r="F22" i="20"/>
  <c r="F5" i="20"/>
  <c r="H22" i="20"/>
  <c r="D22" i="20"/>
  <c r="I22" i="20"/>
  <c r="C22" i="20"/>
  <c r="C25" i="20" s="1"/>
  <c r="C20" i="20"/>
  <c r="G48" i="29" l="1"/>
  <c r="F29" i="29"/>
  <c r="F31" i="29" s="1"/>
  <c r="G30" i="29"/>
  <c r="I48" i="29"/>
  <c r="G3" i="29"/>
  <c r="G5" i="29" s="1"/>
  <c r="B9" i="29" s="1"/>
  <c r="B8" i="29" s="1"/>
  <c r="B10" i="29" s="1"/>
  <c r="H4" i="29"/>
  <c r="I22" i="29"/>
  <c r="H30" i="27"/>
  <c r="G29" i="27"/>
  <c r="G31" i="27" s="1"/>
  <c r="H48" i="27"/>
  <c r="H22" i="27"/>
  <c r="I22" i="27"/>
  <c r="G4" i="27"/>
  <c r="F3" i="27"/>
  <c r="F5" i="27" s="1"/>
  <c r="G30" i="24"/>
  <c r="F29" i="24"/>
  <c r="F31" i="24" s="1"/>
  <c r="G29" i="26"/>
  <c r="G31" i="26" s="1"/>
  <c r="H30" i="26"/>
  <c r="H48" i="26"/>
  <c r="I48" i="26"/>
  <c r="F5" i="26"/>
  <c r="G3" i="26" s="1"/>
  <c r="G4" i="26"/>
  <c r="G4" i="23"/>
  <c r="G30" i="17"/>
  <c r="G32" i="17" s="1"/>
  <c r="H31" i="17"/>
  <c r="H49" i="17"/>
  <c r="I49" i="17"/>
  <c r="F29" i="16"/>
  <c r="F31" i="16" s="1"/>
  <c r="G30" i="16"/>
  <c r="I48" i="16"/>
  <c r="E74" i="15"/>
  <c r="H30" i="15"/>
  <c r="G29" i="15"/>
  <c r="G31" i="15" s="1"/>
  <c r="G4" i="25"/>
  <c r="G22" i="26"/>
  <c r="H22" i="26"/>
  <c r="I22" i="26"/>
  <c r="H22" i="25"/>
  <c r="G22" i="25"/>
  <c r="I22" i="25"/>
  <c r="G3" i="25"/>
  <c r="H4" i="25"/>
  <c r="H4" i="24"/>
  <c r="G3" i="24"/>
  <c r="G5" i="24" s="1"/>
  <c r="G22" i="24"/>
  <c r="H4" i="23"/>
  <c r="G3" i="23"/>
  <c r="I22" i="23"/>
  <c r="H4" i="21"/>
  <c r="G3" i="21"/>
  <c r="G5" i="21" s="1"/>
  <c r="H4" i="20"/>
  <c r="G3" i="20"/>
  <c r="G5" i="20" s="1"/>
  <c r="H30" i="29" l="1"/>
  <c r="G29" i="29"/>
  <c r="G31" i="29" s="1"/>
  <c r="B35" i="29" s="1"/>
  <c r="B34" i="29" s="1"/>
  <c r="B36" i="29" s="1"/>
  <c r="H3" i="29"/>
  <c r="H5" i="29" s="1"/>
  <c r="I3" i="29" s="1"/>
  <c r="I4" i="29"/>
  <c r="B35" i="27"/>
  <c r="H29" i="27"/>
  <c r="H31" i="27" s="1"/>
  <c r="I29" i="27" s="1"/>
  <c r="I30" i="27"/>
  <c r="G3" i="27"/>
  <c r="G5" i="27" s="1"/>
  <c r="B9" i="27" s="1"/>
  <c r="B8" i="27" s="1"/>
  <c r="H4" i="27"/>
  <c r="H30" i="24"/>
  <c r="G29" i="24"/>
  <c r="G31" i="24" s="1"/>
  <c r="H29" i="26"/>
  <c r="H31" i="26" s="1"/>
  <c r="I29" i="26" s="1"/>
  <c r="I30" i="26"/>
  <c r="B35" i="26"/>
  <c r="G5" i="25"/>
  <c r="H3" i="25" s="1"/>
  <c r="H5" i="25" s="1"/>
  <c r="I3" i="25" s="1"/>
  <c r="H4" i="26"/>
  <c r="G5" i="26"/>
  <c r="B9" i="26" s="1"/>
  <c r="G5" i="23"/>
  <c r="B9" i="23" s="1"/>
  <c r="B8" i="23" s="1"/>
  <c r="B36" i="17"/>
  <c r="H30" i="17"/>
  <c r="H32" i="17" s="1"/>
  <c r="I30" i="17" s="1"/>
  <c r="I31" i="17"/>
  <c r="H30" i="16"/>
  <c r="G29" i="16"/>
  <c r="G31" i="16" s="1"/>
  <c r="I30" i="15"/>
  <c r="B35" i="15"/>
  <c r="H29" i="15"/>
  <c r="H31" i="15" s="1"/>
  <c r="I29" i="15" s="1"/>
  <c r="I4" i="25"/>
  <c r="B9" i="25"/>
  <c r="B9" i="24"/>
  <c r="I4" i="24"/>
  <c r="H3" i="24"/>
  <c r="H5" i="24" s="1"/>
  <c r="I3" i="24" s="1"/>
  <c r="B9" i="21"/>
  <c r="H3" i="21"/>
  <c r="H5" i="21" s="1"/>
  <c r="I3" i="21" s="1"/>
  <c r="I4" i="21"/>
  <c r="B9" i="20"/>
  <c r="I4" i="20"/>
  <c r="H3" i="20"/>
  <c r="H5" i="20" s="1"/>
  <c r="I3" i="20" s="1"/>
  <c r="I30" i="29" l="1"/>
  <c r="H29" i="29"/>
  <c r="H31" i="29" s="1"/>
  <c r="I29" i="29" s="1"/>
  <c r="I31" i="29" s="1"/>
  <c r="I5" i="29"/>
  <c r="E9" i="29"/>
  <c r="I31" i="27"/>
  <c r="B34" i="27"/>
  <c r="E35" i="27"/>
  <c r="I4" i="27"/>
  <c r="H3" i="27"/>
  <c r="H5" i="27" s="1"/>
  <c r="I3" i="27" s="1"/>
  <c r="B35" i="24"/>
  <c r="I30" i="24"/>
  <c r="H29" i="24"/>
  <c r="H31" i="24" s="1"/>
  <c r="I29" i="24" s="1"/>
  <c r="I31" i="26"/>
  <c r="E35" i="26"/>
  <c r="B34" i="26"/>
  <c r="H3" i="26"/>
  <c r="H5" i="26" s="1"/>
  <c r="I3" i="26" s="1"/>
  <c r="I4" i="26"/>
  <c r="I5" i="24"/>
  <c r="I4" i="23"/>
  <c r="H3" i="23"/>
  <c r="H5" i="23" s="1"/>
  <c r="I3" i="23" s="1"/>
  <c r="I32" i="17"/>
  <c r="E36" i="17"/>
  <c r="B35" i="17"/>
  <c r="B35" i="16"/>
  <c r="H29" i="16"/>
  <c r="H31" i="16" s="1"/>
  <c r="I29" i="16" s="1"/>
  <c r="I30" i="16"/>
  <c r="I5" i="20"/>
  <c r="I31" i="15"/>
  <c r="E35" i="15"/>
  <c r="B34" i="15"/>
  <c r="I5" i="21"/>
  <c r="B8" i="26"/>
  <c r="E9" i="26"/>
  <c r="B8" i="25"/>
  <c r="E9" i="25"/>
  <c r="I5" i="25"/>
  <c r="B8" i="24"/>
  <c r="E9" i="24"/>
  <c r="E9" i="23"/>
  <c r="B8" i="21"/>
  <c r="E9" i="21"/>
  <c r="B8" i="20"/>
  <c r="E9" i="20"/>
  <c r="E35" i="29" l="1"/>
  <c r="M8" i="29"/>
  <c r="J10" i="29"/>
  <c r="K10" i="29" s="1"/>
  <c r="D8" i="29"/>
  <c r="D10" i="29" s="1"/>
  <c r="F9" i="29" s="1"/>
  <c r="M34" i="27"/>
  <c r="B36" i="27"/>
  <c r="J36" i="27" s="1"/>
  <c r="K36" i="27" s="1"/>
  <c r="D34" i="27"/>
  <c r="D36" i="27" s="1"/>
  <c r="F35" i="27" s="1"/>
  <c r="I5" i="27"/>
  <c r="E9" i="27"/>
  <c r="I31" i="24"/>
  <c r="B34" i="24"/>
  <c r="E35" i="24"/>
  <c r="B36" i="26"/>
  <c r="J36" i="26" s="1"/>
  <c r="K36" i="26" s="1"/>
  <c r="D34" i="26"/>
  <c r="D36" i="26" s="1"/>
  <c r="F35" i="26" s="1"/>
  <c r="M34" i="26"/>
  <c r="I5" i="26"/>
  <c r="I5" i="23"/>
  <c r="D35" i="17"/>
  <c r="D37" i="17" s="1"/>
  <c r="F36" i="17" s="1"/>
  <c r="M35" i="17"/>
  <c r="B37" i="17"/>
  <c r="J37" i="17" s="1"/>
  <c r="K37" i="17" s="1"/>
  <c r="I31" i="16"/>
  <c r="B34" i="16"/>
  <c r="E35" i="16"/>
  <c r="M34" i="15"/>
  <c r="B36" i="15"/>
  <c r="J36" i="15" s="1"/>
  <c r="K36" i="15" s="1"/>
  <c r="D34" i="15"/>
  <c r="D36" i="15" s="1"/>
  <c r="F35" i="15" s="1"/>
  <c r="M8" i="26"/>
  <c r="B10" i="26"/>
  <c r="J10" i="26" s="1"/>
  <c r="K10" i="26" s="1"/>
  <c r="D8" i="26"/>
  <c r="D10" i="26" s="1"/>
  <c r="F9" i="26" s="1"/>
  <c r="M8" i="25"/>
  <c r="D8" i="25"/>
  <c r="D10" i="25" s="1"/>
  <c r="F9" i="25" s="1"/>
  <c r="B10" i="25"/>
  <c r="J10" i="25" s="1"/>
  <c r="K10" i="25" s="1"/>
  <c r="M8" i="24"/>
  <c r="B10" i="24"/>
  <c r="J10" i="24" s="1"/>
  <c r="K10" i="24" s="1"/>
  <c r="D8" i="24"/>
  <c r="D10" i="24" s="1"/>
  <c r="F9" i="24" s="1"/>
  <c r="M8" i="23"/>
  <c r="B10" i="23"/>
  <c r="J10" i="23" s="1"/>
  <c r="K10" i="23" s="1"/>
  <c r="D8" i="23"/>
  <c r="D10" i="23" s="1"/>
  <c r="F9" i="23" s="1"/>
  <c r="M8" i="21"/>
  <c r="B10" i="21"/>
  <c r="J10" i="21" s="1"/>
  <c r="K10" i="21" s="1"/>
  <c r="D8" i="21"/>
  <c r="D10" i="21" s="1"/>
  <c r="F9" i="21" s="1"/>
  <c r="B10" i="20"/>
  <c r="J10" i="20" s="1"/>
  <c r="K10" i="20" s="1"/>
  <c r="M8" i="20"/>
  <c r="D8" i="20"/>
  <c r="D10" i="20" s="1"/>
  <c r="F9" i="20" s="1"/>
  <c r="M34" i="29" l="1"/>
  <c r="J36" i="29"/>
  <c r="K36" i="29" s="1"/>
  <c r="D34" i="29"/>
  <c r="D36" i="29" s="1"/>
  <c r="F35" i="29" s="1"/>
  <c r="P9" i="29"/>
  <c r="O9" i="29"/>
  <c r="O10" i="29" s="1"/>
  <c r="M9" i="29"/>
  <c r="M10" i="29" s="1"/>
  <c r="E8" i="29"/>
  <c r="E10" i="29" s="1"/>
  <c r="P35" i="27"/>
  <c r="O35" i="27"/>
  <c r="O36" i="27" s="1"/>
  <c r="M35" i="27"/>
  <c r="M36" i="27" s="1"/>
  <c r="E34" i="27"/>
  <c r="E36" i="27" s="1"/>
  <c r="B10" i="27"/>
  <c r="J10" i="27" s="1"/>
  <c r="K10" i="27" s="1"/>
  <c r="D8" i="27"/>
  <c r="D10" i="27" s="1"/>
  <c r="F9" i="27" s="1"/>
  <c r="M8" i="27"/>
  <c r="M34" i="24"/>
  <c r="B36" i="24"/>
  <c r="J36" i="24" s="1"/>
  <c r="K36" i="24" s="1"/>
  <c r="D34" i="24"/>
  <c r="D36" i="24" s="1"/>
  <c r="F35" i="24" s="1"/>
  <c r="O35" i="26"/>
  <c r="O36" i="26" s="1"/>
  <c r="P35" i="26"/>
  <c r="M35" i="26"/>
  <c r="M36" i="26" s="1"/>
  <c r="E34" i="26"/>
  <c r="E36" i="26" s="1"/>
  <c r="O37" i="17"/>
  <c r="M37" i="17"/>
  <c r="P36" i="17"/>
  <c r="O36" i="17"/>
  <c r="M36" i="17"/>
  <c r="E35" i="17"/>
  <c r="E37" i="17" s="1"/>
  <c r="M34" i="16"/>
  <c r="B36" i="16"/>
  <c r="J36" i="16" s="1"/>
  <c r="K36" i="16" s="1"/>
  <c r="D34" i="16"/>
  <c r="D36" i="16" s="1"/>
  <c r="F35" i="16" s="1"/>
  <c r="E34" i="15"/>
  <c r="E36" i="15" s="1"/>
  <c r="P35" i="15"/>
  <c r="O35" i="15"/>
  <c r="O36" i="15"/>
  <c r="M36" i="15"/>
  <c r="M35" i="15"/>
  <c r="E8" i="23"/>
  <c r="E10" i="23" s="1"/>
  <c r="G9" i="23" s="1"/>
  <c r="E8" i="26"/>
  <c r="E10" i="26" s="1"/>
  <c r="P9" i="26"/>
  <c r="O9" i="26"/>
  <c r="O10" i="26" s="1"/>
  <c r="M9" i="26"/>
  <c r="M10" i="26" s="1"/>
  <c r="E8" i="25"/>
  <c r="E10" i="25" s="1"/>
  <c r="O9" i="25"/>
  <c r="O10" i="25" s="1"/>
  <c r="M9" i="25"/>
  <c r="M10" i="25" s="1"/>
  <c r="P9" i="25"/>
  <c r="P9" i="24"/>
  <c r="O9" i="24"/>
  <c r="O10" i="24" s="1"/>
  <c r="M9" i="24"/>
  <c r="M10" i="24" s="1"/>
  <c r="E8" i="24"/>
  <c r="E10" i="24" s="1"/>
  <c r="P9" i="23"/>
  <c r="M9" i="23"/>
  <c r="M10" i="23" s="1"/>
  <c r="O9" i="23"/>
  <c r="O10" i="23" s="1"/>
  <c r="P9" i="21"/>
  <c r="O9" i="21"/>
  <c r="O10" i="21" s="1"/>
  <c r="M9" i="21"/>
  <c r="M10" i="21" s="1"/>
  <c r="E8" i="21"/>
  <c r="E10" i="21" s="1"/>
  <c r="E8" i="20"/>
  <c r="E10" i="20" s="1"/>
  <c r="P9" i="20"/>
  <c r="O9" i="20"/>
  <c r="O10" i="20" s="1"/>
  <c r="M9" i="20"/>
  <c r="M10" i="20" s="1"/>
  <c r="P35" i="29" l="1"/>
  <c r="O35" i="29"/>
  <c r="O36" i="29" s="1"/>
  <c r="M35" i="29"/>
  <c r="M36" i="29" s="1"/>
  <c r="E34" i="29"/>
  <c r="E36" i="29" s="1"/>
  <c r="G9" i="29"/>
  <c r="F8" i="29"/>
  <c r="F10" i="29" s="1"/>
  <c r="G35" i="27"/>
  <c r="F34" i="27"/>
  <c r="F36" i="27" s="1"/>
  <c r="E8" i="27"/>
  <c r="E10" i="27" s="1"/>
  <c r="G9" i="27" s="1"/>
  <c r="M9" i="27"/>
  <c r="M10" i="27" s="1"/>
  <c r="P9" i="27"/>
  <c r="O9" i="27"/>
  <c r="O10" i="27" s="1"/>
  <c r="F8" i="27"/>
  <c r="F10" i="27" s="1"/>
  <c r="E34" i="24"/>
  <c r="E36" i="24" s="1"/>
  <c r="P35" i="24"/>
  <c r="O35" i="24"/>
  <c r="O36" i="24" s="1"/>
  <c r="M35" i="24"/>
  <c r="M36" i="24" s="1"/>
  <c r="G35" i="26"/>
  <c r="F34" i="26"/>
  <c r="F36" i="26" s="1"/>
  <c r="G36" i="17"/>
  <c r="F35" i="17"/>
  <c r="F37" i="17" s="1"/>
  <c r="E34" i="16"/>
  <c r="E36" i="16" s="1"/>
  <c r="P35" i="16"/>
  <c r="O35" i="16"/>
  <c r="O36" i="16" s="1"/>
  <c r="M35" i="16"/>
  <c r="M36" i="16"/>
  <c r="G35" i="15"/>
  <c r="F34" i="15"/>
  <c r="F36" i="15" s="1"/>
  <c r="F8" i="23"/>
  <c r="F10" i="23" s="1"/>
  <c r="G8" i="23" s="1"/>
  <c r="G10" i="23" s="1"/>
  <c r="G9" i="26"/>
  <c r="F8" i="26"/>
  <c r="F10" i="26" s="1"/>
  <c r="G9" i="25"/>
  <c r="F8" i="25"/>
  <c r="F10" i="25" s="1"/>
  <c r="G9" i="24"/>
  <c r="F8" i="24"/>
  <c r="F10" i="24" s="1"/>
  <c r="G9" i="21"/>
  <c r="F8" i="21"/>
  <c r="F10" i="21" s="1"/>
  <c r="G9" i="20"/>
  <c r="F8" i="20"/>
  <c r="F10" i="20" s="1"/>
  <c r="G35" i="29" l="1"/>
  <c r="F34" i="29"/>
  <c r="F36" i="29" s="1"/>
  <c r="H9" i="29"/>
  <c r="G8" i="29"/>
  <c r="G10" i="29" s="1"/>
  <c r="B14" i="29" s="1"/>
  <c r="B13" i="29" s="1"/>
  <c r="B15" i="29" s="1"/>
  <c r="H35" i="27"/>
  <c r="G34" i="27"/>
  <c r="G36" i="27" s="1"/>
  <c r="H9" i="27"/>
  <c r="G8" i="27"/>
  <c r="G10" i="27" s="1"/>
  <c r="G35" i="24"/>
  <c r="F34" i="24"/>
  <c r="F36" i="24" s="1"/>
  <c r="H35" i="26"/>
  <c r="G34" i="26"/>
  <c r="G36" i="26" s="1"/>
  <c r="H36" i="17"/>
  <c r="G35" i="17"/>
  <c r="G37" i="17" s="1"/>
  <c r="G35" i="16"/>
  <c r="F34" i="16"/>
  <c r="F36" i="16" s="1"/>
  <c r="H35" i="15"/>
  <c r="G34" i="15"/>
  <c r="G36" i="15" s="1"/>
  <c r="H9" i="23"/>
  <c r="B14" i="23"/>
  <c r="I9" i="23"/>
  <c r="H8" i="23"/>
  <c r="H9" i="26"/>
  <c r="G8" i="26"/>
  <c r="G10" i="26" s="1"/>
  <c r="H9" i="25"/>
  <c r="G8" i="25"/>
  <c r="G10" i="25" s="1"/>
  <c r="H9" i="24"/>
  <c r="G8" i="24"/>
  <c r="G10" i="24" s="1"/>
  <c r="H9" i="21"/>
  <c r="G8" i="21"/>
  <c r="G10" i="21" s="1"/>
  <c r="H9" i="20"/>
  <c r="G8" i="20"/>
  <c r="G10" i="20" s="1"/>
  <c r="H35" i="29" l="1"/>
  <c r="G34" i="29"/>
  <c r="G36" i="29" s="1"/>
  <c r="B40" i="29" s="1"/>
  <c r="B39" i="29" s="1"/>
  <c r="B41" i="29" s="1"/>
  <c r="I9" i="29"/>
  <c r="H8" i="29"/>
  <c r="H10" i="29" s="1"/>
  <c r="I8" i="29" s="1"/>
  <c r="I10" i="29" s="1"/>
  <c r="B40" i="27"/>
  <c r="I35" i="27"/>
  <c r="H34" i="27"/>
  <c r="H36" i="27" s="1"/>
  <c r="I34" i="27" s="1"/>
  <c r="B14" i="27"/>
  <c r="I9" i="27"/>
  <c r="H8" i="27"/>
  <c r="H10" i="27" s="1"/>
  <c r="I8" i="27" s="1"/>
  <c r="H35" i="24"/>
  <c r="G34" i="24"/>
  <c r="G36" i="24" s="1"/>
  <c r="B40" i="26"/>
  <c r="I35" i="26"/>
  <c r="H34" i="26"/>
  <c r="H36" i="26" s="1"/>
  <c r="I34" i="26" s="1"/>
  <c r="B41" i="17"/>
  <c r="I36" i="17"/>
  <c r="H35" i="17"/>
  <c r="H37" i="17" s="1"/>
  <c r="I35" i="17" s="1"/>
  <c r="H35" i="16"/>
  <c r="G34" i="16"/>
  <c r="G36" i="16" s="1"/>
  <c r="B40" i="15"/>
  <c r="I35" i="15"/>
  <c r="H34" i="15"/>
  <c r="H36" i="15" s="1"/>
  <c r="I34" i="15" s="1"/>
  <c r="H10" i="23"/>
  <c r="I8" i="23" s="1"/>
  <c r="I10" i="23" s="1"/>
  <c r="E14" i="23"/>
  <c r="B13" i="23"/>
  <c r="B14" i="26"/>
  <c r="I9" i="26"/>
  <c r="H8" i="26"/>
  <c r="H10" i="26" s="1"/>
  <c r="I8" i="26" s="1"/>
  <c r="B14" i="25"/>
  <c r="I9" i="25"/>
  <c r="H8" i="25"/>
  <c r="H10" i="25" s="1"/>
  <c r="I8" i="25" s="1"/>
  <c r="B14" i="24"/>
  <c r="I9" i="24"/>
  <c r="H8" i="24"/>
  <c r="H10" i="24" s="1"/>
  <c r="I8" i="24" s="1"/>
  <c r="B14" i="21"/>
  <c r="I9" i="21"/>
  <c r="H8" i="21"/>
  <c r="H10" i="21" s="1"/>
  <c r="I8" i="21" s="1"/>
  <c r="B14" i="20"/>
  <c r="I9" i="20"/>
  <c r="H8" i="20"/>
  <c r="H10" i="20" s="1"/>
  <c r="I8" i="20" s="1"/>
  <c r="I35" i="29" l="1"/>
  <c r="H34" i="29"/>
  <c r="H36" i="29" s="1"/>
  <c r="I34" i="29" s="1"/>
  <c r="E14" i="29"/>
  <c r="I36" i="27"/>
  <c r="E40" i="27"/>
  <c r="B39" i="27"/>
  <c r="E14" i="27"/>
  <c r="B13" i="27"/>
  <c r="I10" i="27"/>
  <c r="B40" i="24"/>
  <c r="I35" i="24"/>
  <c r="H34" i="24"/>
  <c r="H36" i="24" s="1"/>
  <c r="I34" i="24" s="1"/>
  <c r="I36" i="24" s="1"/>
  <c r="I36" i="26"/>
  <c r="E40" i="26"/>
  <c r="B39" i="26"/>
  <c r="I10" i="25"/>
  <c r="I10" i="21"/>
  <c r="I37" i="17"/>
  <c r="E41" i="17"/>
  <c r="B40" i="17"/>
  <c r="B40" i="16"/>
  <c r="I35" i="16"/>
  <c r="H34" i="16"/>
  <c r="H36" i="16" s="1"/>
  <c r="I34" i="16" s="1"/>
  <c r="I36" i="15"/>
  <c r="E40" i="15"/>
  <c r="B39" i="15"/>
  <c r="I10" i="26"/>
  <c r="I10" i="24"/>
  <c r="B15" i="23"/>
  <c r="J15" i="23" s="1"/>
  <c r="K15" i="23" s="1"/>
  <c r="D13" i="23"/>
  <c r="D15" i="23" s="1"/>
  <c r="F14" i="23" s="1"/>
  <c r="M13" i="23"/>
  <c r="I10" i="20"/>
  <c r="E14" i="26"/>
  <c r="B13" i="26"/>
  <c r="E14" i="25"/>
  <c r="B13" i="25"/>
  <c r="E14" i="24"/>
  <c r="B13" i="24"/>
  <c r="E14" i="21"/>
  <c r="B13" i="21"/>
  <c r="E14" i="20"/>
  <c r="B13" i="20"/>
  <c r="I36" i="29" l="1"/>
  <c r="E40" i="29"/>
  <c r="J15" i="29"/>
  <c r="K15" i="29" s="1"/>
  <c r="D13" i="29"/>
  <c r="D15" i="29" s="1"/>
  <c r="F14" i="29" s="1"/>
  <c r="M13" i="29"/>
  <c r="B41" i="27"/>
  <c r="J41" i="27" s="1"/>
  <c r="K41" i="27" s="1"/>
  <c r="D39" i="27"/>
  <c r="D41" i="27" s="1"/>
  <c r="F40" i="27" s="1"/>
  <c r="M39" i="27"/>
  <c r="B15" i="27"/>
  <c r="J15" i="27" s="1"/>
  <c r="K15" i="27" s="1"/>
  <c r="D13" i="27"/>
  <c r="D15" i="27" s="1"/>
  <c r="F14" i="27" s="1"/>
  <c r="M13" i="27"/>
  <c r="E40" i="24"/>
  <c r="B39" i="24"/>
  <c r="B41" i="26"/>
  <c r="J41" i="26" s="1"/>
  <c r="K41" i="26" s="1"/>
  <c r="D39" i="26"/>
  <c r="D41" i="26" s="1"/>
  <c r="F40" i="26" s="1"/>
  <c r="M39" i="26"/>
  <c r="B42" i="17"/>
  <c r="J42" i="17" s="1"/>
  <c r="K42" i="17" s="1"/>
  <c r="D40" i="17"/>
  <c r="D42" i="17" s="1"/>
  <c r="F41" i="17" s="1"/>
  <c r="M40" i="17"/>
  <c r="I36" i="16"/>
  <c r="E40" i="16"/>
  <c r="B39" i="16"/>
  <c r="B41" i="15"/>
  <c r="J41" i="15" s="1"/>
  <c r="K41" i="15" s="1"/>
  <c r="D39" i="15"/>
  <c r="D41" i="15" s="1"/>
  <c r="F40" i="15" s="1"/>
  <c r="M39" i="15"/>
  <c r="M14" i="23"/>
  <c r="M15" i="23" s="1"/>
  <c r="O14" i="23"/>
  <c r="O15" i="23" s="1"/>
  <c r="P14" i="23"/>
  <c r="E13" i="23"/>
  <c r="E15" i="23" s="1"/>
  <c r="B15" i="26"/>
  <c r="J15" i="26" s="1"/>
  <c r="K15" i="26" s="1"/>
  <c r="D13" i="26"/>
  <c r="D15" i="26" s="1"/>
  <c r="F14" i="26" s="1"/>
  <c r="M13" i="26"/>
  <c r="D13" i="25"/>
  <c r="D15" i="25" s="1"/>
  <c r="F14" i="25" s="1"/>
  <c r="B15" i="25"/>
  <c r="J15" i="25" s="1"/>
  <c r="K15" i="25" s="1"/>
  <c r="M13" i="25"/>
  <c r="M13" i="24"/>
  <c r="B15" i="24"/>
  <c r="J15" i="24" s="1"/>
  <c r="K15" i="24" s="1"/>
  <c r="D13" i="24"/>
  <c r="D15" i="24" s="1"/>
  <c r="F14" i="24" s="1"/>
  <c r="B15" i="21"/>
  <c r="J15" i="21" s="1"/>
  <c r="K15" i="21" s="1"/>
  <c r="D13" i="21"/>
  <c r="D15" i="21" s="1"/>
  <c r="F14" i="21" s="1"/>
  <c r="M13" i="21"/>
  <c r="B15" i="20"/>
  <c r="J15" i="20" s="1"/>
  <c r="K15" i="20" s="1"/>
  <c r="D13" i="20"/>
  <c r="D15" i="20" s="1"/>
  <c r="F14" i="20" s="1"/>
  <c r="M13" i="20"/>
  <c r="J41" i="29" l="1"/>
  <c r="K41" i="29" s="1"/>
  <c r="D39" i="29"/>
  <c r="D41" i="29" s="1"/>
  <c r="F40" i="29" s="1"/>
  <c r="M39" i="29"/>
  <c r="E13" i="29"/>
  <c r="E15" i="29" s="1"/>
  <c r="P14" i="29"/>
  <c r="O14" i="29"/>
  <c r="O15" i="29" s="1"/>
  <c r="M14" i="29"/>
  <c r="M15" i="29" s="1"/>
  <c r="P40" i="27"/>
  <c r="O40" i="27"/>
  <c r="O41" i="27" s="1"/>
  <c r="M40" i="27"/>
  <c r="M41" i="27" s="1"/>
  <c r="E39" i="27"/>
  <c r="E41" i="27" s="1"/>
  <c r="P14" i="27"/>
  <c r="O14" i="27"/>
  <c r="O15" i="27" s="1"/>
  <c r="M14" i="27"/>
  <c r="M15" i="27" s="1"/>
  <c r="E13" i="27"/>
  <c r="E15" i="27" s="1"/>
  <c r="B41" i="24"/>
  <c r="J41" i="24" s="1"/>
  <c r="K41" i="24" s="1"/>
  <c r="D39" i="24"/>
  <c r="D41" i="24" s="1"/>
  <c r="F40" i="24" s="1"/>
  <c r="M39" i="24"/>
  <c r="E39" i="26"/>
  <c r="E41" i="26" s="1"/>
  <c r="G40" i="26" s="1"/>
  <c r="P40" i="26"/>
  <c r="O40" i="26"/>
  <c r="O41" i="26" s="1"/>
  <c r="M40" i="26"/>
  <c r="M41" i="26" s="1"/>
  <c r="E40" i="17"/>
  <c r="E42" i="17" s="1"/>
  <c r="G41" i="17" s="1"/>
  <c r="P41" i="17"/>
  <c r="O41" i="17"/>
  <c r="O42" i="17"/>
  <c r="M41" i="17"/>
  <c r="M42" i="17"/>
  <c r="B41" i="16"/>
  <c r="J41" i="16" s="1"/>
  <c r="K41" i="16" s="1"/>
  <c r="D39" i="16"/>
  <c r="D41" i="16" s="1"/>
  <c r="F40" i="16" s="1"/>
  <c r="M39" i="16"/>
  <c r="E39" i="15"/>
  <c r="E41" i="15" s="1"/>
  <c r="O40" i="15"/>
  <c r="O41" i="15" s="1"/>
  <c r="P40" i="15"/>
  <c r="M40" i="15"/>
  <c r="M41" i="15" s="1"/>
  <c r="G14" i="23"/>
  <c r="F13" i="23"/>
  <c r="F15" i="23" s="1"/>
  <c r="E13" i="26"/>
  <c r="E15" i="26" s="1"/>
  <c r="P14" i="26"/>
  <c r="O14" i="26"/>
  <c r="O15" i="26" s="1"/>
  <c r="M14" i="26"/>
  <c r="M15" i="26" s="1"/>
  <c r="P14" i="25"/>
  <c r="O14" i="25"/>
  <c r="O15" i="25" s="1"/>
  <c r="M14" i="25"/>
  <c r="M15" i="25" s="1"/>
  <c r="E13" i="25"/>
  <c r="E15" i="25" s="1"/>
  <c r="E13" i="24"/>
  <c r="E15" i="24" s="1"/>
  <c r="P14" i="24"/>
  <c r="O14" i="24"/>
  <c r="O15" i="24" s="1"/>
  <c r="M14" i="24"/>
  <c r="M15" i="24" s="1"/>
  <c r="M14" i="21"/>
  <c r="M15" i="21" s="1"/>
  <c r="P14" i="21"/>
  <c r="O14" i="21"/>
  <c r="O15" i="21" s="1"/>
  <c r="E13" i="21"/>
  <c r="E15" i="21" s="1"/>
  <c r="M15" i="20"/>
  <c r="P14" i="20"/>
  <c r="O14" i="20"/>
  <c r="O15" i="20" s="1"/>
  <c r="M14" i="20"/>
  <c r="E13" i="20"/>
  <c r="E15" i="20" s="1"/>
  <c r="E39" i="29" l="1"/>
  <c r="E41" i="29" s="1"/>
  <c r="P40" i="29"/>
  <c r="O40" i="29"/>
  <c r="O41" i="29" s="1"/>
  <c r="M40" i="29"/>
  <c r="M41" i="29" s="1"/>
  <c r="G14" i="29"/>
  <c r="F13" i="29"/>
  <c r="F15" i="29" s="1"/>
  <c r="G40" i="27"/>
  <c r="F39" i="27"/>
  <c r="F41" i="27" s="1"/>
  <c r="G14" i="27"/>
  <c r="F13" i="27"/>
  <c r="F15" i="27" s="1"/>
  <c r="E39" i="24"/>
  <c r="E41" i="24" s="1"/>
  <c r="G40" i="24" s="1"/>
  <c r="P40" i="24"/>
  <c r="O40" i="24"/>
  <c r="O41" i="24" s="1"/>
  <c r="M40" i="24"/>
  <c r="M41" i="24" s="1"/>
  <c r="F39" i="26"/>
  <c r="F41" i="26" s="1"/>
  <c r="H40" i="26" s="1"/>
  <c r="F40" i="17"/>
  <c r="F42" i="17" s="1"/>
  <c r="H41" i="17" s="1"/>
  <c r="E39" i="16"/>
  <c r="E41" i="16" s="1"/>
  <c r="M40" i="16"/>
  <c r="M41" i="16" s="1"/>
  <c r="P40" i="16"/>
  <c r="O40" i="16"/>
  <c r="O41" i="16" s="1"/>
  <c r="G40" i="15"/>
  <c r="F39" i="15"/>
  <c r="F41" i="15" s="1"/>
  <c r="G13" i="23"/>
  <c r="G15" i="23" s="1"/>
  <c r="H14" i="23"/>
  <c r="G14" i="26"/>
  <c r="F13" i="26"/>
  <c r="F15" i="26" s="1"/>
  <c r="G14" i="25"/>
  <c r="F13" i="25"/>
  <c r="F15" i="25" s="1"/>
  <c r="G14" i="24"/>
  <c r="F13" i="24"/>
  <c r="F15" i="24" s="1"/>
  <c r="G14" i="21"/>
  <c r="F13" i="21"/>
  <c r="F15" i="21" s="1"/>
  <c r="G14" i="20"/>
  <c r="F13" i="20"/>
  <c r="F15" i="20" s="1"/>
  <c r="G40" i="29" l="1"/>
  <c r="F39" i="29"/>
  <c r="F41" i="29" s="1"/>
  <c r="H14" i="29"/>
  <c r="G13" i="29"/>
  <c r="G15" i="29" s="1"/>
  <c r="B19" i="29" s="1"/>
  <c r="B18" i="29" s="1"/>
  <c r="B20" i="29" s="1"/>
  <c r="H40" i="27"/>
  <c r="G39" i="27"/>
  <c r="G41" i="27" s="1"/>
  <c r="H14" i="27"/>
  <c r="G13" i="27"/>
  <c r="G15" i="27" s="1"/>
  <c r="F39" i="24"/>
  <c r="F41" i="24" s="1"/>
  <c r="H40" i="24" s="1"/>
  <c r="G39" i="26"/>
  <c r="G41" i="26" s="1"/>
  <c r="H39" i="26" s="1"/>
  <c r="H41" i="26" s="1"/>
  <c r="I39" i="26" s="1"/>
  <c r="G40" i="17"/>
  <c r="G42" i="17" s="1"/>
  <c r="H40" i="17" s="1"/>
  <c r="H42" i="17" s="1"/>
  <c r="I40" i="17" s="1"/>
  <c r="G40" i="16"/>
  <c r="F39" i="16"/>
  <c r="F41" i="16" s="1"/>
  <c r="H40" i="15"/>
  <c r="G39" i="15"/>
  <c r="G41" i="15" s="1"/>
  <c r="H13" i="23"/>
  <c r="H15" i="23" s="1"/>
  <c r="I13" i="23" s="1"/>
  <c r="B19" i="23"/>
  <c r="I14" i="23"/>
  <c r="H14" i="26"/>
  <c r="G13" i="26"/>
  <c r="G15" i="26" s="1"/>
  <c r="H14" i="25"/>
  <c r="G13" i="25"/>
  <c r="G15" i="25" s="1"/>
  <c r="H14" i="24"/>
  <c r="G13" i="24"/>
  <c r="G15" i="24" s="1"/>
  <c r="H14" i="21"/>
  <c r="G13" i="21"/>
  <c r="G15" i="21" s="1"/>
  <c r="H14" i="20"/>
  <c r="G13" i="20"/>
  <c r="G15" i="20" s="1"/>
  <c r="H40" i="29" l="1"/>
  <c r="G39" i="29"/>
  <c r="G41" i="29" s="1"/>
  <c r="B45" i="29" s="1"/>
  <c r="B44" i="29" s="1"/>
  <c r="B46" i="29" s="1"/>
  <c r="I14" i="29"/>
  <c r="H13" i="29"/>
  <c r="H15" i="29" s="1"/>
  <c r="I13" i="29" s="1"/>
  <c r="I15" i="29" s="1"/>
  <c r="B45" i="27"/>
  <c r="I40" i="27"/>
  <c r="H39" i="27"/>
  <c r="H41" i="27" s="1"/>
  <c r="I39" i="27" s="1"/>
  <c r="B19" i="27"/>
  <c r="I14" i="27"/>
  <c r="H13" i="27"/>
  <c r="H15" i="27" s="1"/>
  <c r="I13" i="27" s="1"/>
  <c r="G39" i="24"/>
  <c r="G41" i="24" s="1"/>
  <c r="B45" i="24" s="1"/>
  <c r="I40" i="26"/>
  <c r="I41" i="26" s="1"/>
  <c r="B45" i="26"/>
  <c r="E45" i="26" s="1"/>
  <c r="I41" i="17"/>
  <c r="I42" i="17" s="1"/>
  <c r="B46" i="17"/>
  <c r="B45" i="17" s="1"/>
  <c r="H40" i="16"/>
  <c r="G39" i="16"/>
  <c r="G41" i="16" s="1"/>
  <c r="B45" i="15"/>
  <c r="I40" i="15"/>
  <c r="H39" i="15"/>
  <c r="H41" i="15" s="1"/>
  <c r="I39" i="15" s="1"/>
  <c r="B18" i="23"/>
  <c r="E19" i="23"/>
  <c r="I15" i="23"/>
  <c r="B19" i="26"/>
  <c r="I14" i="26"/>
  <c r="H13" i="26"/>
  <c r="H15" i="26" s="1"/>
  <c r="I13" i="26" s="1"/>
  <c r="B19" i="25"/>
  <c r="I14" i="25"/>
  <c r="H13" i="25"/>
  <c r="H15" i="25" s="1"/>
  <c r="I13" i="25" s="1"/>
  <c r="B19" i="24"/>
  <c r="I14" i="24"/>
  <c r="H13" i="24"/>
  <c r="H15" i="24" s="1"/>
  <c r="I13" i="24" s="1"/>
  <c r="B19" i="21"/>
  <c r="I14" i="21"/>
  <c r="H13" i="21"/>
  <c r="H15" i="21" s="1"/>
  <c r="I13" i="21" s="1"/>
  <c r="B19" i="20"/>
  <c r="I14" i="20"/>
  <c r="H13" i="20"/>
  <c r="H15" i="20" s="1"/>
  <c r="I13" i="20" s="1"/>
  <c r="I40" i="29" l="1"/>
  <c r="H39" i="29"/>
  <c r="H41" i="29" s="1"/>
  <c r="I39" i="29" s="1"/>
  <c r="I41" i="29" s="1"/>
  <c r="E19" i="29"/>
  <c r="I41" i="27"/>
  <c r="E45" i="27"/>
  <c r="B44" i="27"/>
  <c r="I15" i="27"/>
  <c r="E19" i="27"/>
  <c r="B18" i="27"/>
  <c r="H39" i="24"/>
  <c r="H41" i="24" s="1"/>
  <c r="I39" i="24" s="1"/>
  <c r="I40" i="24"/>
  <c r="B44" i="24"/>
  <c r="E45" i="24"/>
  <c r="B44" i="26"/>
  <c r="D44" i="26" s="1"/>
  <c r="D46" i="26" s="1"/>
  <c r="F45" i="26" s="1"/>
  <c r="B46" i="26"/>
  <c r="J46" i="26" s="1"/>
  <c r="K46" i="26" s="1"/>
  <c r="E46" i="17"/>
  <c r="M45" i="17"/>
  <c r="B47" i="17"/>
  <c r="J47" i="17" s="1"/>
  <c r="K47" i="17" s="1"/>
  <c r="D45" i="17"/>
  <c r="D47" i="17" s="1"/>
  <c r="F46" i="17" s="1"/>
  <c r="B45" i="16"/>
  <c r="I40" i="16"/>
  <c r="H39" i="16"/>
  <c r="H41" i="16" s="1"/>
  <c r="I39" i="16" s="1"/>
  <c r="B44" i="15"/>
  <c r="E45" i="15"/>
  <c r="I41" i="15"/>
  <c r="I15" i="26"/>
  <c r="I15" i="24"/>
  <c r="M18" i="23"/>
  <c r="D18" i="23"/>
  <c r="D20" i="23" s="1"/>
  <c r="B20" i="23"/>
  <c r="J20" i="23" s="1"/>
  <c r="K20" i="23" s="1"/>
  <c r="I15" i="20"/>
  <c r="E19" i="26"/>
  <c r="B18" i="26"/>
  <c r="E19" i="25"/>
  <c r="B18" i="25"/>
  <c r="I15" i="25"/>
  <c r="E19" i="24"/>
  <c r="B18" i="24"/>
  <c r="E19" i="21"/>
  <c r="B18" i="21"/>
  <c r="I15" i="21"/>
  <c r="E19" i="20"/>
  <c r="B18" i="20"/>
  <c r="E45" i="29" l="1"/>
  <c r="M18" i="29"/>
  <c r="J20" i="29"/>
  <c r="K20" i="29" s="1"/>
  <c r="D18" i="29"/>
  <c r="D20" i="29" s="1"/>
  <c r="F19" i="29" s="1"/>
  <c r="M44" i="27"/>
  <c r="B46" i="27"/>
  <c r="J46" i="27" s="1"/>
  <c r="K46" i="27" s="1"/>
  <c r="D44" i="27"/>
  <c r="D46" i="27" s="1"/>
  <c r="F45" i="27" s="1"/>
  <c r="B20" i="27"/>
  <c r="J20" i="27" s="1"/>
  <c r="K20" i="27" s="1"/>
  <c r="D18" i="27"/>
  <c r="D20" i="27" s="1"/>
  <c r="F19" i="27" s="1"/>
  <c r="M18" i="27"/>
  <c r="I41" i="24"/>
  <c r="M44" i="24"/>
  <c r="D44" i="24"/>
  <c r="D46" i="24" s="1"/>
  <c r="F45" i="24" s="1"/>
  <c r="B46" i="24"/>
  <c r="J46" i="24" s="1"/>
  <c r="K46" i="24" s="1"/>
  <c r="M44" i="26"/>
  <c r="P45" i="26" s="1"/>
  <c r="M45" i="26"/>
  <c r="M46" i="26" s="1"/>
  <c r="O45" i="26"/>
  <c r="O46" i="26" s="1"/>
  <c r="E44" i="26"/>
  <c r="E46" i="26" s="1"/>
  <c r="E45" i="17"/>
  <c r="E47" i="17" s="1"/>
  <c r="O47" i="17"/>
  <c r="M47" i="17"/>
  <c r="P46" i="17"/>
  <c r="O46" i="17"/>
  <c r="M46" i="17"/>
  <c r="I41" i="16"/>
  <c r="E45" i="16"/>
  <c r="B44" i="16"/>
  <c r="M44" i="15"/>
  <c r="D44" i="15"/>
  <c r="D46" i="15" s="1"/>
  <c r="F45" i="15" s="1"/>
  <c r="B46" i="15"/>
  <c r="J46" i="15" s="1"/>
  <c r="K46" i="15" s="1"/>
  <c r="F19" i="23"/>
  <c r="E18" i="23"/>
  <c r="E20" i="23" s="1"/>
  <c r="M19" i="23"/>
  <c r="M20" i="23"/>
  <c r="P19" i="23"/>
  <c r="O19" i="23"/>
  <c r="O20" i="23" s="1"/>
  <c r="M18" i="26"/>
  <c r="D18" i="26"/>
  <c r="D20" i="26" s="1"/>
  <c r="F19" i="26" s="1"/>
  <c r="B20" i="26"/>
  <c r="J20" i="26" s="1"/>
  <c r="K20" i="26" s="1"/>
  <c r="M18" i="25"/>
  <c r="B20" i="25"/>
  <c r="J20" i="25" s="1"/>
  <c r="K20" i="25" s="1"/>
  <c r="D18" i="25"/>
  <c r="D20" i="25" s="1"/>
  <c r="F19" i="25" s="1"/>
  <c r="M18" i="24"/>
  <c r="B20" i="24"/>
  <c r="J20" i="24" s="1"/>
  <c r="K20" i="24" s="1"/>
  <c r="D18" i="24"/>
  <c r="D20" i="24" s="1"/>
  <c r="F19" i="24" s="1"/>
  <c r="B20" i="21"/>
  <c r="J20" i="21" s="1"/>
  <c r="K20" i="21" s="1"/>
  <c r="M18" i="21"/>
  <c r="D18" i="21"/>
  <c r="D20" i="21" s="1"/>
  <c r="F19" i="21" s="1"/>
  <c r="M18" i="20"/>
  <c r="B20" i="20"/>
  <c r="J20" i="20" s="1"/>
  <c r="K20" i="20" s="1"/>
  <c r="D18" i="20"/>
  <c r="D20" i="20" s="1"/>
  <c r="F19" i="20" s="1"/>
  <c r="M44" i="29" l="1"/>
  <c r="J46" i="29"/>
  <c r="K46" i="29" s="1"/>
  <c r="D44" i="29"/>
  <c r="D46" i="29" s="1"/>
  <c r="F45" i="29" s="1"/>
  <c r="E18" i="29"/>
  <c r="E20" i="29" s="1"/>
  <c r="P19" i="29"/>
  <c r="O19" i="29"/>
  <c r="M19" i="29"/>
  <c r="M20" i="29" s="1"/>
  <c r="O20" i="29"/>
  <c r="E44" i="27"/>
  <c r="E46" i="27" s="1"/>
  <c r="P45" i="27"/>
  <c r="O45" i="27"/>
  <c r="O46" i="27" s="1"/>
  <c r="M45" i="27"/>
  <c r="M46" i="27" s="1"/>
  <c r="E18" i="27"/>
  <c r="E20" i="27" s="1"/>
  <c r="M19" i="27"/>
  <c r="M20" i="27"/>
  <c r="P19" i="27"/>
  <c r="O19" i="27"/>
  <c r="O20" i="27" s="1"/>
  <c r="P45" i="24"/>
  <c r="O45" i="24"/>
  <c r="O46" i="24" s="1"/>
  <c r="M45" i="24"/>
  <c r="M46" i="24" s="1"/>
  <c r="E44" i="24"/>
  <c r="E46" i="24" s="1"/>
  <c r="G45" i="26"/>
  <c r="F44" i="26"/>
  <c r="F46" i="26" s="1"/>
  <c r="G46" i="17"/>
  <c r="F45" i="17"/>
  <c r="F47" i="17" s="1"/>
  <c r="M44" i="16"/>
  <c r="D44" i="16"/>
  <c r="D46" i="16" s="1"/>
  <c r="F45" i="16" s="1"/>
  <c r="B46" i="16"/>
  <c r="J46" i="16" s="1"/>
  <c r="K46" i="16" s="1"/>
  <c r="E44" i="15"/>
  <c r="E46" i="15" s="1"/>
  <c r="P45" i="15"/>
  <c r="O45" i="15"/>
  <c r="M46" i="15"/>
  <c r="M45" i="15"/>
  <c r="O46" i="15"/>
  <c r="E18" i="26"/>
  <c r="E20" i="26" s="1"/>
  <c r="E18" i="25"/>
  <c r="E20" i="25" s="1"/>
  <c r="G19" i="25" s="1"/>
  <c r="E18" i="24"/>
  <c r="E20" i="24" s="1"/>
  <c r="G19" i="24" s="1"/>
  <c r="F18" i="23"/>
  <c r="F20" i="23" s="1"/>
  <c r="G19" i="23"/>
  <c r="E18" i="20"/>
  <c r="E20" i="20" s="1"/>
  <c r="G19" i="20" s="1"/>
  <c r="P19" i="26"/>
  <c r="O19" i="26"/>
  <c r="O20" i="26" s="1"/>
  <c r="M19" i="26"/>
  <c r="M20" i="26" s="1"/>
  <c r="P19" i="25"/>
  <c r="O19" i="25"/>
  <c r="O20" i="25" s="1"/>
  <c r="M19" i="25"/>
  <c r="M20" i="25" s="1"/>
  <c r="P19" i="24"/>
  <c r="O19" i="24"/>
  <c r="O20" i="24" s="1"/>
  <c r="M19" i="24"/>
  <c r="M20" i="24" s="1"/>
  <c r="E18" i="21"/>
  <c r="E20" i="21" s="1"/>
  <c r="P19" i="21"/>
  <c r="O19" i="21"/>
  <c r="O20" i="21" s="1"/>
  <c r="M19" i="21"/>
  <c r="M20" i="21"/>
  <c r="P19" i="20"/>
  <c r="O19" i="20"/>
  <c r="O20" i="20" s="1"/>
  <c r="M19" i="20"/>
  <c r="M20" i="20"/>
  <c r="E44" i="29" l="1"/>
  <c r="E46" i="29" s="1"/>
  <c r="G45" i="29" s="1"/>
  <c r="P45" i="29"/>
  <c r="O45" i="29"/>
  <c r="M45" i="29"/>
  <c r="O46" i="29"/>
  <c r="M46" i="29"/>
  <c r="G19" i="29"/>
  <c r="F18" i="29"/>
  <c r="F20" i="29" s="1"/>
  <c r="G45" i="27"/>
  <c r="F44" i="27"/>
  <c r="F46" i="27" s="1"/>
  <c r="G19" i="27"/>
  <c r="F18" i="27"/>
  <c r="F20" i="27" s="1"/>
  <c r="G45" i="24"/>
  <c r="F44" i="24"/>
  <c r="F46" i="24" s="1"/>
  <c r="H45" i="26"/>
  <c r="G44" i="26"/>
  <c r="G46" i="26" s="1"/>
  <c r="H46" i="17"/>
  <c r="G45" i="17"/>
  <c r="G47" i="17" s="1"/>
  <c r="E44" i="16"/>
  <c r="E46" i="16" s="1"/>
  <c r="G45" i="16" s="1"/>
  <c r="P45" i="16"/>
  <c r="O45" i="16"/>
  <c r="O46" i="16" s="1"/>
  <c r="M45" i="16"/>
  <c r="M46" i="16" s="1"/>
  <c r="G45" i="15"/>
  <c r="F44" i="15"/>
  <c r="F46" i="15" s="1"/>
  <c r="G19" i="26"/>
  <c r="F18" i="26"/>
  <c r="F20" i="26" s="1"/>
  <c r="F18" i="25"/>
  <c r="F20" i="25" s="1"/>
  <c r="H19" i="25" s="1"/>
  <c r="F18" i="24"/>
  <c r="F20" i="24" s="1"/>
  <c r="H19" i="24" s="1"/>
  <c r="H19" i="23"/>
  <c r="G18" i="23"/>
  <c r="G20" i="23" s="1"/>
  <c r="F18" i="20"/>
  <c r="F20" i="20" s="1"/>
  <c r="H19" i="20" s="1"/>
  <c r="G19" i="21"/>
  <c r="F18" i="21"/>
  <c r="F20" i="21" s="1"/>
  <c r="F44" i="29" l="1"/>
  <c r="F46" i="29" s="1"/>
  <c r="H45" i="29"/>
  <c r="G44" i="29"/>
  <c r="G46" i="29" s="1"/>
  <c r="B50" i="29" s="1"/>
  <c r="B49" i="29" s="1"/>
  <c r="B51" i="29" s="1"/>
  <c r="H19" i="29"/>
  <c r="G18" i="29"/>
  <c r="G20" i="29" s="1"/>
  <c r="B24" i="29" s="1"/>
  <c r="B23" i="29" s="1"/>
  <c r="B25" i="29" s="1"/>
  <c r="H45" i="27"/>
  <c r="G44" i="27"/>
  <c r="G46" i="27" s="1"/>
  <c r="H19" i="27"/>
  <c r="G18" i="27"/>
  <c r="G20" i="27" s="1"/>
  <c r="H45" i="24"/>
  <c r="G44" i="24"/>
  <c r="G46" i="24" s="1"/>
  <c r="B50" i="26"/>
  <c r="I45" i="26"/>
  <c r="H44" i="26"/>
  <c r="H46" i="26" s="1"/>
  <c r="I44" i="26" s="1"/>
  <c r="B51" i="17"/>
  <c r="I46" i="17"/>
  <c r="H45" i="17"/>
  <c r="H47" i="17" s="1"/>
  <c r="I45" i="17" s="1"/>
  <c r="F44" i="16"/>
  <c r="F46" i="16" s="1"/>
  <c r="H45" i="16" s="1"/>
  <c r="H45" i="15"/>
  <c r="G44" i="15"/>
  <c r="G46" i="15" s="1"/>
  <c r="H19" i="26"/>
  <c r="G18" i="26"/>
  <c r="G20" i="26" s="1"/>
  <c r="G18" i="25"/>
  <c r="G20" i="25" s="1"/>
  <c r="I19" i="25" s="1"/>
  <c r="G18" i="24"/>
  <c r="G20" i="24" s="1"/>
  <c r="I19" i="24" s="1"/>
  <c r="I19" i="23"/>
  <c r="H18" i="23"/>
  <c r="H20" i="23" s="1"/>
  <c r="I18" i="23" s="1"/>
  <c r="G18" i="20"/>
  <c r="G20" i="20" s="1"/>
  <c r="H18" i="20" s="1"/>
  <c r="H20" i="20" s="1"/>
  <c r="I18" i="20" s="1"/>
  <c r="H19" i="21"/>
  <c r="G18" i="21"/>
  <c r="G20" i="21" s="1"/>
  <c r="I45" i="29" l="1"/>
  <c r="H44" i="29"/>
  <c r="H46" i="29" s="1"/>
  <c r="I44" i="29" s="1"/>
  <c r="I46" i="29" s="1"/>
  <c r="I19" i="29"/>
  <c r="H18" i="29"/>
  <c r="H20" i="29" s="1"/>
  <c r="I18" i="29" s="1"/>
  <c r="B50" i="27"/>
  <c r="I45" i="27"/>
  <c r="H44" i="27"/>
  <c r="H46" i="27" s="1"/>
  <c r="I44" i="27" s="1"/>
  <c r="B24" i="27"/>
  <c r="I19" i="27"/>
  <c r="H18" i="27"/>
  <c r="H20" i="27" s="1"/>
  <c r="I18" i="27" s="1"/>
  <c r="B50" i="24"/>
  <c r="I45" i="24"/>
  <c r="H44" i="24"/>
  <c r="H46" i="24" s="1"/>
  <c r="I44" i="24" s="1"/>
  <c r="I46" i="24" s="1"/>
  <c r="I46" i="26"/>
  <c r="E50" i="26"/>
  <c r="B49" i="26"/>
  <c r="I20" i="23"/>
  <c r="I47" i="17"/>
  <c r="E51" i="17"/>
  <c r="B50" i="17"/>
  <c r="G44" i="16"/>
  <c r="G46" i="16" s="1"/>
  <c r="B50" i="16" s="1"/>
  <c r="B50" i="15"/>
  <c r="I45" i="15"/>
  <c r="H44" i="15"/>
  <c r="H46" i="15" s="1"/>
  <c r="I44" i="15" s="1"/>
  <c r="I19" i="26"/>
  <c r="H18" i="26"/>
  <c r="H20" i="26" s="1"/>
  <c r="I18" i="26" s="1"/>
  <c r="B24" i="26"/>
  <c r="H18" i="25"/>
  <c r="H20" i="25" s="1"/>
  <c r="I18" i="25" s="1"/>
  <c r="I20" i="25" s="1"/>
  <c r="B24" i="25"/>
  <c r="B23" i="25" s="1"/>
  <c r="B24" i="24"/>
  <c r="E24" i="24" s="1"/>
  <c r="H18" i="24"/>
  <c r="H20" i="24" s="1"/>
  <c r="I18" i="24" s="1"/>
  <c r="I20" i="24" s="1"/>
  <c r="E24" i="23"/>
  <c r="I19" i="20"/>
  <c r="I20" i="20" s="1"/>
  <c r="B24" i="20"/>
  <c r="E24" i="20" s="1"/>
  <c r="B24" i="21"/>
  <c r="I19" i="21"/>
  <c r="H18" i="21"/>
  <c r="H20" i="21" s="1"/>
  <c r="I18" i="21" s="1"/>
  <c r="E50" i="29" l="1"/>
  <c r="I20" i="29"/>
  <c r="E24" i="29"/>
  <c r="E50" i="27"/>
  <c r="B49" i="27"/>
  <c r="I46" i="27"/>
  <c r="E24" i="27"/>
  <c r="B23" i="27"/>
  <c r="I20" i="27"/>
  <c r="E50" i="24"/>
  <c r="B49" i="24"/>
  <c r="B51" i="26"/>
  <c r="J51" i="26" s="1"/>
  <c r="K51" i="26" s="1"/>
  <c r="D49" i="26"/>
  <c r="D51" i="26" s="1"/>
  <c r="F50" i="26" s="1"/>
  <c r="M49" i="26"/>
  <c r="B52" i="17"/>
  <c r="J52" i="17" s="1"/>
  <c r="K52" i="17" s="1"/>
  <c r="D50" i="17"/>
  <c r="D52" i="17" s="1"/>
  <c r="F51" i="17" s="1"/>
  <c r="M50" i="17"/>
  <c r="H44" i="16"/>
  <c r="H46" i="16" s="1"/>
  <c r="I44" i="16" s="1"/>
  <c r="I45" i="16"/>
  <c r="E50" i="16"/>
  <c r="B49" i="16"/>
  <c r="I20" i="21"/>
  <c r="I46" i="15"/>
  <c r="E50" i="15"/>
  <c r="B49" i="15"/>
  <c r="E24" i="26"/>
  <c r="B23" i="26"/>
  <c r="I20" i="26"/>
  <c r="E24" i="25"/>
  <c r="B23" i="24"/>
  <c r="D23" i="24" s="1"/>
  <c r="D25" i="24" s="1"/>
  <c r="F24" i="24" s="1"/>
  <c r="D23" i="23"/>
  <c r="D25" i="23" s="1"/>
  <c r="B25" i="23"/>
  <c r="J25" i="23" s="1"/>
  <c r="K25" i="23" s="1"/>
  <c r="M23" i="23"/>
  <c r="B23" i="20"/>
  <c r="B25" i="20" s="1"/>
  <c r="J25" i="20" s="1"/>
  <c r="K25" i="20" s="1"/>
  <c r="B25" i="25"/>
  <c r="J25" i="25" s="1"/>
  <c r="K25" i="25" s="1"/>
  <c r="D23" i="25"/>
  <c r="D25" i="25" s="1"/>
  <c r="F24" i="25" s="1"/>
  <c r="M23" i="25"/>
  <c r="E24" i="21"/>
  <c r="B23" i="21"/>
  <c r="J51" i="29" l="1"/>
  <c r="K51" i="29" s="1"/>
  <c r="D49" i="29"/>
  <c r="D51" i="29" s="1"/>
  <c r="F50" i="29" s="1"/>
  <c r="M49" i="29"/>
  <c r="J25" i="29"/>
  <c r="K25" i="29" s="1"/>
  <c r="D23" i="29"/>
  <c r="D25" i="29" s="1"/>
  <c r="F24" i="29" s="1"/>
  <c r="M23" i="29"/>
  <c r="B51" i="27"/>
  <c r="J51" i="27" s="1"/>
  <c r="K51" i="27" s="1"/>
  <c r="D49" i="27"/>
  <c r="D51" i="27" s="1"/>
  <c r="F50" i="27" s="1"/>
  <c r="M49" i="27"/>
  <c r="B25" i="27"/>
  <c r="J25" i="27" s="1"/>
  <c r="K25" i="27" s="1"/>
  <c r="D23" i="27"/>
  <c r="D25" i="27" s="1"/>
  <c r="F24" i="27" s="1"/>
  <c r="M23" i="27"/>
  <c r="B51" i="24"/>
  <c r="J51" i="24" s="1"/>
  <c r="K51" i="24" s="1"/>
  <c r="D49" i="24"/>
  <c r="D51" i="24" s="1"/>
  <c r="F50" i="24" s="1"/>
  <c r="M49" i="24"/>
  <c r="P50" i="26"/>
  <c r="O50" i="26"/>
  <c r="O51" i="26" s="1"/>
  <c r="M50" i="26"/>
  <c r="M51" i="26" s="1"/>
  <c r="E49" i="26"/>
  <c r="E51" i="26" s="1"/>
  <c r="E50" i="17"/>
  <c r="E52" i="17" s="1"/>
  <c r="G51" i="17" s="1"/>
  <c r="O51" i="17"/>
  <c r="O52" i="17" s="1"/>
  <c r="P51" i="17"/>
  <c r="M51" i="17"/>
  <c r="M52" i="17" s="1"/>
  <c r="I46" i="16"/>
  <c r="B51" i="16"/>
  <c r="J51" i="16" s="1"/>
  <c r="K51" i="16" s="1"/>
  <c r="D49" i="16"/>
  <c r="D51" i="16" s="1"/>
  <c r="F50" i="16" s="1"/>
  <c r="M49" i="16"/>
  <c r="B51" i="15"/>
  <c r="J51" i="15" s="1"/>
  <c r="K51" i="15" s="1"/>
  <c r="D49" i="15"/>
  <c r="D51" i="15" s="1"/>
  <c r="F50" i="15" s="1"/>
  <c r="M49" i="15"/>
  <c r="B25" i="26"/>
  <c r="J25" i="26" s="1"/>
  <c r="K25" i="26" s="1"/>
  <c r="M23" i="26"/>
  <c r="D23" i="26"/>
  <c r="D25" i="26" s="1"/>
  <c r="F24" i="26" s="1"/>
  <c r="B25" i="24"/>
  <c r="J25" i="24" s="1"/>
  <c r="K25" i="24" s="1"/>
  <c r="M23" i="24"/>
  <c r="E23" i="24"/>
  <c r="E25" i="24" s="1"/>
  <c r="G24" i="24" s="1"/>
  <c r="P24" i="23"/>
  <c r="M24" i="23"/>
  <c r="M25" i="23" s="1"/>
  <c r="O24" i="23"/>
  <c r="O25" i="23" s="1"/>
  <c r="F24" i="23"/>
  <c r="E23" i="23"/>
  <c r="E25" i="23" s="1"/>
  <c r="M23" i="20"/>
  <c r="O24" i="20" s="1"/>
  <c r="D23" i="20"/>
  <c r="D25" i="20" s="1"/>
  <c r="F24" i="20" s="1"/>
  <c r="P24" i="25"/>
  <c r="O24" i="25"/>
  <c r="O25" i="25" s="1"/>
  <c r="M24" i="25"/>
  <c r="M25" i="25" s="1"/>
  <c r="E23" i="25"/>
  <c r="E25" i="25" s="1"/>
  <c r="B25" i="21"/>
  <c r="J25" i="21" s="1"/>
  <c r="K25" i="21" s="1"/>
  <c r="D23" i="21"/>
  <c r="D25" i="21" s="1"/>
  <c r="F24" i="21" s="1"/>
  <c r="M23" i="21"/>
  <c r="P50" i="29" l="1"/>
  <c r="O50" i="29"/>
  <c r="O51" i="29" s="1"/>
  <c r="M50" i="29"/>
  <c r="M51" i="29" s="1"/>
  <c r="E49" i="29"/>
  <c r="E51" i="29" s="1"/>
  <c r="P24" i="29"/>
  <c r="O24" i="29"/>
  <c r="O25" i="29" s="1"/>
  <c r="M24" i="29"/>
  <c r="M25" i="29" s="1"/>
  <c r="E23" i="29"/>
  <c r="E25" i="29" s="1"/>
  <c r="E49" i="27"/>
  <c r="E51" i="27" s="1"/>
  <c r="G50" i="27" s="1"/>
  <c r="O50" i="27"/>
  <c r="O51" i="27" s="1"/>
  <c r="P50" i="27"/>
  <c r="M50" i="27"/>
  <c r="M51" i="27" s="1"/>
  <c r="P24" i="27"/>
  <c r="O24" i="27"/>
  <c r="O25" i="27" s="1"/>
  <c r="M24" i="27"/>
  <c r="M25" i="27"/>
  <c r="E23" i="27"/>
  <c r="E25" i="27" s="1"/>
  <c r="P50" i="24"/>
  <c r="O50" i="24"/>
  <c r="O51" i="24" s="1"/>
  <c r="M50" i="24"/>
  <c r="M51" i="24" s="1"/>
  <c r="E49" i="24"/>
  <c r="E51" i="24" s="1"/>
  <c r="G50" i="26"/>
  <c r="F49" i="26"/>
  <c r="F51" i="26" s="1"/>
  <c r="F50" i="17"/>
  <c r="F52" i="17" s="1"/>
  <c r="H51" i="17" s="1"/>
  <c r="P50" i="16"/>
  <c r="O50" i="16"/>
  <c r="O51" i="16" s="1"/>
  <c r="M50" i="16"/>
  <c r="M51" i="16" s="1"/>
  <c r="E49" i="16"/>
  <c r="E51" i="16" s="1"/>
  <c r="O50" i="15"/>
  <c r="O51" i="15" s="1"/>
  <c r="M50" i="15"/>
  <c r="M51" i="15" s="1"/>
  <c r="P50" i="15"/>
  <c r="E49" i="15"/>
  <c r="E51" i="15" s="1"/>
  <c r="E23" i="26"/>
  <c r="E25" i="26" s="1"/>
  <c r="O24" i="26"/>
  <c r="O25" i="26" s="1"/>
  <c r="M24" i="26"/>
  <c r="M25" i="26" s="1"/>
  <c r="P24" i="26"/>
  <c r="P24" i="24"/>
  <c r="M24" i="24"/>
  <c r="M25" i="24" s="1"/>
  <c r="O24" i="24"/>
  <c r="O25" i="24" s="1"/>
  <c r="F23" i="24"/>
  <c r="F25" i="24" s="1"/>
  <c r="H24" i="24" s="1"/>
  <c r="G24" i="23"/>
  <c r="F23" i="23"/>
  <c r="F25" i="23" s="1"/>
  <c r="O25" i="20"/>
  <c r="E23" i="20"/>
  <c r="E25" i="20" s="1"/>
  <c r="G24" i="20" s="1"/>
  <c r="P24" i="20"/>
  <c r="M24" i="20"/>
  <c r="M25" i="20" s="1"/>
  <c r="G24" i="25"/>
  <c r="F23" i="25"/>
  <c r="F25" i="25" s="1"/>
  <c r="M25" i="21"/>
  <c r="P24" i="21"/>
  <c r="M24" i="21"/>
  <c r="O24" i="21"/>
  <c r="O25" i="21" s="1"/>
  <c r="E23" i="21"/>
  <c r="E25" i="21" s="1"/>
  <c r="G50" i="29" l="1"/>
  <c r="F49" i="29"/>
  <c r="F51" i="29" s="1"/>
  <c r="G24" i="29"/>
  <c r="F23" i="29"/>
  <c r="F25" i="29" s="1"/>
  <c r="F49" i="27"/>
  <c r="F51" i="27" s="1"/>
  <c r="H50" i="27" s="1"/>
  <c r="G24" i="27"/>
  <c r="F23" i="27"/>
  <c r="F25" i="27" s="1"/>
  <c r="G50" i="24"/>
  <c r="F49" i="24"/>
  <c r="F51" i="24" s="1"/>
  <c r="H50" i="26"/>
  <c r="G49" i="26"/>
  <c r="G51" i="26" s="1"/>
  <c r="G50" i="17"/>
  <c r="G52" i="17" s="1"/>
  <c r="I51" i="17" s="1"/>
  <c r="G50" i="16"/>
  <c r="F49" i="16"/>
  <c r="F51" i="16" s="1"/>
  <c r="G50" i="15"/>
  <c r="F49" i="15"/>
  <c r="F51" i="15" s="1"/>
  <c r="G24" i="26"/>
  <c r="F23" i="26"/>
  <c r="F25" i="26" s="1"/>
  <c r="G23" i="24"/>
  <c r="G25" i="24" s="1"/>
  <c r="I24" i="24" s="1"/>
  <c r="H24" i="23"/>
  <c r="G23" i="23"/>
  <c r="G25" i="23" s="1"/>
  <c r="F23" i="20"/>
  <c r="F25" i="20" s="1"/>
  <c r="H24" i="20" s="1"/>
  <c r="H24" i="25"/>
  <c r="G23" i="25"/>
  <c r="G25" i="25" s="1"/>
  <c r="G24" i="21"/>
  <c r="F23" i="21"/>
  <c r="F25" i="21" s="1"/>
  <c r="H50" i="29" l="1"/>
  <c r="G49" i="29"/>
  <c r="G51" i="29" s="1"/>
  <c r="H24" i="29"/>
  <c r="G23" i="29"/>
  <c r="G25" i="29" s="1"/>
  <c r="G49" i="27"/>
  <c r="G51" i="27" s="1"/>
  <c r="I50" i="27"/>
  <c r="H49" i="27"/>
  <c r="H51" i="27" s="1"/>
  <c r="I49" i="27" s="1"/>
  <c r="I51" i="27" s="1"/>
  <c r="H24" i="27"/>
  <c r="G23" i="27"/>
  <c r="G25" i="27" s="1"/>
  <c r="H50" i="24"/>
  <c r="G49" i="24"/>
  <c r="G51" i="24" s="1"/>
  <c r="I50" i="26"/>
  <c r="H49" i="26"/>
  <c r="H51" i="26" s="1"/>
  <c r="I49" i="26" s="1"/>
  <c r="H23" i="24"/>
  <c r="H25" i="24" s="1"/>
  <c r="I23" i="24" s="1"/>
  <c r="I25" i="24" s="1"/>
  <c r="H50" i="17"/>
  <c r="H52" i="17" s="1"/>
  <c r="I50" i="17" s="1"/>
  <c r="I52" i="17" s="1"/>
  <c r="H50" i="16"/>
  <c r="G49" i="16"/>
  <c r="G51" i="16" s="1"/>
  <c r="H50" i="15"/>
  <c r="G49" i="15"/>
  <c r="G51" i="15" s="1"/>
  <c r="H24" i="26"/>
  <c r="G23" i="26"/>
  <c r="G25" i="26" s="1"/>
  <c r="I24" i="23"/>
  <c r="H23" i="23"/>
  <c r="H25" i="23" s="1"/>
  <c r="I23" i="23" s="1"/>
  <c r="G23" i="20"/>
  <c r="G25" i="20" s="1"/>
  <c r="I24" i="20" s="1"/>
  <c r="I24" i="25"/>
  <c r="H23" i="25"/>
  <c r="H25" i="25" s="1"/>
  <c r="I23" i="25" s="1"/>
  <c r="H24" i="21"/>
  <c r="G23" i="21"/>
  <c r="G25" i="21" s="1"/>
  <c r="I50" i="29" l="1"/>
  <c r="H49" i="29"/>
  <c r="H51" i="29" s="1"/>
  <c r="I49" i="29" s="1"/>
  <c r="I51" i="29" s="1"/>
  <c r="I24" i="29"/>
  <c r="H23" i="29"/>
  <c r="H25" i="29" s="1"/>
  <c r="I23" i="29" s="1"/>
  <c r="I24" i="27"/>
  <c r="H23" i="27"/>
  <c r="H25" i="27" s="1"/>
  <c r="I23" i="27" s="1"/>
  <c r="I50" i="24"/>
  <c r="H49" i="24"/>
  <c r="H51" i="24" s="1"/>
  <c r="I49" i="24" s="1"/>
  <c r="I51" i="26"/>
  <c r="I25" i="23"/>
  <c r="I50" i="16"/>
  <c r="H49" i="16"/>
  <c r="H51" i="16" s="1"/>
  <c r="I49" i="16" s="1"/>
  <c r="I50" i="15"/>
  <c r="H49" i="15"/>
  <c r="H51" i="15" s="1"/>
  <c r="I49" i="15" s="1"/>
  <c r="H23" i="26"/>
  <c r="H25" i="26" s="1"/>
  <c r="I23" i="26" s="1"/>
  <c r="I24" i="26"/>
  <c r="I25" i="25"/>
  <c r="H23" i="20"/>
  <c r="H25" i="20" s="1"/>
  <c r="I23" i="20" s="1"/>
  <c r="I25" i="20" s="1"/>
  <c r="I24" i="21"/>
  <c r="H23" i="21"/>
  <c r="H25" i="21" s="1"/>
  <c r="I23" i="21" s="1"/>
  <c r="I25" i="29" l="1"/>
  <c r="I25" i="27"/>
  <c r="I51" i="24"/>
  <c r="I51" i="16"/>
  <c r="I51" i="15"/>
  <c r="I25" i="26"/>
  <c r="I25" i="21"/>
  <c r="I7" i="18" l="1"/>
  <c r="I12" i="18" s="1"/>
  <c r="H7" i="18"/>
  <c r="H12" i="18" s="1"/>
  <c r="G7" i="18"/>
  <c r="G12" i="18" s="1"/>
  <c r="G17" i="18" s="1"/>
  <c r="G22" i="18" s="1"/>
  <c r="F7" i="18"/>
  <c r="E7" i="18"/>
  <c r="E12" i="18" s="1"/>
  <c r="E17" i="18" s="1"/>
  <c r="E22" i="18" s="1"/>
  <c r="D7" i="18"/>
  <c r="D12" i="18" s="1"/>
  <c r="D17" i="18" s="1"/>
  <c r="D22" i="18" s="1"/>
  <c r="C7" i="18"/>
  <c r="C12" i="18" s="1"/>
  <c r="C15" i="18" s="1"/>
  <c r="C5" i="18"/>
  <c r="E4" i="18" s="1"/>
  <c r="B5" i="18"/>
  <c r="M3" i="18"/>
  <c r="O4" i="18" s="1"/>
  <c r="I7" i="17"/>
  <c r="I12" i="17" s="1"/>
  <c r="H7" i="17"/>
  <c r="H12" i="17" s="1"/>
  <c r="G7" i="17"/>
  <c r="G12" i="17" s="1"/>
  <c r="G17" i="17" s="1"/>
  <c r="F7" i="17"/>
  <c r="F12" i="17" s="1"/>
  <c r="E7" i="17"/>
  <c r="E12" i="17" s="1"/>
  <c r="D7" i="17"/>
  <c r="C7" i="17"/>
  <c r="C12" i="17" s="1"/>
  <c r="C5" i="17"/>
  <c r="E4" i="17" s="1"/>
  <c r="B5" i="17"/>
  <c r="M3" i="17"/>
  <c r="I7" i="16"/>
  <c r="I12" i="16" s="1"/>
  <c r="H7" i="16"/>
  <c r="H12" i="16" s="1"/>
  <c r="G7" i="16"/>
  <c r="G12" i="16" s="1"/>
  <c r="G17" i="16" s="1"/>
  <c r="F7" i="16"/>
  <c r="E7" i="16"/>
  <c r="D7" i="16"/>
  <c r="D12" i="16" s="1"/>
  <c r="D17" i="16" s="1"/>
  <c r="D22" i="16" s="1"/>
  <c r="C7" i="16"/>
  <c r="C12" i="16" s="1"/>
  <c r="C15" i="16" s="1"/>
  <c r="C5" i="16"/>
  <c r="E4" i="16" s="1"/>
  <c r="B5" i="16"/>
  <c r="M3" i="16"/>
  <c r="I7" i="15"/>
  <c r="I12" i="15" s="1"/>
  <c r="H7" i="15"/>
  <c r="H12" i="15" s="1"/>
  <c r="G7" i="15"/>
  <c r="G12" i="15" s="1"/>
  <c r="G17" i="15" s="1"/>
  <c r="F7" i="15"/>
  <c r="F12" i="15" s="1"/>
  <c r="E7" i="15"/>
  <c r="E12" i="15" s="1"/>
  <c r="D7" i="15"/>
  <c r="C7" i="15"/>
  <c r="C10" i="15" s="1"/>
  <c r="C5" i="15"/>
  <c r="D3" i="15" s="1"/>
  <c r="D5" i="15" s="1"/>
  <c r="B5" i="15"/>
  <c r="M3" i="15"/>
  <c r="O4" i="16" l="1"/>
  <c r="O5" i="16" s="1"/>
  <c r="N4" i="16"/>
  <c r="M4" i="18"/>
  <c r="M5" i="18" s="1"/>
  <c r="N4" i="18"/>
  <c r="N4" i="17"/>
  <c r="M4" i="17"/>
  <c r="M5" i="17" s="1"/>
  <c r="M4" i="15"/>
  <c r="M5" i="15" s="1"/>
  <c r="N4" i="15"/>
  <c r="D3" i="18"/>
  <c r="D5" i="18" s="1"/>
  <c r="E3" i="18" s="1"/>
  <c r="E5" i="18" s="1"/>
  <c r="C17" i="18"/>
  <c r="C22" i="18" s="1"/>
  <c r="C25" i="18" s="1"/>
  <c r="D3" i="17"/>
  <c r="D5" i="17" s="1"/>
  <c r="E3" i="17" s="1"/>
  <c r="E5" i="17" s="1"/>
  <c r="D3" i="16"/>
  <c r="C17" i="16"/>
  <c r="C22" i="16" s="1"/>
  <c r="C25" i="16" s="1"/>
  <c r="C10" i="16"/>
  <c r="E4" i="15"/>
  <c r="C10" i="18"/>
  <c r="F12" i="18"/>
  <c r="H17" i="18"/>
  <c r="I17" i="18"/>
  <c r="O5" i="18"/>
  <c r="N5" i="18"/>
  <c r="P4" i="18"/>
  <c r="C20" i="18"/>
  <c r="F17" i="17"/>
  <c r="C17" i="17"/>
  <c r="C15" i="17"/>
  <c r="E17" i="17"/>
  <c r="G22" i="17"/>
  <c r="O4" i="17"/>
  <c r="O5" i="17" s="1"/>
  <c r="D12" i="17"/>
  <c r="H17" i="17"/>
  <c r="C10" i="17"/>
  <c r="P4" i="17"/>
  <c r="N5" i="17"/>
  <c r="I17" i="17"/>
  <c r="F12" i="16"/>
  <c r="H17" i="16"/>
  <c r="P4" i="16"/>
  <c r="N5" i="16"/>
  <c r="M4" i="16"/>
  <c r="M5" i="16" s="1"/>
  <c r="E12" i="16"/>
  <c r="I17" i="16"/>
  <c r="G22" i="16"/>
  <c r="E3" i="15"/>
  <c r="F4" i="15"/>
  <c r="E17" i="15"/>
  <c r="G22" i="15"/>
  <c r="F17" i="15"/>
  <c r="C12" i="15"/>
  <c r="D12" i="15"/>
  <c r="H17" i="15"/>
  <c r="O4" i="15"/>
  <c r="O5" i="15" s="1"/>
  <c r="P4" i="15"/>
  <c r="N5" i="15"/>
  <c r="I17" i="15"/>
  <c r="D5" i="16" l="1"/>
  <c r="E3" i="16" s="1"/>
  <c r="E5" i="16" s="1"/>
  <c r="E5" i="15"/>
  <c r="G4" i="15" s="1"/>
  <c r="F4" i="18"/>
  <c r="F4" i="17"/>
  <c r="C20" i="16"/>
  <c r="I22" i="18"/>
  <c r="F3" i="18"/>
  <c r="G4" i="18"/>
  <c r="F17" i="18"/>
  <c r="H22" i="18"/>
  <c r="H22" i="17"/>
  <c r="E22" i="17"/>
  <c r="F3" i="17"/>
  <c r="G4" i="17"/>
  <c r="I22" i="17"/>
  <c r="D17" i="17"/>
  <c r="C22" i="17"/>
  <c r="C25" i="17" s="1"/>
  <c r="C20" i="17"/>
  <c r="F22" i="17"/>
  <c r="E17" i="16"/>
  <c r="I22" i="16"/>
  <c r="H22" i="16"/>
  <c r="F17" i="16"/>
  <c r="E22" i="15"/>
  <c r="F22" i="15"/>
  <c r="I22" i="15"/>
  <c r="D17" i="15"/>
  <c r="C17" i="15"/>
  <c r="C15" i="15"/>
  <c r="H22" i="15"/>
  <c r="F4" i="16" l="1"/>
  <c r="F3" i="16"/>
  <c r="G4" i="16"/>
  <c r="F3" i="15"/>
  <c r="F5" i="15" s="1"/>
  <c r="H4" i="15" s="1"/>
  <c r="F5" i="18"/>
  <c r="H4" i="18" s="1"/>
  <c r="F5" i="17"/>
  <c r="H4" i="17" s="1"/>
  <c r="F22" i="18"/>
  <c r="D22" i="17"/>
  <c r="F22" i="16"/>
  <c r="E22" i="16"/>
  <c r="C22" i="15"/>
  <c r="C25" i="15" s="1"/>
  <c r="C20" i="15"/>
  <c r="D22" i="15"/>
  <c r="I32" i="3"/>
  <c r="H32" i="3"/>
  <c r="G32" i="3"/>
  <c r="F32" i="3"/>
  <c r="E32" i="3"/>
  <c r="D32" i="3"/>
  <c r="C32" i="3"/>
  <c r="C34" i="3" s="1"/>
  <c r="C36" i="3" s="1"/>
  <c r="F5" i="16" l="1"/>
  <c r="G3" i="15"/>
  <c r="G5" i="15" s="1"/>
  <c r="I4" i="15" s="1"/>
  <c r="G3" i="18"/>
  <c r="G5" i="18" s="1"/>
  <c r="B9" i="18" s="1"/>
  <c r="G3" i="17"/>
  <c r="G5" i="17" s="1"/>
  <c r="H3" i="17" s="1"/>
  <c r="H5" i="17" s="1"/>
  <c r="I3" i="17" s="1"/>
  <c r="C34" i="13"/>
  <c r="I32" i="13"/>
  <c r="H32" i="13"/>
  <c r="G32" i="13"/>
  <c r="F32" i="13"/>
  <c r="E32" i="13"/>
  <c r="D32" i="13"/>
  <c r="C32" i="13"/>
  <c r="J33" i="11"/>
  <c r="K33" i="11" s="1"/>
  <c r="B33" i="11"/>
  <c r="I32" i="11"/>
  <c r="H32" i="11"/>
  <c r="G32" i="11"/>
  <c r="F32" i="11"/>
  <c r="E32" i="11"/>
  <c r="D32" i="11"/>
  <c r="C32" i="11"/>
  <c r="C34" i="11" s="1"/>
  <c r="C36" i="11" s="1"/>
  <c r="J102" i="10"/>
  <c r="K102" i="10" s="1"/>
  <c r="B102" i="10"/>
  <c r="I101" i="10"/>
  <c r="H101" i="10"/>
  <c r="G101" i="10"/>
  <c r="F101" i="10"/>
  <c r="E101" i="10"/>
  <c r="D101" i="10"/>
  <c r="C101" i="10"/>
  <c r="C103" i="10" s="1"/>
  <c r="B96" i="10"/>
  <c r="I95" i="10"/>
  <c r="H95" i="10"/>
  <c r="G95" i="10"/>
  <c r="F95" i="10"/>
  <c r="E95" i="10"/>
  <c r="D95" i="10"/>
  <c r="C95" i="10"/>
  <c r="C97" i="10" s="1"/>
  <c r="B95" i="8"/>
  <c r="I94" i="8"/>
  <c r="H94" i="8"/>
  <c r="G94" i="8"/>
  <c r="F94" i="8"/>
  <c r="E94" i="8"/>
  <c r="D94" i="8"/>
  <c r="C94" i="8"/>
  <c r="C96" i="8" s="1"/>
  <c r="I32" i="6"/>
  <c r="H32" i="6"/>
  <c r="G32" i="6"/>
  <c r="F32" i="6"/>
  <c r="E32" i="6"/>
  <c r="D32" i="6"/>
  <c r="C32" i="6"/>
  <c r="C34" i="6" s="1"/>
  <c r="D34" i="5"/>
  <c r="F14" i="13"/>
  <c r="F20" i="13" s="1"/>
  <c r="D14" i="13"/>
  <c r="D20" i="13" s="1"/>
  <c r="C14" i="13"/>
  <c r="C20" i="13" s="1"/>
  <c r="I8" i="13"/>
  <c r="H8" i="13"/>
  <c r="G8" i="13"/>
  <c r="G14" i="13" s="1"/>
  <c r="F8" i="13"/>
  <c r="E8" i="13"/>
  <c r="E14" i="13" s="1"/>
  <c r="D8" i="13"/>
  <c r="C8" i="13"/>
  <c r="C10" i="13" s="1"/>
  <c r="C12" i="13" s="1"/>
  <c r="C4" i="13"/>
  <c r="C6" i="13" s="1"/>
  <c r="D5" i="13" s="1"/>
  <c r="D14" i="12"/>
  <c r="D20" i="12" s="1"/>
  <c r="D26" i="12" s="1"/>
  <c r="C14" i="12"/>
  <c r="C20" i="12" s="1"/>
  <c r="I8" i="12"/>
  <c r="H8" i="12"/>
  <c r="G8" i="12"/>
  <c r="G14" i="12" s="1"/>
  <c r="G20" i="12" s="1"/>
  <c r="F8" i="12"/>
  <c r="F14" i="12" s="1"/>
  <c r="F20" i="12" s="1"/>
  <c r="E8" i="12"/>
  <c r="E14" i="12" s="1"/>
  <c r="D8" i="12"/>
  <c r="C8" i="12"/>
  <c r="C10" i="12" s="1"/>
  <c r="C12" i="12" s="1"/>
  <c r="C4" i="12"/>
  <c r="C6" i="12" s="1"/>
  <c r="D5" i="12" s="1"/>
  <c r="I46" i="11"/>
  <c r="I52" i="11" s="1"/>
  <c r="I58" i="11" s="1"/>
  <c r="H46" i="11"/>
  <c r="H52" i="11" s="1"/>
  <c r="H58" i="11" s="1"/>
  <c r="G46" i="11"/>
  <c r="G52" i="11" s="1"/>
  <c r="F46" i="11"/>
  <c r="F52" i="11" s="1"/>
  <c r="F58" i="11" s="1"/>
  <c r="E46" i="11"/>
  <c r="E52" i="11" s="1"/>
  <c r="E58" i="11" s="1"/>
  <c r="D46" i="11"/>
  <c r="D52" i="11" s="1"/>
  <c r="D58" i="11" s="1"/>
  <c r="D64" i="11" s="1"/>
  <c r="D70" i="11" s="1"/>
  <c r="C46" i="11"/>
  <c r="C52" i="11" s="1"/>
  <c r="C42" i="11"/>
  <c r="C44" i="11" s="1"/>
  <c r="D43" i="11" s="1"/>
  <c r="I8" i="11"/>
  <c r="I14" i="11" s="1"/>
  <c r="I20" i="11" s="1"/>
  <c r="H8" i="11"/>
  <c r="H14" i="11" s="1"/>
  <c r="H20" i="11" s="1"/>
  <c r="G8" i="11"/>
  <c r="G14" i="11" s="1"/>
  <c r="F8" i="11"/>
  <c r="F14" i="11" s="1"/>
  <c r="E8" i="11"/>
  <c r="E14" i="11" s="1"/>
  <c r="D8" i="11"/>
  <c r="C8" i="11"/>
  <c r="C14" i="11" s="1"/>
  <c r="C4" i="11"/>
  <c r="C6" i="11" s="1"/>
  <c r="D5" i="11" s="1"/>
  <c r="I71" i="10"/>
  <c r="H71" i="10"/>
  <c r="H77" i="10" s="1"/>
  <c r="G71" i="10"/>
  <c r="G77" i="10" s="1"/>
  <c r="F71" i="10"/>
  <c r="F77" i="10" s="1"/>
  <c r="F83" i="10" s="1"/>
  <c r="E71" i="10"/>
  <c r="E77" i="10" s="1"/>
  <c r="D71" i="10"/>
  <c r="D77" i="10" s="1"/>
  <c r="D83" i="10" s="1"/>
  <c r="D89" i="10" s="1"/>
  <c r="C71" i="10"/>
  <c r="C73" i="10" s="1"/>
  <c r="C75" i="10" s="1"/>
  <c r="C67" i="10"/>
  <c r="D66" i="10" s="1"/>
  <c r="D67" i="10" s="1"/>
  <c r="F45" i="10"/>
  <c r="D45" i="10"/>
  <c r="D51" i="10" s="1"/>
  <c r="D57" i="10" s="1"/>
  <c r="C45" i="10"/>
  <c r="C51" i="10" s="1"/>
  <c r="I39" i="10"/>
  <c r="I45" i="10" s="1"/>
  <c r="H39" i="10"/>
  <c r="H45" i="10" s="1"/>
  <c r="G39" i="10"/>
  <c r="G45" i="10" s="1"/>
  <c r="G51" i="10" s="1"/>
  <c r="F39" i="10"/>
  <c r="E39" i="10"/>
  <c r="E45" i="10" s="1"/>
  <c r="D39" i="10"/>
  <c r="C39" i="10"/>
  <c r="C41" i="10" s="1"/>
  <c r="C43" i="10" s="1"/>
  <c r="C35" i="10"/>
  <c r="C37" i="10" s="1"/>
  <c r="D36" i="10" s="1"/>
  <c r="G14" i="10"/>
  <c r="G20" i="10" s="1"/>
  <c r="I8" i="10"/>
  <c r="H8" i="10"/>
  <c r="G8" i="10"/>
  <c r="F8" i="10"/>
  <c r="F14" i="10" s="1"/>
  <c r="E8" i="10"/>
  <c r="E14" i="10" s="1"/>
  <c r="D8" i="10"/>
  <c r="D14" i="10" s="1"/>
  <c r="C8" i="10"/>
  <c r="C10" i="10" s="1"/>
  <c r="C12" i="10" s="1"/>
  <c r="C4" i="10"/>
  <c r="D3" i="10" s="1"/>
  <c r="D4" i="10" s="1"/>
  <c r="E76" i="9"/>
  <c r="D76" i="9"/>
  <c r="D82" i="9" s="1"/>
  <c r="I70" i="9"/>
  <c r="I76" i="9" s="1"/>
  <c r="H70" i="9"/>
  <c r="H76" i="9" s="1"/>
  <c r="G70" i="9"/>
  <c r="F70" i="9"/>
  <c r="F76" i="9" s="1"/>
  <c r="E70" i="9"/>
  <c r="D70" i="9"/>
  <c r="C70" i="9"/>
  <c r="C76" i="9" s="1"/>
  <c r="C66" i="9"/>
  <c r="C68" i="9" s="1"/>
  <c r="D67" i="9" s="1"/>
  <c r="I45" i="9"/>
  <c r="I51" i="9" s="1"/>
  <c r="D45" i="9"/>
  <c r="D51" i="9" s="1"/>
  <c r="I39" i="9"/>
  <c r="H39" i="9"/>
  <c r="H45" i="9" s="1"/>
  <c r="G39" i="9"/>
  <c r="G45" i="9" s="1"/>
  <c r="F39" i="9"/>
  <c r="F45" i="9" s="1"/>
  <c r="E39" i="9"/>
  <c r="D39" i="9"/>
  <c r="C39" i="9"/>
  <c r="C41" i="9" s="1"/>
  <c r="C43" i="9" s="1"/>
  <c r="C35" i="9"/>
  <c r="D34" i="9" s="1"/>
  <c r="D35" i="9" s="1"/>
  <c r="D20" i="9"/>
  <c r="D26" i="9" s="1"/>
  <c r="F14" i="9"/>
  <c r="F20" i="9" s="1"/>
  <c r="D14" i="9"/>
  <c r="I8" i="9"/>
  <c r="H8" i="9"/>
  <c r="G8" i="9"/>
  <c r="G14" i="9" s="1"/>
  <c r="F8" i="9"/>
  <c r="E8" i="9"/>
  <c r="E14" i="9" s="1"/>
  <c r="D8" i="9"/>
  <c r="C8" i="9"/>
  <c r="C10" i="9" s="1"/>
  <c r="C12" i="9" s="1"/>
  <c r="C4" i="9"/>
  <c r="C6" i="9" s="1"/>
  <c r="D5" i="9" s="1"/>
  <c r="F76" i="8"/>
  <c r="C76" i="8"/>
  <c r="C82" i="8" s="1"/>
  <c r="I70" i="8"/>
  <c r="H70" i="8"/>
  <c r="H76" i="8" s="1"/>
  <c r="G70" i="8"/>
  <c r="G76" i="8" s="1"/>
  <c r="G82" i="8" s="1"/>
  <c r="F70" i="8"/>
  <c r="E70" i="8"/>
  <c r="E76" i="8" s="1"/>
  <c r="D70" i="8"/>
  <c r="D76" i="8" s="1"/>
  <c r="C70" i="8"/>
  <c r="C72" i="8" s="1"/>
  <c r="C74" i="8" s="1"/>
  <c r="C66" i="8"/>
  <c r="C68" i="8" s="1"/>
  <c r="D67" i="8" s="1"/>
  <c r="I39" i="8"/>
  <c r="I45" i="8" s="1"/>
  <c r="H39" i="8"/>
  <c r="H45" i="8" s="1"/>
  <c r="G39" i="8"/>
  <c r="G45" i="8" s="1"/>
  <c r="F39" i="8"/>
  <c r="F45" i="8" s="1"/>
  <c r="E39" i="8"/>
  <c r="E45" i="8" s="1"/>
  <c r="D39" i="8"/>
  <c r="D45" i="8" s="1"/>
  <c r="C39" i="8"/>
  <c r="C41" i="8" s="1"/>
  <c r="C43" i="8" s="1"/>
  <c r="C35" i="8"/>
  <c r="C37" i="8" s="1"/>
  <c r="D36" i="8" s="1"/>
  <c r="C14" i="8"/>
  <c r="C20" i="8" s="1"/>
  <c r="I8" i="8"/>
  <c r="H8" i="8"/>
  <c r="H14" i="8" s="1"/>
  <c r="G8" i="8"/>
  <c r="G14" i="8" s="1"/>
  <c r="F8" i="8"/>
  <c r="F14" i="8" s="1"/>
  <c r="F20" i="8" s="1"/>
  <c r="E8" i="8"/>
  <c r="E14" i="8" s="1"/>
  <c r="D8" i="8"/>
  <c r="D14" i="8" s="1"/>
  <c r="C8" i="8"/>
  <c r="C10" i="8" s="1"/>
  <c r="C12" i="8" s="1"/>
  <c r="C4" i="8"/>
  <c r="D3" i="8" s="1"/>
  <c r="D4" i="8" s="1"/>
  <c r="I8" i="7"/>
  <c r="I14" i="7" s="1"/>
  <c r="H8" i="7"/>
  <c r="G8" i="7"/>
  <c r="G14" i="7" s="1"/>
  <c r="F8" i="7"/>
  <c r="F14" i="7" s="1"/>
  <c r="E8" i="7"/>
  <c r="E14" i="7" s="1"/>
  <c r="D8" i="7"/>
  <c r="D14" i="7" s="1"/>
  <c r="C8" i="7"/>
  <c r="C14" i="7" s="1"/>
  <c r="C4" i="7"/>
  <c r="C6" i="7" s="1"/>
  <c r="D5" i="7" s="1"/>
  <c r="I8" i="6"/>
  <c r="I14" i="6" s="1"/>
  <c r="I20" i="6" s="1"/>
  <c r="H8" i="6"/>
  <c r="H14" i="6" s="1"/>
  <c r="H20" i="6" s="1"/>
  <c r="G8" i="6"/>
  <c r="G14" i="6" s="1"/>
  <c r="F8" i="6"/>
  <c r="F14" i="6" s="1"/>
  <c r="E8" i="6"/>
  <c r="E14" i="6" s="1"/>
  <c r="D8" i="6"/>
  <c r="C8" i="6"/>
  <c r="C14" i="6" s="1"/>
  <c r="C4" i="6"/>
  <c r="D3" i="6" s="1"/>
  <c r="D4" i="6" s="1"/>
  <c r="F138" i="5"/>
  <c r="E138" i="5"/>
  <c r="E144" i="5" s="1"/>
  <c r="I132" i="5"/>
  <c r="H132" i="5"/>
  <c r="G132" i="5"/>
  <c r="G138" i="5" s="1"/>
  <c r="F132" i="5"/>
  <c r="E132" i="5"/>
  <c r="D132" i="5"/>
  <c r="D138" i="5" s="1"/>
  <c r="C132" i="5"/>
  <c r="C138" i="5" s="1"/>
  <c r="C128" i="5"/>
  <c r="C130" i="5" s="1"/>
  <c r="D129" i="5" s="1"/>
  <c r="D107" i="5"/>
  <c r="D113" i="5" s="1"/>
  <c r="I101" i="5"/>
  <c r="I107" i="5" s="1"/>
  <c r="H101" i="5"/>
  <c r="H107" i="5" s="1"/>
  <c r="H113" i="5" s="1"/>
  <c r="G101" i="5"/>
  <c r="G107" i="5" s="1"/>
  <c r="G113" i="5" s="1"/>
  <c r="F101" i="5"/>
  <c r="F107" i="5" s="1"/>
  <c r="E101" i="5"/>
  <c r="E107" i="5" s="1"/>
  <c r="D101" i="5"/>
  <c r="C101" i="5"/>
  <c r="C103" i="5" s="1"/>
  <c r="C105" i="5" s="1"/>
  <c r="C97" i="5"/>
  <c r="C99" i="5" s="1"/>
  <c r="D98" i="5" s="1"/>
  <c r="D76" i="5"/>
  <c r="D82" i="5" s="1"/>
  <c r="I70" i="5"/>
  <c r="I76" i="5" s="1"/>
  <c r="H70" i="5"/>
  <c r="H76" i="5" s="1"/>
  <c r="G70" i="5"/>
  <c r="G76" i="5" s="1"/>
  <c r="G82" i="5" s="1"/>
  <c r="F70" i="5"/>
  <c r="F76" i="5" s="1"/>
  <c r="F82" i="5" s="1"/>
  <c r="E70" i="5"/>
  <c r="E76" i="5" s="1"/>
  <c r="D70" i="5"/>
  <c r="C70" i="5"/>
  <c r="C72" i="5" s="1"/>
  <c r="C74" i="5" s="1"/>
  <c r="C66" i="5"/>
  <c r="C68" i="5" s="1"/>
  <c r="D67" i="5" s="1"/>
  <c r="C45" i="5"/>
  <c r="C51" i="5" s="1"/>
  <c r="I39" i="5"/>
  <c r="I45" i="5" s="1"/>
  <c r="H39" i="5"/>
  <c r="H45" i="5" s="1"/>
  <c r="H51" i="5" s="1"/>
  <c r="G39" i="5"/>
  <c r="G45" i="5" s="1"/>
  <c r="G51" i="5" s="1"/>
  <c r="F39" i="5"/>
  <c r="F45" i="5" s="1"/>
  <c r="E39" i="5"/>
  <c r="E45" i="5" s="1"/>
  <c r="D39" i="5"/>
  <c r="D45" i="5" s="1"/>
  <c r="D51" i="5" s="1"/>
  <c r="C39" i="5"/>
  <c r="C41" i="5" s="1"/>
  <c r="C43" i="5" s="1"/>
  <c r="C35" i="5"/>
  <c r="C37" i="5" s="1"/>
  <c r="D36" i="5" s="1"/>
  <c r="H14" i="5"/>
  <c r="I8" i="5"/>
  <c r="H8" i="5"/>
  <c r="G8" i="5"/>
  <c r="G14" i="5" s="1"/>
  <c r="F8" i="5"/>
  <c r="F14" i="5" s="1"/>
  <c r="E8" i="5"/>
  <c r="E14" i="5" s="1"/>
  <c r="D8" i="5"/>
  <c r="D14" i="5" s="1"/>
  <c r="D20" i="5" s="1"/>
  <c r="C8" i="5"/>
  <c r="C14" i="5" s="1"/>
  <c r="C4" i="5"/>
  <c r="C6" i="5" s="1"/>
  <c r="D5" i="5" s="1"/>
  <c r="I45" i="4"/>
  <c r="I51" i="4" s="1"/>
  <c r="C45" i="4"/>
  <c r="C51" i="4" s="1"/>
  <c r="I39" i="4"/>
  <c r="H39" i="4"/>
  <c r="H45" i="4" s="1"/>
  <c r="H51" i="4" s="1"/>
  <c r="G39" i="4"/>
  <c r="G45" i="4" s="1"/>
  <c r="F39" i="4"/>
  <c r="F45" i="4" s="1"/>
  <c r="E39" i="4"/>
  <c r="E45" i="4" s="1"/>
  <c r="D39" i="4"/>
  <c r="D45" i="4" s="1"/>
  <c r="D51" i="4" s="1"/>
  <c r="C39" i="4"/>
  <c r="C41" i="4" s="1"/>
  <c r="C43" i="4" s="1"/>
  <c r="C35" i="4"/>
  <c r="C37" i="4" s="1"/>
  <c r="D36" i="4" s="1"/>
  <c r="E14" i="4"/>
  <c r="E20" i="4" s="1"/>
  <c r="I8" i="4"/>
  <c r="I14" i="4" s="1"/>
  <c r="I20" i="4" s="1"/>
  <c r="H8" i="4"/>
  <c r="H14" i="4" s="1"/>
  <c r="G8" i="4"/>
  <c r="G14" i="4" s="1"/>
  <c r="F8" i="4"/>
  <c r="F14" i="4" s="1"/>
  <c r="E8" i="4"/>
  <c r="D8" i="4"/>
  <c r="D14" i="4" s="1"/>
  <c r="D20" i="4" s="1"/>
  <c r="C8" i="4"/>
  <c r="C14" i="4" s="1"/>
  <c r="C4" i="4"/>
  <c r="C6" i="4" s="1"/>
  <c r="D5" i="4" s="1"/>
  <c r="D3" i="4"/>
  <c r="D4" i="4" s="1"/>
  <c r="C14" i="3"/>
  <c r="C20" i="3" s="1"/>
  <c r="I8" i="3"/>
  <c r="H8" i="3"/>
  <c r="H14" i="3" s="1"/>
  <c r="G8" i="3"/>
  <c r="G14" i="3" s="1"/>
  <c r="F8" i="3"/>
  <c r="F14" i="3" s="1"/>
  <c r="E8" i="3"/>
  <c r="E14" i="3" s="1"/>
  <c r="D8" i="3"/>
  <c r="D14" i="3" s="1"/>
  <c r="D20" i="3" s="1"/>
  <c r="D26" i="3" s="1"/>
  <c r="C8" i="3"/>
  <c r="C10" i="3" s="1"/>
  <c r="C12" i="3" s="1"/>
  <c r="C4" i="3"/>
  <c r="C6" i="3" s="1"/>
  <c r="D5" i="3" s="1"/>
  <c r="I39" i="2"/>
  <c r="I45" i="2" s="1"/>
  <c r="H39" i="2"/>
  <c r="H45" i="2" s="1"/>
  <c r="H51" i="2" s="1"/>
  <c r="H57" i="2" s="1"/>
  <c r="H63" i="2" s="1"/>
  <c r="H69" i="2" s="1"/>
  <c r="G39" i="2"/>
  <c r="G45" i="2" s="1"/>
  <c r="G51" i="2" s="1"/>
  <c r="F39" i="2"/>
  <c r="F45" i="2" s="1"/>
  <c r="E39" i="2"/>
  <c r="D39" i="2"/>
  <c r="C39" i="2"/>
  <c r="C41" i="2" s="1"/>
  <c r="C43" i="2" s="1"/>
  <c r="C35" i="2"/>
  <c r="C37" i="2" s="1"/>
  <c r="D36" i="2" s="1"/>
  <c r="C4" i="2"/>
  <c r="C6" i="2" s="1"/>
  <c r="D5" i="2" s="1"/>
  <c r="C45" i="2" l="1"/>
  <c r="C47" i="2" s="1"/>
  <c r="C49" i="2" s="1"/>
  <c r="H4" i="16"/>
  <c r="G3" i="16"/>
  <c r="G5" i="16" s="1"/>
  <c r="B9" i="17"/>
  <c r="E9" i="17" s="1"/>
  <c r="H3" i="15"/>
  <c r="H5" i="15" s="1"/>
  <c r="I3" i="15" s="1"/>
  <c r="I5" i="15" s="1"/>
  <c r="B9" i="15"/>
  <c r="B8" i="15" s="1"/>
  <c r="H3" i="18"/>
  <c r="I4" i="18"/>
  <c r="I4" i="17"/>
  <c r="I5" i="17" s="1"/>
  <c r="B8" i="18"/>
  <c r="E9" i="18"/>
  <c r="C36" i="13"/>
  <c r="D35" i="11"/>
  <c r="D33" i="11"/>
  <c r="D34" i="11" s="1"/>
  <c r="D3" i="11"/>
  <c r="D4" i="11" s="1"/>
  <c r="E3" i="11" s="1"/>
  <c r="E4" i="11" s="1"/>
  <c r="D102" i="10"/>
  <c r="D103" i="10" s="1"/>
  <c r="C105" i="10"/>
  <c r="D104" i="10"/>
  <c r="D98" i="10"/>
  <c r="C99" i="10"/>
  <c r="D96" i="10"/>
  <c r="D97" i="10"/>
  <c r="J96" i="10"/>
  <c r="K96" i="10" s="1"/>
  <c r="D95" i="8"/>
  <c r="D96" i="8" s="1"/>
  <c r="E95" i="8" s="1"/>
  <c r="E96" i="8" s="1"/>
  <c r="C98" i="8"/>
  <c r="D97" i="8" s="1"/>
  <c r="J95" i="8"/>
  <c r="K95" i="8" s="1"/>
  <c r="C36" i="6"/>
  <c r="C22" i="13"/>
  <c r="C24" i="13" s="1"/>
  <c r="C26" i="13"/>
  <c r="C28" i="13" s="1"/>
  <c r="C30" i="13" s="1"/>
  <c r="F26" i="13"/>
  <c r="E20" i="13"/>
  <c r="H14" i="13"/>
  <c r="D26" i="13"/>
  <c r="D3" i="13"/>
  <c r="D4" i="13" s="1"/>
  <c r="I14" i="13"/>
  <c r="G20" i="13"/>
  <c r="C16" i="13"/>
  <c r="C18" i="13" s="1"/>
  <c r="F26" i="12"/>
  <c r="E20" i="12"/>
  <c r="G26" i="12"/>
  <c r="C22" i="12"/>
  <c r="C24" i="12" s="1"/>
  <c r="C26" i="12"/>
  <c r="C28" i="12" s="1"/>
  <c r="C30" i="12" s="1"/>
  <c r="H14" i="12"/>
  <c r="D3" i="12"/>
  <c r="D4" i="12" s="1"/>
  <c r="I14" i="12"/>
  <c r="C16" i="12"/>
  <c r="C18" i="12" s="1"/>
  <c r="D41" i="11"/>
  <c r="D42" i="11" s="1"/>
  <c r="E41" i="11" s="1"/>
  <c r="E42" i="11" s="1"/>
  <c r="C58" i="11"/>
  <c r="C54" i="11"/>
  <c r="C56" i="11" s="1"/>
  <c r="E64" i="11"/>
  <c r="E70" i="11" s="1"/>
  <c r="H64" i="11"/>
  <c r="H70" i="11" s="1"/>
  <c r="I64" i="11"/>
  <c r="I70" i="11" s="1"/>
  <c r="G58" i="11"/>
  <c r="F64" i="11"/>
  <c r="F70" i="11" s="1"/>
  <c r="C48" i="11"/>
  <c r="C50" i="11" s="1"/>
  <c r="I26" i="11"/>
  <c r="E20" i="11"/>
  <c r="F20" i="11"/>
  <c r="G20" i="11"/>
  <c r="F3" i="11"/>
  <c r="F4" i="11" s="1"/>
  <c r="C20" i="11"/>
  <c r="C16" i="11"/>
  <c r="C18" i="11" s="1"/>
  <c r="H26" i="11"/>
  <c r="C10" i="11"/>
  <c r="C12" i="11" s="1"/>
  <c r="D14" i="11"/>
  <c r="C69" i="10"/>
  <c r="D68" i="10" s="1"/>
  <c r="C77" i="10"/>
  <c r="C83" i="10" s="1"/>
  <c r="C85" i="10" s="1"/>
  <c r="C87" i="10" s="1"/>
  <c r="D69" i="10"/>
  <c r="E68" i="10" s="1"/>
  <c r="E66" i="10"/>
  <c r="E67" i="10" s="1"/>
  <c r="H83" i="10"/>
  <c r="F89" i="10"/>
  <c r="E83" i="10"/>
  <c r="I77" i="10"/>
  <c r="G83" i="10"/>
  <c r="H51" i="10"/>
  <c r="I51" i="10"/>
  <c r="C53" i="10"/>
  <c r="C55" i="10" s="1"/>
  <c r="C57" i="10"/>
  <c r="C59" i="10" s="1"/>
  <c r="C61" i="10" s="1"/>
  <c r="E51" i="10"/>
  <c r="G57" i="10"/>
  <c r="F51" i="10"/>
  <c r="D34" i="10"/>
  <c r="D35" i="10" s="1"/>
  <c r="C47" i="10"/>
  <c r="C49" i="10" s="1"/>
  <c r="G26" i="10"/>
  <c r="D20" i="10"/>
  <c r="E20" i="10"/>
  <c r="E3" i="10"/>
  <c r="E4" i="10" s="1"/>
  <c r="H14" i="10"/>
  <c r="I14" i="10"/>
  <c r="C6" i="10"/>
  <c r="D5" i="10" s="1"/>
  <c r="D6" i="10" s="1"/>
  <c r="E5" i="10" s="1"/>
  <c r="C14" i="10"/>
  <c r="F20" i="10"/>
  <c r="C37" i="9"/>
  <c r="D36" i="9" s="1"/>
  <c r="D37" i="9" s="1"/>
  <c r="E36" i="9" s="1"/>
  <c r="C45" i="9"/>
  <c r="C51" i="9" s="1"/>
  <c r="C57" i="9" s="1"/>
  <c r="C59" i="9" s="1"/>
  <c r="C61" i="9" s="1"/>
  <c r="C14" i="9"/>
  <c r="C20" i="9" s="1"/>
  <c r="C78" i="9"/>
  <c r="C80" i="9" s="1"/>
  <c r="C82" i="9"/>
  <c r="F82" i="9"/>
  <c r="I82" i="9"/>
  <c r="H82" i="9"/>
  <c r="D88" i="9"/>
  <c r="G76" i="9"/>
  <c r="E82" i="9"/>
  <c r="D65" i="9"/>
  <c r="D66" i="9" s="1"/>
  <c r="C72" i="9"/>
  <c r="C74" i="9" s="1"/>
  <c r="F51" i="9"/>
  <c r="G51" i="9"/>
  <c r="D57" i="9"/>
  <c r="E34" i="9"/>
  <c r="E35" i="9" s="1"/>
  <c r="H51" i="9"/>
  <c r="E45" i="9"/>
  <c r="I57" i="9"/>
  <c r="C22" i="9"/>
  <c r="C24" i="9" s="1"/>
  <c r="C26" i="9"/>
  <c r="C28" i="9" s="1"/>
  <c r="C30" i="9" s="1"/>
  <c r="F26" i="9"/>
  <c r="E20" i="9"/>
  <c r="H14" i="9"/>
  <c r="D3" i="9"/>
  <c r="D4" i="9" s="1"/>
  <c r="I14" i="9"/>
  <c r="G20" i="9"/>
  <c r="C16" i="9"/>
  <c r="C18" i="9" s="1"/>
  <c r="D34" i="8"/>
  <c r="D35" i="8" s="1"/>
  <c r="E34" i="8" s="1"/>
  <c r="E35" i="8" s="1"/>
  <c r="C6" i="8"/>
  <c r="D5" i="8" s="1"/>
  <c r="E82" i="8"/>
  <c r="H82" i="8"/>
  <c r="D82" i="8"/>
  <c r="G88" i="8"/>
  <c r="C84" i="8"/>
  <c r="C86" i="8" s="1"/>
  <c r="C88" i="8"/>
  <c r="C90" i="8" s="1"/>
  <c r="C92" i="8" s="1"/>
  <c r="F82" i="8"/>
  <c r="D65" i="8"/>
  <c r="D66" i="8" s="1"/>
  <c r="I76" i="8"/>
  <c r="C78" i="8"/>
  <c r="C80" i="8" s="1"/>
  <c r="F51" i="8"/>
  <c r="D51" i="8"/>
  <c r="E51" i="8"/>
  <c r="G51" i="8"/>
  <c r="D37" i="8"/>
  <c r="E36" i="8" s="1"/>
  <c r="H51" i="8"/>
  <c r="C45" i="8"/>
  <c r="I51" i="8"/>
  <c r="D20" i="8"/>
  <c r="E20" i="8"/>
  <c r="G20" i="8"/>
  <c r="D6" i="8"/>
  <c r="E5" i="8" s="1"/>
  <c r="E3" i="8"/>
  <c r="E4" i="8" s="1"/>
  <c r="C26" i="8"/>
  <c r="C28" i="8" s="1"/>
  <c r="C30" i="8" s="1"/>
  <c r="C22" i="8"/>
  <c r="C24" i="8" s="1"/>
  <c r="H20" i="8"/>
  <c r="F26" i="8"/>
  <c r="I14" i="8"/>
  <c r="C16" i="8"/>
  <c r="C18" i="8" s="1"/>
  <c r="D20" i="7"/>
  <c r="C20" i="7"/>
  <c r="C16" i="7"/>
  <c r="C18" i="7" s="1"/>
  <c r="E20" i="7"/>
  <c r="I20" i="7"/>
  <c r="F20" i="7"/>
  <c r="D3" i="7"/>
  <c r="D4" i="7" s="1"/>
  <c r="C10" i="7"/>
  <c r="C12" i="7" s="1"/>
  <c r="G20" i="7"/>
  <c r="H14" i="7"/>
  <c r="C6" i="6"/>
  <c r="D5" i="6" s="1"/>
  <c r="D6" i="6" s="1"/>
  <c r="E5" i="6" s="1"/>
  <c r="C20" i="6"/>
  <c r="C16" i="6"/>
  <c r="C18" i="6" s="1"/>
  <c r="I26" i="6"/>
  <c r="E20" i="6"/>
  <c r="G20" i="6"/>
  <c r="F20" i="6"/>
  <c r="H26" i="6"/>
  <c r="C10" i="6"/>
  <c r="C12" i="6" s="1"/>
  <c r="E3" i="6"/>
  <c r="E4" i="6" s="1"/>
  <c r="D14" i="6"/>
  <c r="C107" i="5"/>
  <c r="C113" i="5" s="1"/>
  <c r="C76" i="5"/>
  <c r="C82" i="5" s="1"/>
  <c r="C84" i="5" s="1"/>
  <c r="C86" i="5" s="1"/>
  <c r="E150" i="5"/>
  <c r="C140" i="5"/>
  <c r="C142" i="5" s="1"/>
  <c r="C144" i="5"/>
  <c r="D144" i="5"/>
  <c r="G144" i="5"/>
  <c r="H138" i="5"/>
  <c r="F144" i="5"/>
  <c r="D127" i="5"/>
  <c r="D128" i="5" s="1"/>
  <c r="C134" i="5"/>
  <c r="C136" i="5" s="1"/>
  <c r="I138" i="5"/>
  <c r="I113" i="5"/>
  <c r="E113" i="5"/>
  <c r="H119" i="5"/>
  <c r="F113" i="5"/>
  <c r="C115" i="5"/>
  <c r="C117" i="5" s="1"/>
  <c r="C119" i="5"/>
  <c r="C121" i="5" s="1"/>
  <c r="C123" i="5" s="1"/>
  <c r="D119" i="5"/>
  <c r="G119" i="5"/>
  <c r="D96" i="5"/>
  <c r="D97" i="5" s="1"/>
  <c r="C109" i="5"/>
  <c r="C111" i="5" s="1"/>
  <c r="H82" i="5"/>
  <c r="I82" i="5"/>
  <c r="C88" i="5"/>
  <c r="C90" i="5" s="1"/>
  <c r="C92" i="5" s="1"/>
  <c r="F88" i="5"/>
  <c r="E82" i="5"/>
  <c r="G88" i="5"/>
  <c r="D88" i="5"/>
  <c r="D65" i="5"/>
  <c r="D66" i="5" s="1"/>
  <c r="C78" i="5"/>
  <c r="C80" i="5" s="1"/>
  <c r="D57" i="5"/>
  <c r="G57" i="5"/>
  <c r="E51" i="5"/>
  <c r="F51" i="5"/>
  <c r="I51" i="5"/>
  <c r="C53" i="5"/>
  <c r="C55" i="5" s="1"/>
  <c r="C57" i="5"/>
  <c r="C59" i="5" s="1"/>
  <c r="C61" i="5" s="1"/>
  <c r="H57" i="5"/>
  <c r="D35" i="5"/>
  <c r="C47" i="5"/>
  <c r="C49" i="5" s="1"/>
  <c r="G20" i="5"/>
  <c r="D26" i="5"/>
  <c r="C20" i="5"/>
  <c r="C16" i="5"/>
  <c r="C18" i="5" s="1"/>
  <c r="F20" i="5"/>
  <c r="I14" i="5"/>
  <c r="H20" i="5"/>
  <c r="E20" i="5"/>
  <c r="D3" i="5"/>
  <c r="D4" i="5" s="1"/>
  <c r="C10" i="5"/>
  <c r="C12" i="5" s="1"/>
  <c r="D34" i="4"/>
  <c r="D35" i="4" s="1"/>
  <c r="D37" i="4" s="1"/>
  <c r="E36" i="4" s="1"/>
  <c r="C57" i="4"/>
  <c r="C59" i="4" s="1"/>
  <c r="C61" i="4" s="1"/>
  <c r="C53" i="4"/>
  <c r="C55" i="4" s="1"/>
  <c r="G51" i="4"/>
  <c r="D57" i="4"/>
  <c r="F51" i="4"/>
  <c r="H57" i="4"/>
  <c r="E51" i="4"/>
  <c r="E34" i="4"/>
  <c r="E35" i="4" s="1"/>
  <c r="C47" i="4"/>
  <c r="C49" i="4" s="1"/>
  <c r="I57" i="4"/>
  <c r="D26" i="4"/>
  <c r="C16" i="4"/>
  <c r="C18" i="4" s="1"/>
  <c r="C20" i="4"/>
  <c r="E26" i="4"/>
  <c r="I26" i="4"/>
  <c r="F20" i="4"/>
  <c r="G20" i="4"/>
  <c r="D6" i="4"/>
  <c r="E5" i="4" s="1"/>
  <c r="E3" i="4"/>
  <c r="E4" i="4" s="1"/>
  <c r="H20" i="4"/>
  <c r="C10" i="4"/>
  <c r="C12" i="4" s="1"/>
  <c r="E20" i="3"/>
  <c r="H20" i="3"/>
  <c r="C26" i="3"/>
  <c r="C28" i="3" s="1"/>
  <c r="C30" i="3" s="1"/>
  <c r="C22" i="3"/>
  <c r="C24" i="3" s="1"/>
  <c r="F20" i="3"/>
  <c r="D3" i="3"/>
  <c r="D4" i="3" s="1"/>
  <c r="I14" i="3"/>
  <c r="G20" i="3"/>
  <c r="C16" i="3"/>
  <c r="C18" i="3" s="1"/>
  <c r="F51" i="2"/>
  <c r="I51" i="2"/>
  <c r="G57" i="2"/>
  <c r="G63" i="2" s="1"/>
  <c r="G69" i="2" s="1"/>
  <c r="D34" i="2"/>
  <c r="D35" i="2" s="1"/>
  <c r="D45" i="2"/>
  <c r="E45" i="2"/>
  <c r="C51" i="2"/>
  <c r="I8" i="2"/>
  <c r="I14" i="2" s="1"/>
  <c r="H8" i="2"/>
  <c r="G8" i="2"/>
  <c r="G14" i="2" s="1"/>
  <c r="F8" i="2"/>
  <c r="E8" i="2"/>
  <c r="E14" i="2" s="1"/>
  <c r="D8" i="2"/>
  <c r="D14" i="2" s="1"/>
  <c r="D20" i="2" s="1"/>
  <c r="C8" i="2"/>
  <c r="C10" i="2" s="1"/>
  <c r="C12" i="2" s="1"/>
  <c r="H5" i="18" l="1"/>
  <c r="I3" i="18" s="1"/>
  <c r="I5" i="18" s="1"/>
  <c r="B9" i="16"/>
  <c r="H3" i="16"/>
  <c r="H5" i="16" s="1"/>
  <c r="I3" i="16" s="1"/>
  <c r="I4" i="16"/>
  <c r="B8" i="17"/>
  <c r="D8" i="17" s="1"/>
  <c r="D10" i="17" s="1"/>
  <c r="F9" i="17" s="1"/>
  <c r="E9" i="15"/>
  <c r="M8" i="18"/>
  <c r="B10" i="18"/>
  <c r="J10" i="18" s="1"/>
  <c r="K10" i="18" s="1"/>
  <c r="D8" i="18"/>
  <c r="D10" i="18" s="1"/>
  <c r="F9" i="18" s="1"/>
  <c r="M8" i="15"/>
  <c r="D8" i="15"/>
  <c r="D10" i="15" s="1"/>
  <c r="F9" i="15" s="1"/>
  <c r="B10" i="15"/>
  <c r="J10" i="15" s="1"/>
  <c r="K10" i="15" s="1"/>
  <c r="D36" i="11"/>
  <c r="E35" i="11" s="1"/>
  <c r="E33" i="11"/>
  <c r="E34" i="11" s="1"/>
  <c r="D6" i="11"/>
  <c r="E5" i="11" s="1"/>
  <c r="E6" i="11" s="1"/>
  <c r="F5" i="11" s="1"/>
  <c r="F6" i="11" s="1"/>
  <c r="G5" i="11" s="1"/>
  <c r="D44" i="11"/>
  <c r="E43" i="11" s="1"/>
  <c r="E44" i="11" s="1"/>
  <c r="F43" i="11" s="1"/>
  <c r="D105" i="10"/>
  <c r="E104" i="10" s="1"/>
  <c r="E102" i="10"/>
  <c r="E103" i="10" s="1"/>
  <c r="E96" i="10"/>
  <c r="E97" i="10" s="1"/>
  <c r="D99" i="10"/>
  <c r="E98" i="10" s="1"/>
  <c r="E98" i="8"/>
  <c r="F97" i="8" s="1"/>
  <c r="F95" i="8"/>
  <c r="F96" i="8" s="1"/>
  <c r="D98" i="8"/>
  <c r="E97" i="8" s="1"/>
  <c r="H20" i="13"/>
  <c r="E26" i="13"/>
  <c r="G26" i="13"/>
  <c r="I20" i="13"/>
  <c r="D6" i="13"/>
  <c r="E5" i="13" s="1"/>
  <c r="E3" i="13"/>
  <c r="E4" i="13" s="1"/>
  <c r="I20" i="12"/>
  <c r="D6" i="12"/>
  <c r="E5" i="12" s="1"/>
  <c r="E3" i="12"/>
  <c r="E4" i="12" s="1"/>
  <c r="H20" i="12"/>
  <c r="E26" i="12"/>
  <c r="F41" i="11"/>
  <c r="F42" i="11" s="1"/>
  <c r="C64" i="11"/>
  <c r="C60" i="11"/>
  <c r="C62" i="11" s="1"/>
  <c r="G64" i="11"/>
  <c r="G70" i="11" s="1"/>
  <c r="G26" i="11"/>
  <c r="D20" i="11"/>
  <c r="F26" i="11"/>
  <c r="C26" i="11"/>
  <c r="C28" i="11" s="1"/>
  <c r="C30" i="11" s="1"/>
  <c r="C22" i="11"/>
  <c r="C24" i="11" s="1"/>
  <c r="E26" i="11"/>
  <c r="G3" i="11"/>
  <c r="G4" i="11" s="1"/>
  <c r="C89" i="10"/>
  <c r="C91" i="10" s="1"/>
  <c r="C93" i="10" s="1"/>
  <c r="C79" i="10"/>
  <c r="C81" i="10" s="1"/>
  <c r="H89" i="10"/>
  <c r="E69" i="10"/>
  <c r="F68" i="10" s="1"/>
  <c r="F66" i="10"/>
  <c r="F67" i="10" s="1"/>
  <c r="G89" i="10"/>
  <c r="I83" i="10"/>
  <c r="E89" i="10"/>
  <c r="D37" i="10"/>
  <c r="E36" i="10" s="1"/>
  <c r="E34" i="10"/>
  <c r="E35" i="10" s="1"/>
  <c r="E57" i="10"/>
  <c r="I57" i="10"/>
  <c r="F57" i="10"/>
  <c r="H57" i="10"/>
  <c r="I20" i="10"/>
  <c r="E26" i="10"/>
  <c r="F26" i="10"/>
  <c r="H20" i="10"/>
  <c r="C20" i="10"/>
  <c r="C16" i="10"/>
  <c r="C18" i="10" s="1"/>
  <c r="E6" i="10"/>
  <c r="F5" i="10" s="1"/>
  <c r="F3" i="10"/>
  <c r="F4" i="10" s="1"/>
  <c r="D26" i="10"/>
  <c r="C47" i="9"/>
  <c r="C49" i="9" s="1"/>
  <c r="C53" i="9"/>
  <c r="C55" i="9" s="1"/>
  <c r="F88" i="9"/>
  <c r="I88" i="9"/>
  <c r="H88" i="9"/>
  <c r="E65" i="9"/>
  <c r="E66" i="9" s="1"/>
  <c r="D68" i="9"/>
  <c r="E67" i="9" s="1"/>
  <c r="E88" i="9"/>
  <c r="C84" i="9"/>
  <c r="C86" i="9" s="1"/>
  <c r="C88" i="9"/>
  <c r="C90" i="9" s="1"/>
  <c r="C92" i="9" s="1"/>
  <c r="G82" i="9"/>
  <c r="E37" i="9"/>
  <c r="F36" i="9" s="1"/>
  <c r="F34" i="9"/>
  <c r="F35" i="9" s="1"/>
  <c r="G57" i="9"/>
  <c r="E51" i="9"/>
  <c r="F57" i="9"/>
  <c r="H57" i="9"/>
  <c r="H20" i="9"/>
  <c r="E26" i="9"/>
  <c r="G26" i="9"/>
  <c r="I20" i="9"/>
  <c r="D6" i="9"/>
  <c r="E5" i="9" s="1"/>
  <c r="E3" i="9"/>
  <c r="E4" i="9" s="1"/>
  <c r="F88" i="8"/>
  <c r="D88" i="8"/>
  <c r="D68" i="8"/>
  <c r="E67" i="8" s="1"/>
  <c r="E65" i="8"/>
  <c r="E66" i="8" s="1"/>
  <c r="H88" i="8"/>
  <c r="I82" i="8"/>
  <c r="E88" i="8"/>
  <c r="C51" i="8"/>
  <c r="C47" i="8"/>
  <c r="C49" i="8" s="1"/>
  <c r="G57" i="8"/>
  <c r="H57" i="8"/>
  <c r="E57" i="8"/>
  <c r="E37" i="8"/>
  <c r="F36" i="8" s="1"/>
  <c r="F34" i="8"/>
  <c r="F35" i="8" s="1"/>
  <c r="D57" i="8"/>
  <c r="I57" i="8"/>
  <c r="F57" i="8"/>
  <c r="D26" i="8"/>
  <c r="G26" i="8"/>
  <c r="H26" i="8"/>
  <c r="E26" i="8"/>
  <c r="I20" i="8"/>
  <c r="E6" i="8"/>
  <c r="F5" i="8" s="1"/>
  <c r="F3" i="8"/>
  <c r="F4" i="8" s="1"/>
  <c r="F26" i="7"/>
  <c r="D26" i="7"/>
  <c r="C22" i="7"/>
  <c r="C24" i="7" s="1"/>
  <c r="C26" i="7"/>
  <c r="C28" i="7" s="1"/>
  <c r="C30" i="7" s="1"/>
  <c r="D6" i="7"/>
  <c r="E5" i="7" s="1"/>
  <c r="E3" i="7"/>
  <c r="E4" i="7" s="1"/>
  <c r="E26" i="7"/>
  <c r="H20" i="7"/>
  <c r="I26" i="7"/>
  <c r="G26" i="7"/>
  <c r="D20" i="6"/>
  <c r="E26" i="6"/>
  <c r="F26" i="6"/>
  <c r="E6" i="6"/>
  <c r="F5" i="6" s="1"/>
  <c r="F3" i="6"/>
  <c r="F4" i="6" s="1"/>
  <c r="G26" i="6"/>
  <c r="C26" i="6"/>
  <c r="C28" i="6" s="1"/>
  <c r="C30" i="6" s="1"/>
  <c r="C22" i="6"/>
  <c r="C24" i="6" s="1"/>
  <c r="D130" i="5"/>
  <c r="E129" i="5" s="1"/>
  <c r="E127" i="5"/>
  <c r="E128" i="5" s="1"/>
  <c r="D150" i="5"/>
  <c r="H144" i="5"/>
  <c r="F150" i="5"/>
  <c r="C150" i="5"/>
  <c r="C152" i="5" s="1"/>
  <c r="C154" i="5" s="1"/>
  <c r="C146" i="5"/>
  <c r="C148" i="5" s="1"/>
  <c r="G150" i="5"/>
  <c r="I144" i="5"/>
  <c r="E119" i="5"/>
  <c r="D99" i="5"/>
  <c r="E98" i="5" s="1"/>
  <c r="E96" i="5"/>
  <c r="E97" i="5" s="1"/>
  <c r="F119" i="5"/>
  <c r="I119" i="5"/>
  <c r="H88" i="5"/>
  <c r="D68" i="5"/>
  <c r="E67" i="5" s="1"/>
  <c r="E65" i="5"/>
  <c r="E66" i="5" s="1"/>
  <c r="E88" i="5"/>
  <c r="I88" i="5"/>
  <c r="I57" i="5"/>
  <c r="E57" i="5"/>
  <c r="F57" i="5"/>
  <c r="D37" i="5"/>
  <c r="E36" i="5" s="1"/>
  <c r="E34" i="5"/>
  <c r="E35" i="5" s="1"/>
  <c r="H26" i="5"/>
  <c r="F26" i="5"/>
  <c r="I20" i="5"/>
  <c r="C22" i="5"/>
  <c r="C24" i="5" s="1"/>
  <c r="C26" i="5"/>
  <c r="C28" i="5" s="1"/>
  <c r="C30" i="5" s="1"/>
  <c r="D6" i="5"/>
  <c r="E5" i="5" s="1"/>
  <c r="E3" i="5"/>
  <c r="E4" i="5" s="1"/>
  <c r="E26" i="5"/>
  <c r="G26" i="5"/>
  <c r="E57" i="4"/>
  <c r="G57" i="4"/>
  <c r="F34" i="4"/>
  <c r="F35" i="4" s="1"/>
  <c r="E37" i="4"/>
  <c r="F36" i="4" s="1"/>
  <c r="F57" i="4"/>
  <c r="F3" i="4"/>
  <c r="F4" i="4" s="1"/>
  <c r="E6" i="4"/>
  <c r="F5" i="4" s="1"/>
  <c r="G26" i="4"/>
  <c r="C26" i="4"/>
  <c r="C28" i="4" s="1"/>
  <c r="C30" i="4" s="1"/>
  <c r="C22" i="4"/>
  <c r="C24" i="4" s="1"/>
  <c r="H26" i="4"/>
  <c r="F26" i="4"/>
  <c r="H26" i="3"/>
  <c r="G26" i="3"/>
  <c r="F26" i="3"/>
  <c r="I20" i="3"/>
  <c r="E26" i="3"/>
  <c r="D6" i="3"/>
  <c r="E5" i="3" s="1"/>
  <c r="E3" i="3"/>
  <c r="E4" i="3" s="1"/>
  <c r="F14" i="2"/>
  <c r="C53" i="2"/>
  <c r="C55" i="2" s="1"/>
  <c r="C57" i="2"/>
  <c r="D37" i="2"/>
  <c r="E36" i="2" s="1"/>
  <c r="E34" i="2"/>
  <c r="E35" i="2" s="1"/>
  <c r="D51" i="2"/>
  <c r="F57" i="2"/>
  <c r="F63" i="2" s="1"/>
  <c r="F69" i="2" s="1"/>
  <c r="E51" i="2"/>
  <c r="I57" i="2"/>
  <c r="I63" i="2" s="1"/>
  <c r="I69" i="2" s="1"/>
  <c r="C14" i="2"/>
  <c r="C20" i="2" s="1"/>
  <c r="C22" i="2" s="1"/>
  <c r="C24" i="2" s="1"/>
  <c r="E20" i="2"/>
  <c r="I20" i="2"/>
  <c r="H14" i="2"/>
  <c r="F20" i="2"/>
  <c r="D26" i="2"/>
  <c r="D3" i="2"/>
  <c r="D4" i="2" s="1"/>
  <c r="G20" i="2"/>
  <c r="C59" i="2" l="1"/>
  <c r="C61" i="2" s="1"/>
  <c r="C63" i="2"/>
  <c r="I5" i="16"/>
  <c r="E9" i="16"/>
  <c r="B8" i="16"/>
  <c r="B10" i="17"/>
  <c r="J10" i="17" s="1"/>
  <c r="K10" i="17" s="1"/>
  <c r="M8" i="17"/>
  <c r="M10" i="17" s="1"/>
  <c r="P9" i="18"/>
  <c r="O9" i="18"/>
  <c r="O10" i="18" s="1"/>
  <c r="M9" i="18"/>
  <c r="M10" i="18" s="1"/>
  <c r="E8" i="18"/>
  <c r="E10" i="18" s="1"/>
  <c r="E8" i="17"/>
  <c r="E10" i="17" s="1"/>
  <c r="E8" i="15"/>
  <c r="E10" i="15" s="1"/>
  <c r="P9" i="15"/>
  <c r="O10" i="15"/>
  <c r="O9" i="15"/>
  <c r="M9" i="15"/>
  <c r="M10" i="15"/>
  <c r="E36" i="11"/>
  <c r="F35" i="11" s="1"/>
  <c r="F33" i="11"/>
  <c r="F34" i="11" s="1"/>
  <c r="C66" i="11"/>
  <c r="C68" i="11" s="1"/>
  <c r="C70" i="11"/>
  <c r="C72" i="11" s="1"/>
  <c r="C74" i="11" s="1"/>
  <c r="E105" i="10"/>
  <c r="F104" i="10" s="1"/>
  <c r="F102" i="10"/>
  <c r="F103" i="10" s="1"/>
  <c r="E99" i="10"/>
  <c r="F98" i="10" s="1"/>
  <c r="F96" i="10"/>
  <c r="F97" i="10" s="1"/>
  <c r="F98" i="8"/>
  <c r="G97" i="8" s="1"/>
  <c r="G95" i="8"/>
  <c r="G96" i="8" s="1"/>
  <c r="I26" i="13"/>
  <c r="E6" i="13"/>
  <c r="F5" i="13" s="1"/>
  <c r="F3" i="13"/>
  <c r="F4" i="13" s="1"/>
  <c r="H26" i="13"/>
  <c r="I26" i="12"/>
  <c r="H26" i="12"/>
  <c r="E6" i="12"/>
  <c r="F5" i="12" s="1"/>
  <c r="F3" i="12"/>
  <c r="F4" i="12" s="1"/>
  <c r="F44" i="11"/>
  <c r="G43" i="11" s="1"/>
  <c r="G41" i="11"/>
  <c r="G42" i="11" s="1"/>
  <c r="G6" i="11"/>
  <c r="H5" i="11" s="1"/>
  <c r="H3" i="11"/>
  <c r="H4" i="11" s="1"/>
  <c r="D26" i="11"/>
  <c r="I89" i="10"/>
  <c r="F69" i="10"/>
  <c r="G68" i="10" s="1"/>
  <c r="G66" i="10"/>
  <c r="G67" i="10" s="1"/>
  <c r="E37" i="10"/>
  <c r="F36" i="10" s="1"/>
  <c r="F34" i="10"/>
  <c r="F35" i="10" s="1"/>
  <c r="C22" i="10"/>
  <c r="C24" i="10" s="1"/>
  <c r="C26" i="10"/>
  <c r="C28" i="10" s="1"/>
  <c r="C30" i="10" s="1"/>
  <c r="H26" i="10"/>
  <c r="G3" i="10"/>
  <c r="G4" i="10" s="1"/>
  <c r="F6" i="10"/>
  <c r="G5" i="10" s="1"/>
  <c r="I26" i="10"/>
  <c r="G88" i="9"/>
  <c r="F65" i="9"/>
  <c r="F66" i="9" s="1"/>
  <c r="E68" i="9"/>
  <c r="F67" i="9" s="1"/>
  <c r="G34" i="9"/>
  <c r="G35" i="9" s="1"/>
  <c r="F37" i="9"/>
  <c r="G36" i="9" s="1"/>
  <c r="E57" i="9"/>
  <c r="H26" i="9"/>
  <c r="I26" i="9"/>
  <c r="E6" i="9"/>
  <c r="F5" i="9" s="1"/>
  <c r="F3" i="9"/>
  <c r="F4" i="9" s="1"/>
  <c r="E68" i="8"/>
  <c r="F67" i="8" s="1"/>
  <c r="F65" i="8"/>
  <c r="F66" i="8" s="1"/>
  <c r="I88" i="8"/>
  <c r="C57" i="8"/>
  <c r="C59" i="8" s="1"/>
  <c r="C61" i="8" s="1"/>
  <c r="C53" i="8"/>
  <c r="C55" i="8" s="1"/>
  <c r="F37" i="8"/>
  <c r="G36" i="8" s="1"/>
  <c r="G34" i="8"/>
  <c r="G35" i="8" s="1"/>
  <c r="I26" i="8"/>
  <c r="F6" i="8"/>
  <c r="G5" i="8" s="1"/>
  <c r="G3" i="8"/>
  <c r="G4" i="8" s="1"/>
  <c r="H26" i="7"/>
  <c r="E6" i="7"/>
  <c r="F5" i="7" s="1"/>
  <c r="F3" i="7"/>
  <c r="F4" i="7" s="1"/>
  <c r="D26" i="6"/>
  <c r="F6" i="6"/>
  <c r="G5" i="6" s="1"/>
  <c r="G3" i="6"/>
  <c r="G4" i="6" s="1"/>
  <c r="F127" i="5"/>
  <c r="F128" i="5" s="1"/>
  <c r="E130" i="5"/>
  <c r="F129" i="5" s="1"/>
  <c r="I150" i="5"/>
  <c r="H150" i="5"/>
  <c r="E99" i="5"/>
  <c r="F98" i="5" s="1"/>
  <c r="F96" i="5"/>
  <c r="F97" i="5" s="1"/>
  <c r="E68" i="5"/>
  <c r="F67" i="5" s="1"/>
  <c r="F65" i="5"/>
  <c r="F66" i="5" s="1"/>
  <c r="E37" i="5"/>
  <c r="F36" i="5" s="1"/>
  <c r="F34" i="5"/>
  <c r="F35" i="5" s="1"/>
  <c r="I26" i="5"/>
  <c r="F3" i="5"/>
  <c r="F4" i="5" s="1"/>
  <c r="E6" i="5"/>
  <c r="F5" i="5" s="1"/>
  <c r="F37" i="4"/>
  <c r="G36" i="4" s="1"/>
  <c r="G34" i="4"/>
  <c r="G35" i="4" s="1"/>
  <c r="F6" i="4"/>
  <c r="G5" i="4" s="1"/>
  <c r="G3" i="4"/>
  <c r="G4" i="4" s="1"/>
  <c r="E6" i="3"/>
  <c r="F5" i="3" s="1"/>
  <c r="F3" i="3"/>
  <c r="F4" i="3" s="1"/>
  <c r="I26" i="3"/>
  <c r="D57" i="2"/>
  <c r="D63" i="2" s="1"/>
  <c r="D69" i="2" s="1"/>
  <c r="E57" i="2"/>
  <c r="E63" i="2" s="1"/>
  <c r="E69" i="2" s="1"/>
  <c r="E37" i="2"/>
  <c r="F36" i="2" s="1"/>
  <c r="F34" i="2"/>
  <c r="F35" i="2" s="1"/>
  <c r="C16" i="2"/>
  <c r="C18" i="2" s="1"/>
  <c r="C26" i="2"/>
  <c r="C28" i="2" s="1"/>
  <c r="C30" i="2" s="1"/>
  <c r="F26" i="2"/>
  <c r="H20" i="2"/>
  <c r="G26" i="2"/>
  <c r="D6" i="2"/>
  <c r="E5" i="2" s="1"/>
  <c r="E3" i="2"/>
  <c r="E4" i="2" s="1"/>
  <c r="E26" i="2"/>
  <c r="I26" i="2"/>
  <c r="C65" i="2" l="1"/>
  <c r="C67" i="2" s="1"/>
  <c r="C69" i="2"/>
  <c r="C71" i="2" s="1"/>
  <c r="C73" i="2" s="1"/>
  <c r="M8" i="16"/>
  <c r="B10" i="16"/>
  <c r="J10" i="16" s="1"/>
  <c r="K10" i="16" s="1"/>
  <c r="D8" i="16"/>
  <c r="D10" i="16" s="1"/>
  <c r="P9" i="17"/>
  <c r="O9" i="17"/>
  <c r="O10" i="17"/>
  <c r="M9" i="17"/>
  <c r="G9" i="18"/>
  <c r="F8" i="18"/>
  <c r="F10" i="18" s="1"/>
  <c r="G9" i="17"/>
  <c r="F8" i="17"/>
  <c r="F10" i="17" s="1"/>
  <c r="G9" i="15"/>
  <c r="F8" i="15"/>
  <c r="F10" i="15" s="1"/>
  <c r="G33" i="11"/>
  <c r="G34" i="11" s="1"/>
  <c r="F36" i="11"/>
  <c r="G35" i="11" s="1"/>
  <c r="F105" i="10"/>
  <c r="G104" i="10" s="1"/>
  <c r="G102" i="10"/>
  <c r="G103" i="10" s="1"/>
  <c r="F99" i="10"/>
  <c r="G98" i="10" s="1"/>
  <c r="G96" i="10"/>
  <c r="G97" i="10" s="1"/>
  <c r="G98" i="8"/>
  <c r="H97" i="8" s="1"/>
  <c r="H95" i="8"/>
  <c r="H96" i="8" s="1"/>
  <c r="G3" i="13"/>
  <c r="G4" i="13" s="1"/>
  <c r="F6" i="13"/>
  <c r="G5" i="13" s="1"/>
  <c r="G3" i="12"/>
  <c r="G4" i="12" s="1"/>
  <c r="F6" i="12"/>
  <c r="G5" i="12" s="1"/>
  <c r="G44" i="11"/>
  <c r="H43" i="11" s="1"/>
  <c r="H41" i="11"/>
  <c r="H42" i="11" s="1"/>
  <c r="I3" i="11"/>
  <c r="I4" i="11" s="1"/>
  <c r="H6" i="11"/>
  <c r="G69" i="10"/>
  <c r="H68" i="10" s="1"/>
  <c r="H66" i="10"/>
  <c r="H67" i="10" s="1"/>
  <c r="G34" i="10"/>
  <c r="G35" i="10" s="1"/>
  <c r="F37" i="10"/>
  <c r="G36" i="10" s="1"/>
  <c r="H3" i="10"/>
  <c r="H4" i="10" s="1"/>
  <c r="G6" i="10"/>
  <c r="H5" i="10" s="1"/>
  <c r="F68" i="9"/>
  <c r="G67" i="9" s="1"/>
  <c r="G65" i="9"/>
  <c r="G66" i="9" s="1"/>
  <c r="G37" i="9"/>
  <c r="H36" i="9" s="1"/>
  <c r="H34" i="9"/>
  <c r="H35" i="9" s="1"/>
  <c r="G3" i="9"/>
  <c r="G4" i="9" s="1"/>
  <c r="F6" i="9"/>
  <c r="G5" i="9" s="1"/>
  <c r="F68" i="8"/>
  <c r="G67" i="8" s="1"/>
  <c r="G65" i="8"/>
  <c r="G66" i="8" s="1"/>
  <c r="G37" i="8"/>
  <c r="H36" i="8" s="1"/>
  <c r="H34" i="8"/>
  <c r="H35" i="8" s="1"/>
  <c r="G6" i="8"/>
  <c r="H5" i="8" s="1"/>
  <c r="H3" i="8"/>
  <c r="H4" i="8" s="1"/>
  <c r="F6" i="7"/>
  <c r="G5" i="7" s="1"/>
  <c r="G3" i="7"/>
  <c r="G4" i="7" s="1"/>
  <c r="G6" i="6"/>
  <c r="H5" i="6" s="1"/>
  <c r="H3" i="6"/>
  <c r="H4" i="6" s="1"/>
  <c r="G127" i="5"/>
  <c r="G128" i="5" s="1"/>
  <c r="F130" i="5"/>
  <c r="G129" i="5" s="1"/>
  <c r="F99" i="5"/>
  <c r="G98" i="5" s="1"/>
  <c r="G96" i="5"/>
  <c r="G97" i="5" s="1"/>
  <c r="G65" i="5"/>
  <c r="G66" i="5" s="1"/>
  <c r="F68" i="5"/>
  <c r="G67" i="5" s="1"/>
  <c r="F37" i="5"/>
  <c r="G36" i="5" s="1"/>
  <c r="G34" i="5"/>
  <c r="G35" i="5" s="1"/>
  <c r="F6" i="5"/>
  <c r="G5" i="5" s="1"/>
  <c r="G3" i="5"/>
  <c r="G4" i="5" s="1"/>
  <c r="G37" i="4"/>
  <c r="H36" i="4" s="1"/>
  <c r="H34" i="4"/>
  <c r="H35" i="4" s="1"/>
  <c r="G6" i="4"/>
  <c r="H5" i="4" s="1"/>
  <c r="H3" i="4"/>
  <c r="H4" i="4" s="1"/>
  <c r="G3" i="3"/>
  <c r="G4" i="3" s="1"/>
  <c r="F6" i="3"/>
  <c r="G5" i="3" s="1"/>
  <c r="F37" i="2"/>
  <c r="G36" i="2" s="1"/>
  <c r="G34" i="2"/>
  <c r="G35" i="2" s="1"/>
  <c r="H26" i="2"/>
  <c r="E6" i="2"/>
  <c r="F5" i="2" s="1"/>
  <c r="F3" i="2"/>
  <c r="F4" i="2" s="1"/>
  <c r="P9" i="16" l="1"/>
  <c r="O9" i="16"/>
  <c r="O10" i="16" s="1"/>
  <c r="M9" i="16"/>
  <c r="M10" i="16" s="1"/>
  <c r="F9" i="16"/>
  <c r="E8" i="16"/>
  <c r="E10" i="16" s="1"/>
  <c r="H9" i="18"/>
  <c r="G8" i="18"/>
  <c r="G10" i="18" s="1"/>
  <c r="H9" i="17"/>
  <c r="G8" i="17"/>
  <c r="G10" i="17" s="1"/>
  <c r="H9" i="15"/>
  <c r="G8" i="15"/>
  <c r="G10" i="15" s="1"/>
  <c r="G36" i="11"/>
  <c r="H35" i="11" s="1"/>
  <c r="H33" i="11"/>
  <c r="H34" i="11" s="1"/>
  <c r="G105" i="10"/>
  <c r="H104" i="10" s="1"/>
  <c r="H102" i="10"/>
  <c r="H103" i="10" s="1"/>
  <c r="G99" i="10"/>
  <c r="H98" i="10" s="1"/>
  <c r="H96" i="10"/>
  <c r="H97" i="10" s="1"/>
  <c r="H98" i="8"/>
  <c r="I95" i="8"/>
  <c r="I96" i="8" s="1"/>
  <c r="H3" i="13"/>
  <c r="H4" i="13" s="1"/>
  <c r="G6" i="13"/>
  <c r="H5" i="13" s="1"/>
  <c r="H3" i="12"/>
  <c r="H4" i="12" s="1"/>
  <c r="G6" i="12"/>
  <c r="H5" i="12" s="1"/>
  <c r="B9" i="11"/>
  <c r="J9" i="11" s="1"/>
  <c r="K9" i="11" s="1"/>
  <c r="I41" i="11"/>
  <c r="I42" i="11" s="1"/>
  <c r="H44" i="11"/>
  <c r="H69" i="10"/>
  <c r="I66" i="10"/>
  <c r="I67" i="10" s="1"/>
  <c r="B72" i="10" s="1"/>
  <c r="H34" i="10"/>
  <c r="H35" i="10" s="1"/>
  <c r="G37" i="10"/>
  <c r="H36" i="10" s="1"/>
  <c r="I3" i="10"/>
  <c r="I4" i="10" s="1"/>
  <c r="H6" i="10"/>
  <c r="G68" i="9"/>
  <c r="H67" i="9" s="1"/>
  <c r="H65" i="9"/>
  <c r="H66" i="9" s="1"/>
  <c r="I34" i="9"/>
  <c r="I35" i="9" s="1"/>
  <c r="H37" i="9"/>
  <c r="H3" i="9"/>
  <c r="H4" i="9" s="1"/>
  <c r="G6" i="9"/>
  <c r="H5" i="9" s="1"/>
  <c r="H65" i="8"/>
  <c r="H66" i="8" s="1"/>
  <c r="G68" i="8"/>
  <c r="H67" i="8" s="1"/>
  <c r="I34" i="8"/>
  <c r="I35" i="8" s="1"/>
  <c r="H37" i="8"/>
  <c r="H6" i="8"/>
  <c r="I3" i="8"/>
  <c r="I4" i="8" s="1"/>
  <c r="H3" i="7"/>
  <c r="H4" i="7" s="1"/>
  <c r="G6" i="7"/>
  <c r="H5" i="7" s="1"/>
  <c r="I3" i="6"/>
  <c r="I4" i="6" s="1"/>
  <c r="H6" i="6"/>
  <c r="H127" i="5"/>
  <c r="H128" i="5" s="1"/>
  <c r="G130" i="5"/>
  <c r="H129" i="5" s="1"/>
  <c r="H96" i="5"/>
  <c r="H97" i="5" s="1"/>
  <c r="G99" i="5"/>
  <c r="H98" i="5" s="1"/>
  <c r="H65" i="5"/>
  <c r="H66" i="5" s="1"/>
  <c r="G68" i="5"/>
  <c r="H67" i="5" s="1"/>
  <c r="H34" i="5"/>
  <c r="H35" i="5" s="1"/>
  <c r="G37" i="5"/>
  <c r="H36" i="5" s="1"/>
  <c r="H3" i="5"/>
  <c r="H4" i="5" s="1"/>
  <c r="G6" i="5"/>
  <c r="H5" i="5" s="1"/>
  <c r="I34" i="4"/>
  <c r="I35" i="4" s="1"/>
  <c r="H37" i="4"/>
  <c r="H6" i="4"/>
  <c r="I3" i="4"/>
  <c r="I4" i="4" s="1"/>
  <c r="G6" i="3"/>
  <c r="H5" i="3" s="1"/>
  <c r="H3" i="3"/>
  <c r="H4" i="3" s="1"/>
  <c r="H34" i="2"/>
  <c r="H35" i="2" s="1"/>
  <c r="G37" i="2"/>
  <c r="H36" i="2" s="1"/>
  <c r="F6" i="2"/>
  <c r="G5" i="2" s="1"/>
  <c r="G3" i="2"/>
  <c r="G4" i="2" s="1"/>
  <c r="B9" i="8" l="1"/>
  <c r="G9" i="16"/>
  <c r="F8" i="16"/>
  <c r="F10" i="16" s="1"/>
  <c r="B14" i="18"/>
  <c r="I9" i="18"/>
  <c r="H8" i="18"/>
  <c r="H10" i="18" s="1"/>
  <c r="I8" i="18" s="1"/>
  <c r="B14" i="17"/>
  <c r="I9" i="17"/>
  <c r="H8" i="17"/>
  <c r="H10" i="17" s="1"/>
  <c r="I8" i="17" s="1"/>
  <c r="B14" i="15"/>
  <c r="I9" i="15"/>
  <c r="H8" i="15"/>
  <c r="H10" i="15" s="1"/>
  <c r="I8" i="15" s="1"/>
  <c r="H36" i="11"/>
  <c r="I33" i="11"/>
  <c r="I34" i="11" s="1"/>
  <c r="B47" i="11"/>
  <c r="J47" i="11" s="1"/>
  <c r="K47" i="11" s="1"/>
  <c r="I102" i="10"/>
  <c r="I103" i="10" s="1"/>
  <c r="H105" i="10"/>
  <c r="I96" i="10"/>
  <c r="I97" i="10" s="1"/>
  <c r="H99" i="10"/>
  <c r="H6" i="13"/>
  <c r="I3" i="13"/>
  <c r="I4" i="13" s="1"/>
  <c r="H6" i="12"/>
  <c r="I3" i="12"/>
  <c r="I4" i="12" s="1"/>
  <c r="D9" i="11"/>
  <c r="D10" i="11" s="1"/>
  <c r="E9" i="11" s="1"/>
  <c r="E10" i="11" s="1"/>
  <c r="F9" i="11" s="1"/>
  <c r="F10" i="11" s="1"/>
  <c r="D11" i="11"/>
  <c r="D74" i="10"/>
  <c r="J72" i="10"/>
  <c r="K72" i="10" s="1"/>
  <c r="D72" i="10"/>
  <c r="D73" i="10" s="1"/>
  <c r="I34" i="10"/>
  <c r="I35" i="10" s="1"/>
  <c r="H37" i="10"/>
  <c r="B9" i="10"/>
  <c r="B40" i="9"/>
  <c r="J40" i="9" s="1"/>
  <c r="K40" i="9" s="1"/>
  <c r="I65" i="9"/>
  <c r="I66" i="9" s="1"/>
  <c r="H68" i="9"/>
  <c r="I3" i="9"/>
  <c r="I4" i="9" s="1"/>
  <c r="H6" i="9"/>
  <c r="B40" i="8"/>
  <c r="J40" i="8" s="1"/>
  <c r="K40" i="8" s="1"/>
  <c r="I65" i="8"/>
  <c r="I66" i="8" s="1"/>
  <c r="H68" i="8"/>
  <c r="D11" i="8"/>
  <c r="J9" i="8"/>
  <c r="K9" i="8" s="1"/>
  <c r="D9" i="8"/>
  <c r="D10" i="8" s="1"/>
  <c r="H6" i="7"/>
  <c r="I3" i="7"/>
  <c r="I4" i="7" s="1"/>
  <c r="B9" i="6"/>
  <c r="H130" i="5"/>
  <c r="I127" i="5"/>
  <c r="I128" i="5" s="1"/>
  <c r="B133" i="5" s="1"/>
  <c r="I96" i="5"/>
  <c r="I97" i="5" s="1"/>
  <c r="H99" i="5"/>
  <c r="H68" i="5"/>
  <c r="I65" i="5"/>
  <c r="I66" i="5" s="1"/>
  <c r="I34" i="5"/>
  <c r="I35" i="5" s="1"/>
  <c r="H37" i="5"/>
  <c r="I3" i="5"/>
  <c r="I4" i="5" s="1"/>
  <c r="H6" i="5"/>
  <c r="B9" i="4"/>
  <c r="D11" i="4" s="1"/>
  <c r="B40" i="4"/>
  <c r="H6" i="3"/>
  <c r="I3" i="3"/>
  <c r="I4" i="3" s="1"/>
  <c r="I34" i="2"/>
  <c r="I35" i="2" s="1"/>
  <c r="H37" i="2"/>
  <c r="G6" i="2"/>
  <c r="H5" i="2" s="1"/>
  <c r="H3" i="2"/>
  <c r="H4" i="2" s="1"/>
  <c r="D12" i="8" l="1"/>
  <c r="E11" i="8" s="1"/>
  <c r="H9" i="16"/>
  <c r="G8" i="16"/>
  <c r="G10" i="16" s="1"/>
  <c r="I10" i="17"/>
  <c r="E14" i="18"/>
  <c r="B13" i="18"/>
  <c r="I10" i="18"/>
  <c r="E14" i="17"/>
  <c r="B13" i="17"/>
  <c r="E14" i="15"/>
  <c r="B13" i="15"/>
  <c r="I10" i="15"/>
  <c r="D12" i="11"/>
  <c r="E11" i="11" s="1"/>
  <c r="E12" i="11" s="1"/>
  <c r="F11" i="11" s="1"/>
  <c r="D49" i="11"/>
  <c r="D50" i="11" s="1"/>
  <c r="E49" i="11" s="1"/>
  <c r="D47" i="11"/>
  <c r="D48" i="11" s="1"/>
  <c r="B9" i="13"/>
  <c r="B9" i="12"/>
  <c r="D9" i="12" s="1"/>
  <c r="D10" i="12" s="1"/>
  <c r="E47" i="11"/>
  <c r="E48" i="11" s="1"/>
  <c r="F47" i="11" s="1"/>
  <c r="F48" i="11" s="1"/>
  <c r="G47" i="11" s="1"/>
  <c r="G48" i="11" s="1"/>
  <c r="F12" i="11"/>
  <c r="G11" i="11" s="1"/>
  <c r="G9" i="11"/>
  <c r="G10" i="11" s="1"/>
  <c r="B40" i="10"/>
  <c r="J40" i="10" s="1"/>
  <c r="K40" i="10" s="1"/>
  <c r="D75" i="10"/>
  <c r="E74" i="10" s="1"/>
  <c r="E72" i="10"/>
  <c r="E73" i="10" s="1"/>
  <c r="D11" i="10"/>
  <c r="D9" i="10"/>
  <c r="D10" i="10" s="1"/>
  <c r="J9" i="10"/>
  <c r="K9" i="10" s="1"/>
  <c r="D40" i="9"/>
  <c r="D41" i="9" s="1"/>
  <c r="E40" i="9" s="1"/>
  <c r="E41" i="9" s="1"/>
  <c r="F40" i="9" s="1"/>
  <c r="F41" i="9" s="1"/>
  <c r="D42" i="9"/>
  <c r="B71" i="9"/>
  <c r="D73" i="9" s="1"/>
  <c r="B9" i="9"/>
  <c r="B71" i="8"/>
  <c r="D73" i="8" s="1"/>
  <c r="D40" i="8"/>
  <c r="D41" i="8" s="1"/>
  <c r="D42" i="8"/>
  <c r="E9" i="8"/>
  <c r="E10" i="8" s="1"/>
  <c r="B9" i="7"/>
  <c r="D9" i="7" s="1"/>
  <c r="D10" i="7" s="1"/>
  <c r="J9" i="6"/>
  <c r="K9" i="6" s="1"/>
  <c r="D9" i="6"/>
  <c r="D10" i="6" s="1"/>
  <c r="D11" i="6"/>
  <c r="B102" i="5"/>
  <c r="D104" i="5" s="1"/>
  <c r="B71" i="5"/>
  <c r="D71" i="5" s="1"/>
  <c r="D72" i="5" s="1"/>
  <c r="E71" i="5" s="1"/>
  <c r="E72" i="5" s="1"/>
  <c r="B40" i="5"/>
  <c r="D40" i="5" s="1"/>
  <c r="D41" i="5" s="1"/>
  <c r="D133" i="5"/>
  <c r="D134" i="5" s="1"/>
  <c r="E133" i="5" s="1"/>
  <c r="E134" i="5" s="1"/>
  <c r="D135" i="5"/>
  <c r="J133" i="5"/>
  <c r="K133" i="5" s="1"/>
  <c r="D73" i="5"/>
  <c r="B9" i="5"/>
  <c r="D9" i="4"/>
  <c r="D10" i="4" s="1"/>
  <c r="D12" i="4" s="1"/>
  <c r="E11" i="4" s="1"/>
  <c r="J9" i="4"/>
  <c r="K9" i="4" s="1"/>
  <c r="J40" i="4"/>
  <c r="K40" i="4" s="1"/>
  <c r="D40" i="4"/>
  <c r="D41" i="4" s="1"/>
  <c r="D42" i="4"/>
  <c r="B9" i="3"/>
  <c r="J9" i="3" s="1"/>
  <c r="K9" i="3" s="1"/>
  <c r="B40" i="2"/>
  <c r="I3" i="2"/>
  <c r="I4" i="2" s="1"/>
  <c r="H6" i="2"/>
  <c r="J9" i="7" l="1"/>
  <c r="K9" i="7" s="1"/>
  <c r="I9" i="16"/>
  <c r="H8" i="16"/>
  <c r="H10" i="16" s="1"/>
  <c r="I8" i="16" s="1"/>
  <c r="B14" i="16"/>
  <c r="B15" i="18"/>
  <c r="J15" i="18" s="1"/>
  <c r="K15" i="18" s="1"/>
  <c r="D13" i="18"/>
  <c r="D15" i="18" s="1"/>
  <c r="F14" i="18" s="1"/>
  <c r="M13" i="18"/>
  <c r="D13" i="17"/>
  <c r="D15" i="17" s="1"/>
  <c r="F14" i="17" s="1"/>
  <c r="B15" i="17"/>
  <c r="J15" i="17" s="1"/>
  <c r="K15" i="17" s="1"/>
  <c r="M13" i="17"/>
  <c r="B15" i="15"/>
  <c r="J15" i="15" s="1"/>
  <c r="K15" i="15" s="1"/>
  <c r="D13" i="15"/>
  <c r="D15" i="15" s="1"/>
  <c r="F14" i="15" s="1"/>
  <c r="M13" i="15"/>
  <c r="D9" i="13"/>
  <c r="D10" i="13" s="1"/>
  <c r="E9" i="13" s="1"/>
  <c r="E10" i="13" s="1"/>
  <c r="D11" i="13"/>
  <c r="J9" i="13"/>
  <c r="K9" i="13" s="1"/>
  <c r="J9" i="12"/>
  <c r="K9" i="12" s="1"/>
  <c r="D11" i="12"/>
  <c r="D12" i="12" s="1"/>
  <c r="E11" i="12" s="1"/>
  <c r="E9" i="12"/>
  <c r="E10" i="12" s="1"/>
  <c r="E50" i="11"/>
  <c r="F49" i="11" s="1"/>
  <c r="F50" i="11" s="1"/>
  <c r="G49" i="11" s="1"/>
  <c r="G50" i="11" s="1"/>
  <c r="H49" i="11" s="1"/>
  <c r="H47" i="11"/>
  <c r="H48" i="11" s="1"/>
  <c r="G12" i="11"/>
  <c r="H11" i="11" s="1"/>
  <c r="H9" i="11"/>
  <c r="H10" i="11" s="1"/>
  <c r="D42" i="10"/>
  <c r="D40" i="10"/>
  <c r="D41" i="10" s="1"/>
  <c r="E40" i="10" s="1"/>
  <c r="E41" i="10" s="1"/>
  <c r="F40" i="10" s="1"/>
  <c r="F41" i="10" s="1"/>
  <c r="D12" i="10"/>
  <c r="E11" i="10" s="1"/>
  <c r="E75" i="10"/>
  <c r="F74" i="10" s="1"/>
  <c r="F72" i="10"/>
  <c r="F73" i="10" s="1"/>
  <c r="E9" i="10"/>
  <c r="E10" i="10" s="1"/>
  <c r="D43" i="9"/>
  <c r="E42" i="9" s="1"/>
  <c r="E43" i="9" s="1"/>
  <c r="F42" i="9" s="1"/>
  <c r="F43" i="9" s="1"/>
  <c r="G42" i="9" s="1"/>
  <c r="D71" i="9"/>
  <c r="D72" i="9" s="1"/>
  <c r="D74" i="9" s="1"/>
  <c r="E73" i="9" s="1"/>
  <c r="J71" i="9"/>
  <c r="K71" i="9" s="1"/>
  <c r="G40" i="9"/>
  <c r="G41" i="9" s="1"/>
  <c r="D9" i="9"/>
  <c r="D10" i="9" s="1"/>
  <c r="D11" i="9"/>
  <c r="J9" i="9"/>
  <c r="K9" i="9" s="1"/>
  <c r="J71" i="8"/>
  <c r="K71" i="8" s="1"/>
  <c r="D71" i="8"/>
  <c r="D72" i="8" s="1"/>
  <c r="E71" i="8" s="1"/>
  <c r="E72" i="8" s="1"/>
  <c r="F71" i="8" s="1"/>
  <c r="F72" i="8" s="1"/>
  <c r="D43" i="8"/>
  <c r="E42" i="8" s="1"/>
  <c r="E40" i="8"/>
  <c r="E41" i="8" s="1"/>
  <c r="E43" i="8" s="1"/>
  <c r="F42" i="8" s="1"/>
  <c r="E12" i="8"/>
  <c r="F11" i="8" s="1"/>
  <c r="F9" i="8"/>
  <c r="F10" i="8" s="1"/>
  <c r="D11" i="7"/>
  <c r="D12" i="7" s="1"/>
  <c r="E11" i="7" s="1"/>
  <c r="E9" i="7"/>
  <c r="E10" i="7" s="1"/>
  <c r="D12" i="6"/>
  <c r="E11" i="6" s="1"/>
  <c r="E9" i="6"/>
  <c r="E10" i="6" s="1"/>
  <c r="J102" i="5"/>
  <c r="K102" i="5" s="1"/>
  <c r="D102" i="5"/>
  <c r="D103" i="5" s="1"/>
  <c r="E102" i="5" s="1"/>
  <c r="E103" i="5" s="1"/>
  <c r="J71" i="5"/>
  <c r="K71" i="5" s="1"/>
  <c r="J40" i="5"/>
  <c r="K40" i="5" s="1"/>
  <c r="D42" i="5"/>
  <c r="D43" i="5" s="1"/>
  <c r="E42" i="5" s="1"/>
  <c r="F133" i="5"/>
  <c r="F134" i="5" s="1"/>
  <c r="D136" i="5"/>
  <c r="E135" i="5" s="1"/>
  <c r="E136" i="5" s="1"/>
  <c r="F135" i="5" s="1"/>
  <c r="F71" i="5"/>
  <c r="F72" i="5" s="1"/>
  <c r="D74" i="5"/>
  <c r="E73" i="5" s="1"/>
  <c r="E74" i="5" s="1"/>
  <c r="F73" i="5" s="1"/>
  <c r="E40" i="5"/>
  <c r="E41" i="5" s="1"/>
  <c r="D9" i="5"/>
  <c r="D10" i="5" s="1"/>
  <c r="D11" i="5"/>
  <c r="J9" i="5"/>
  <c r="K9" i="5" s="1"/>
  <c r="E9" i="4"/>
  <c r="E10" i="4" s="1"/>
  <c r="F9" i="4" s="1"/>
  <c r="F10" i="4" s="1"/>
  <c r="D43" i="4"/>
  <c r="E42" i="4" s="1"/>
  <c r="E40" i="4"/>
  <c r="E41" i="4" s="1"/>
  <c r="D9" i="3"/>
  <c r="D10" i="3" s="1"/>
  <c r="E9" i="3" s="1"/>
  <c r="E10" i="3" s="1"/>
  <c r="F9" i="3" s="1"/>
  <c r="F10" i="3" s="1"/>
  <c r="D11" i="3"/>
  <c r="D40" i="2"/>
  <c r="D41" i="2" s="1"/>
  <c r="D42" i="2"/>
  <c r="J40" i="2"/>
  <c r="K40" i="2" s="1"/>
  <c r="B9" i="2"/>
  <c r="E14" i="16" l="1"/>
  <c r="B13" i="16"/>
  <c r="I10" i="16"/>
  <c r="E13" i="17"/>
  <c r="E15" i="17" s="1"/>
  <c r="G14" i="17" s="1"/>
  <c r="O14" i="18"/>
  <c r="O15" i="18" s="1"/>
  <c r="M14" i="18"/>
  <c r="M15" i="18" s="1"/>
  <c r="P14" i="18"/>
  <c r="E13" i="18"/>
  <c r="E15" i="18" s="1"/>
  <c r="O15" i="17"/>
  <c r="M15" i="17"/>
  <c r="M14" i="17"/>
  <c r="P14" i="17"/>
  <c r="O14" i="17"/>
  <c r="O14" i="15"/>
  <c r="O15" i="15" s="1"/>
  <c r="M14" i="15"/>
  <c r="M15" i="15" s="1"/>
  <c r="P14" i="15"/>
  <c r="E13" i="15"/>
  <c r="E15" i="15" s="1"/>
  <c r="F9" i="13"/>
  <c r="F10" i="13" s="1"/>
  <c r="D12" i="13"/>
  <c r="E11" i="13" s="1"/>
  <c r="E12" i="13" s="1"/>
  <c r="F11" i="13" s="1"/>
  <c r="E12" i="12"/>
  <c r="F11" i="12" s="1"/>
  <c r="F9" i="12"/>
  <c r="F10" i="12" s="1"/>
  <c r="H50" i="11"/>
  <c r="I47" i="11"/>
  <c r="I48" i="11" s="1"/>
  <c r="B53" i="11" s="1"/>
  <c r="H12" i="11"/>
  <c r="I9" i="11"/>
  <c r="I10" i="11" s="1"/>
  <c r="D43" i="10"/>
  <c r="E42" i="10" s="1"/>
  <c r="E43" i="10" s="1"/>
  <c r="F42" i="10" s="1"/>
  <c r="F43" i="10" s="1"/>
  <c r="G42" i="10" s="1"/>
  <c r="F75" i="10"/>
  <c r="G74" i="10" s="1"/>
  <c r="G72" i="10"/>
  <c r="G73" i="10" s="1"/>
  <c r="G40" i="10"/>
  <c r="G41" i="10" s="1"/>
  <c r="E12" i="10"/>
  <c r="F11" i="10" s="1"/>
  <c r="F9" i="10"/>
  <c r="F10" i="10" s="1"/>
  <c r="E71" i="9"/>
  <c r="E72" i="9" s="1"/>
  <c r="F71" i="9" s="1"/>
  <c r="F72" i="9" s="1"/>
  <c r="D12" i="9"/>
  <c r="E11" i="9" s="1"/>
  <c r="E74" i="9"/>
  <c r="F73" i="9" s="1"/>
  <c r="G43" i="9"/>
  <c r="H42" i="9" s="1"/>
  <c r="H40" i="9"/>
  <c r="H41" i="9" s="1"/>
  <c r="E9" i="9"/>
  <c r="E10" i="9" s="1"/>
  <c r="D74" i="8"/>
  <c r="E73" i="8" s="1"/>
  <c r="E74" i="8" s="1"/>
  <c r="F73" i="8" s="1"/>
  <c r="F74" i="8" s="1"/>
  <c r="G73" i="8" s="1"/>
  <c r="F40" i="8"/>
  <c r="F41" i="8" s="1"/>
  <c r="F43" i="8" s="1"/>
  <c r="G42" i="8" s="1"/>
  <c r="G71" i="8"/>
  <c r="G72" i="8" s="1"/>
  <c r="F12" i="8"/>
  <c r="G11" i="8" s="1"/>
  <c r="G9" i="8"/>
  <c r="G10" i="8" s="1"/>
  <c r="E12" i="7"/>
  <c r="F11" i="7" s="1"/>
  <c r="F9" i="7"/>
  <c r="F10" i="7" s="1"/>
  <c r="E12" i="6"/>
  <c r="F11" i="6" s="1"/>
  <c r="F9" i="6"/>
  <c r="F10" i="6" s="1"/>
  <c r="D105" i="5"/>
  <c r="E104" i="5" s="1"/>
  <c r="E105" i="5" s="1"/>
  <c r="F104" i="5" s="1"/>
  <c r="F136" i="5"/>
  <c r="G135" i="5" s="1"/>
  <c r="G133" i="5"/>
  <c r="G134" i="5" s="1"/>
  <c r="F102" i="5"/>
  <c r="F103" i="5" s="1"/>
  <c r="F74" i="5"/>
  <c r="G73" i="5" s="1"/>
  <c r="G71" i="5"/>
  <c r="G72" i="5" s="1"/>
  <c r="E43" i="5"/>
  <c r="F42" i="5" s="1"/>
  <c r="F40" i="5"/>
  <c r="F41" i="5" s="1"/>
  <c r="D12" i="5"/>
  <c r="E11" i="5" s="1"/>
  <c r="E9" i="5"/>
  <c r="E10" i="5" s="1"/>
  <c r="E12" i="4"/>
  <c r="F11" i="4" s="1"/>
  <c r="F12" i="4" s="1"/>
  <c r="G11" i="4" s="1"/>
  <c r="E43" i="4"/>
  <c r="F42" i="4" s="1"/>
  <c r="F40" i="4"/>
  <c r="F41" i="4" s="1"/>
  <c r="G9" i="4"/>
  <c r="G10" i="4" s="1"/>
  <c r="D12" i="3"/>
  <c r="E11" i="3" s="1"/>
  <c r="E12" i="3" s="1"/>
  <c r="F11" i="3" s="1"/>
  <c r="F12" i="3" s="1"/>
  <c r="G11" i="3" s="1"/>
  <c r="G9" i="3"/>
  <c r="G10" i="3" s="1"/>
  <c r="D43" i="2"/>
  <c r="E42" i="2" s="1"/>
  <c r="E40" i="2"/>
  <c r="E41" i="2" s="1"/>
  <c r="D11" i="2"/>
  <c r="D9" i="2"/>
  <c r="D10" i="2" s="1"/>
  <c r="J9" i="2"/>
  <c r="K9" i="2" s="1"/>
  <c r="B15" i="16" l="1"/>
  <c r="J15" i="16" s="1"/>
  <c r="K15" i="16" s="1"/>
  <c r="D13" i="16"/>
  <c r="D15" i="16" s="1"/>
  <c r="M13" i="16"/>
  <c r="F13" i="17"/>
  <c r="F15" i="17" s="1"/>
  <c r="G13" i="17" s="1"/>
  <c r="G15" i="17" s="1"/>
  <c r="G14" i="18"/>
  <c r="F13" i="18"/>
  <c r="F15" i="18" s="1"/>
  <c r="G14" i="15"/>
  <c r="F13" i="15"/>
  <c r="F15" i="15" s="1"/>
  <c r="F12" i="13"/>
  <c r="G11" i="13" s="1"/>
  <c r="G9" i="13"/>
  <c r="G10" i="13" s="1"/>
  <c r="F12" i="12"/>
  <c r="G11" i="12" s="1"/>
  <c r="G9" i="12"/>
  <c r="G10" i="12" s="1"/>
  <c r="B15" i="11"/>
  <c r="D15" i="11" s="1"/>
  <c r="D16" i="11" s="1"/>
  <c r="D53" i="11"/>
  <c r="D54" i="11" s="1"/>
  <c r="E53" i="11" s="1"/>
  <c r="E54" i="11" s="1"/>
  <c r="F53" i="11" s="1"/>
  <c r="F54" i="11" s="1"/>
  <c r="D55" i="11"/>
  <c r="J53" i="11"/>
  <c r="K53" i="11" s="1"/>
  <c r="G75" i="10"/>
  <c r="H74" i="10" s="1"/>
  <c r="H72" i="10"/>
  <c r="H73" i="10" s="1"/>
  <c r="G43" i="10"/>
  <c r="H42" i="10" s="1"/>
  <c r="H40" i="10"/>
  <c r="H41" i="10" s="1"/>
  <c r="F12" i="10"/>
  <c r="G11" i="10" s="1"/>
  <c r="G9" i="10"/>
  <c r="G10" i="10" s="1"/>
  <c r="F74" i="9"/>
  <c r="G73" i="9" s="1"/>
  <c r="G71" i="9"/>
  <c r="G72" i="9" s="1"/>
  <c r="H43" i="9"/>
  <c r="I40" i="9"/>
  <c r="I41" i="9" s="1"/>
  <c r="E12" i="9"/>
  <c r="F11" i="9" s="1"/>
  <c r="F9" i="9"/>
  <c r="F10" i="9" s="1"/>
  <c r="G40" i="8"/>
  <c r="G41" i="8" s="1"/>
  <c r="H40" i="8" s="1"/>
  <c r="H41" i="8" s="1"/>
  <c r="G74" i="8"/>
  <c r="H73" i="8" s="1"/>
  <c r="H71" i="8"/>
  <c r="H72" i="8" s="1"/>
  <c r="G12" i="8"/>
  <c r="H11" i="8" s="1"/>
  <c r="H9" i="8"/>
  <c r="H10" i="8" s="1"/>
  <c r="F12" i="7"/>
  <c r="G11" i="7" s="1"/>
  <c r="G9" i="7"/>
  <c r="G10" i="7" s="1"/>
  <c r="F12" i="6"/>
  <c r="G11" i="6" s="1"/>
  <c r="G9" i="6"/>
  <c r="G10" i="6" s="1"/>
  <c r="G136" i="5"/>
  <c r="H135" i="5" s="1"/>
  <c r="H133" i="5"/>
  <c r="H134" i="5" s="1"/>
  <c r="F105" i="5"/>
  <c r="G104" i="5" s="1"/>
  <c r="G102" i="5"/>
  <c r="G103" i="5" s="1"/>
  <c r="G74" i="5"/>
  <c r="H73" i="5" s="1"/>
  <c r="H71" i="5"/>
  <c r="H72" i="5" s="1"/>
  <c r="F43" i="5"/>
  <c r="G42" i="5" s="1"/>
  <c r="G40" i="5"/>
  <c r="G41" i="5" s="1"/>
  <c r="E12" i="5"/>
  <c r="F11" i="5" s="1"/>
  <c r="F9" i="5"/>
  <c r="F10" i="5" s="1"/>
  <c r="F43" i="4"/>
  <c r="G42" i="4" s="1"/>
  <c r="G40" i="4"/>
  <c r="G41" i="4" s="1"/>
  <c r="G12" i="4"/>
  <c r="H11" i="4" s="1"/>
  <c r="H9" i="4"/>
  <c r="H10" i="4" s="1"/>
  <c r="G12" i="3"/>
  <c r="H11" i="3" s="1"/>
  <c r="H9" i="3"/>
  <c r="H10" i="3" s="1"/>
  <c r="E9" i="2"/>
  <c r="E10" i="2" s="1"/>
  <c r="F9" i="2" s="1"/>
  <c r="F10" i="2" s="1"/>
  <c r="G9" i="2" s="1"/>
  <c r="G10" i="2" s="1"/>
  <c r="E43" i="2"/>
  <c r="F42" i="2" s="1"/>
  <c r="F40" i="2"/>
  <c r="F41" i="2" s="1"/>
  <c r="D12" i="2"/>
  <c r="E11" i="2" s="1"/>
  <c r="P14" i="16" l="1"/>
  <c r="O14" i="16"/>
  <c r="O15" i="16" s="1"/>
  <c r="M14" i="16"/>
  <c r="M15" i="16" s="1"/>
  <c r="F14" i="16"/>
  <c r="E13" i="16"/>
  <c r="E15" i="16" s="1"/>
  <c r="H14" i="17"/>
  <c r="H14" i="18"/>
  <c r="G13" i="18"/>
  <c r="G15" i="18" s="1"/>
  <c r="B19" i="17"/>
  <c r="I14" i="17"/>
  <c r="H13" i="17"/>
  <c r="H14" i="15"/>
  <c r="G13" i="15"/>
  <c r="G15" i="15" s="1"/>
  <c r="G12" i="13"/>
  <c r="H11" i="13" s="1"/>
  <c r="H9" i="13"/>
  <c r="H10" i="13" s="1"/>
  <c r="G12" i="12"/>
  <c r="H11" i="12" s="1"/>
  <c r="H9" i="12"/>
  <c r="H10" i="12" s="1"/>
  <c r="J15" i="11"/>
  <c r="K15" i="11" s="1"/>
  <c r="D17" i="11"/>
  <c r="D18" i="11" s="1"/>
  <c r="E17" i="11" s="1"/>
  <c r="G53" i="11"/>
  <c r="G54" i="11" s="1"/>
  <c r="D56" i="11"/>
  <c r="E55" i="11" s="1"/>
  <c r="E56" i="11" s="1"/>
  <c r="F55" i="11" s="1"/>
  <c r="F56" i="11" s="1"/>
  <c r="G55" i="11" s="1"/>
  <c r="E15" i="11"/>
  <c r="E16" i="11" s="1"/>
  <c r="H75" i="10"/>
  <c r="I72" i="10"/>
  <c r="I73" i="10" s="1"/>
  <c r="H43" i="10"/>
  <c r="I40" i="10"/>
  <c r="I41" i="10" s="1"/>
  <c r="G12" i="10"/>
  <c r="H11" i="10" s="1"/>
  <c r="H9" i="10"/>
  <c r="H10" i="10" s="1"/>
  <c r="G74" i="9"/>
  <c r="H73" i="9" s="1"/>
  <c r="H71" i="9"/>
  <c r="H72" i="9" s="1"/>
  <c r="B46" i="9"/>
  <c r="F12" i="9"/>
  <c r="G11" i="9" s="1"/>
  <c r="G9" i="9"/>
  <c r="G10" i="9" s="1"/>
  <c r="G43" i="8"/>
  <c r="H42" i="8" s="1"/>
  <c r="H43" i="8" s="1"/>
  <c r="H74" i="8"/>
  <c r="I71" i="8"/>
  <c r="I72" i="8" s="1"/>
  <c r="B77" i="8" s="1"/>
  <c r="I40" i="8"/>
  <c r="I41" i="8" s="1"/>
  <c r="H12" i="8"/>
  <c r="I9" i="8"/>
  <c r="I10" i="8" s="1"/>
  <c r="B15" i="8" s="1"/>
  <c r="G12" i="7"/>
  <c r="H11" i="7" s="1"/>
  <c r="H9" i="7"/>
  <c r="H10" i="7" s="1"/>
  <c r="G12" i="6"/>
  <c r="H11" i="6" s="1"/>
  <c r="H9" i="6"/>
  <c r="H10" i="6" s="1"/>
  <c r="H136" i="5"/>
  <c r="I133" i="5"/>
  <c r="I134" i="5" s="1"/>
  <c r="G105" i="5"/>
  <c r="H104" i="5" s="1"/>
  <c r="H102" i="5"/>
  <c r="H103" i="5" s="1"/>
  <c r="H74" i="5"/>
  <c r="I71" i="5"/>
  <c r="I72" i="5" s="1"/>
  <c r="B77" i="5" s="1"/>
  <c r="G43" i="5"/>
  <c r="H42" i="5" s="1"/>
  <c r="H40" i="5"/>
  <c r="H41" i="5" s="1"/>
  <c r="F12" i="5"/>
  <c r="G11" i="5" s="1"/>
  <c r="G9" i="5"/>
  <c r="G10" i="5" s="1"/>
  <c r="G43" i="4"/>
  <c r="H42" i="4" s="1"/>
  <c r="H40" i="4"/>
  <c r="H41" i="4" s="1"/>
  <c r="H12" i="4"/>
  <c r="I9" i="4"/>
  <c r="I10" i="4" s="1"/>
  <c r="H12" i="3"/>
  <c r="I9" i="3"/>
  <c r="I10" i="3" s="1"/>
  <c r="E12" i="2"/>
  <c r="F11" i="2" s="1"/>
  <c r="F12" i="2" s="1"/>
  <c r="G11" i="2" s="1"/>
  <c r="F43" i="2"/>
  <c r="G42" i="2" s="1"/>
  <c r="G40" i="2"/>
  <c r="G41" i="2" s="1"/>
  <c r="G12" i="2"/>
  <c r="H11" i="2" s="1"/>
  <c r="H9" i="2"/>
  <c r="H10" i="2" s="1"/>
  <c r="F13" i="16" l="1"/>
  <c r="F15" i="16" s="1"/>
  <c r="G14" i="16"/>
  <c r="H15" i="17"/>
  <c r="I13" i="17" s="1"/>
  <c r="I15" i="17" s="1"/>
  <c r="B19" i="18"/>
  <c r="I14" i="18"/>
  <c r="H13" i="18"/>
  <c r="H15" i="18" s="1"/>
  <c r="I13" i="18" s="1"/>
  <c r="E19" i="17"/>
  <c r="B18" i="17"/>
  <c r="B19" i="15"/>
  <c r="I14" i="15"/>
  <c r="H13" i="15"/>
  <c r="H15" i="15" s="1"/>
  <c r="I13" i="15" s="1"/>
  <c r="H12" i="13"/>
  <c r="I9" i="13"/>
  <c r="I10" i="13" s="1"/>
  <c r="H12" i="12"/>
  <c r="I9" i="12"/>
  <c r="I10" i="12" s="1"/>
  <c r="G56" i="11"/>
  <c r="H55" i="11" s="1"/>
  <c r="H53" i="11"/>
  <c r="H54" i="11" s="1"/>
  <c r="E18" i="11"/>
  <c r="F17" i="11" s="1"/>
  <c r="F15" i="11"/>
  <c r="F16" i="11" s="1"/>
  <c r="B78" i="10"/>
  <c r="D78" i="10" s="1"/>
  <c r="D79" i="10" s="1"/>
  <c r="B46" i="10"/>
  <c r="D46" i="10" s="1"/>
  <c r="D47" i="10" s="1"/>
  <c r="H12" i="10"/>
  <c r="I9" i="10"/>
  <c r="I10" i="10" s="1"/>
  <c r="H74" i="9"/>
  <c r="I71" i="9"/>
  <c r="I72" i="9" s="1"/>
  <c r="B77" i="9" s="1"/>
  <c r="D46" i="9"/>
  <c r="D47" i="9" s="1"/>
  <c r="D48" i="9"/>
  <c r="J46" i="9"/>
  <c r="K46" i="9" s="1"/>
  <c r="G12" i="9"/>
  <c r="H11" i="9" s="1"/>
  <c r="H9" i="9"/>
  <c r="H10" i="9" s="1"/>
  <c r="B46" i="8"/>
  <c r="J46" i="8" s="1"/>
  <c r="K46" i="8" s="1"/>
  <c r="D77" i="8"/>
  <c r="D78" i="8" s="1"/>
  <c r="D79" i="8"/>
  <c r="J77" i="8"/>
  <c r="K77" i="8" s="1"/>
  <c r="D15" i="8"/>
  <c r="D16" i="8" s="1"/>
  <c r="D17" i="8"/>
  <c r="J15" i="8"/>
  <c r="K15" i="8" s="1"/>
  <c r="H12" i="7"/>
  <c r="I9" i="7"/>
  <c r="I10" i="7" s="1"/>
  <c r="H12" i="6"/>
  <c r="I9" i="6"/>
  <c r="I10" i="6" s="1"/>
  <c r="B15" i="6" s="1"/>
  <c r="B139" i="5"/>
  <c r="D141" i="5" s="1"/>
  <c r="H105" i="5"/>
  <c r="I102" i="5"/>
  <c r="I103" i="5" s="1"/>
  <c r="B108" i="5" s="1"/>
  <c r="D77" i="5"/>
  <c r="D78" i="5" s="1"/>
  <c r="D79" i="5"/>
  <c r="J77" i="5"/>
  <c r="K77" i="5" s="1"/>
  <c r="H43" i="5"/>
  <c r="I40" i="5"/>
  <c r="I41" i="5" s="1"/>
  <c r="G12" i="5"/>
  <c r="H11" i="5" s="1"/>
  <c r="H9" i="5"/>
  <c r="H10" i="5" s="1"/>
  <c r="H43" i="4"/>
  <c r="I40" i="4"/>
  <c r="I41" i="4" s="1"/>
  <c r="B15" i="4"/>
  <c r="B15" i="3"/>
  <c r="G43" i="2"/>
  <c r="H42" i="2" s="1"/>
  <c r="H40" i="2"/>
  <c r="H41" i="2" s="1"/>
  <c r="H12" i="2"/>
  <c r="I9" i="2"/>
  <c r="I10" i="2" s="1"/>
  <c r="G13" i="16" l="1"/>
  <c r="G15" i="16" s="1"/>
  <c r="H14" i="16"/>
  <c r="I15" i="18"/>
  <c r="E19" i="18"/>
  <c r="B18" i="18"/>
  <c r="M18" i="17"/>
  <c r="D18" i="17"/>
  <c r="D20" i="17" s="1"/>
  <c r="F19" i="17" s="1"/>
  <c r="B20" i="17"/>
  <c r="J20" i="17" s="1"/>
  <c r="K20" i="17" s="1"/>
  <c r="E19" i="15"/>
  <c r="B18" i="15"/>
  <c r="I15" i="15"/>
  <c r="B15" i="13"/>
  <c r="B15" i="12"/>
  <c r="H56" i="11"/>
  <c r="I53" i="11"/>
  <c r="I54" i="11" s="1"/>
  <c r="F18" i="11"/>
  <c r="G17" i="11" s="1"/>
  <c r="G15" i="11"/>
  <c r="G16" i="11" s="1"/>
  <c r="J78" i="10"/>
  <c r="K78" i="10" s="1"/>
  <c r="D80" i="10"/>
  <c r="D81" i="10" s="1"/>
  <c r="E80" i="10" s="1"/>
  <c r="J46" i="10"/>
  <c r="K46" i="10" s="1"/>
  <c r="D48" i="10"/>
  <c r="D49" i="10" s="1"/>
  <c r="E48" i="10" s="1"/>
  <c r="E78" i="10"/>
  <c r="E79" i="10" s="1"/>
  <c r="E46" i="10"/>
  <c r="E47" i="10" s="1"/>
  <c r="B15" i="10"/>
  <c r="D49" i="9"/>
  <c r="E48" i="9" s="1"/>
  <c r="D77" i="9"/>
  <c r="D78" i="9" s="1"/>
  <c r="E77" i="9" s="1"/>
  <c r="E78" i="9" s="1"/>
  <c r="D79" i="9"/>
  <c r="J77" i="9"/>
  <c r="K77" i="9" s="1"/>
  <c r="E46" i="9"/>
  <c r="E47" i="9" s="1"/>
  <c r="H12" i="9"/>
  <c r="I9" i="9"/>
  <c r="I10" i="9" s="1"/>
  <c r="D80" i="8"/>
  <c r="E79" i="8" s="1"/>
  <c r="D48" i="8"/>
  <c r="D46" i="8"/>
  <c r="D47" i="8" s="1"/>
  <c r="E46" i="8" s="1"/>
  <c r="E47" i="8" s="1"/>
  <c r="E77" i="8"/>
  <c r="E78" i="8" s="1"/>
  <c r="D18" i="8"/>
  <c r="E17" i="8" s="1"/>
  <c r="E15" i="8"/>
  <c r="E16" i="8" s="1"/>
  <c r="B15" i="7"/>
  <c r="J15" i="6"/>
  <c r="K15" i="6" s="1"/>
  <c r="D17" i="6"/>
  <c r="D15" i="6"/>
  <c r="D16" i="6" s="1"/>
  <c r="D18" i="6" s="1"/>
  <c r="E17" i="6" s="1"/>
  <c r="D139" i="5"/>
  <c r="D140" i="5" s="1"/>
  <c r="D142" i="5" s="1"/>
  <c r="E141" i="5" s="1"/>
  <c r="J139" i="5"/>
  <c r="K139" i="5" s="1"/>
  <c r="D80" i="5"/>
  <c r="E79" i="5" s="1"/>
  <c r="B46" i="5"/>
  <c r="D46" i="5" s="1"/>
  <c r="D47" i="5" s="1"/>
  <c r="E46" i="5" s="1"/>
  <c r="E47" i="5" s="1"/>
  <c r="D108" i="5"/>
  <c r="D109" i="5" s="1"/>
  <c r="D110" i="5"/>
  <c r="J108" i="5"/>
  <c r="K108" i="5" s="1"/>
  <c r="E77" i="5"/>
  <c r="E78" i="5" s="1"/>
  <c r="H12" i="5"/>
  <c r="I9" i="5"/>
  <c r="I10" i="5" s="1"/>
  <c r="B46" i="4"/>
  <c r="J46" i="4" s="1"/>
  <c r="K46" i="4" s="1"/>
  <c r="D15" i="4"/>
  <c r="D16" i="4" s="1"/>
  <c r="E15" i="4" s="1"/>
  <c r="E16" i="4" s="1"/>
  <c r="D17" i="4"/>
  <c r="J15" i="4"/>
  <c r="K15" i="4" s="1"/>
  <c r="D15" i="3"/>
  <c r="D16" i="3" s="1"/>
  <c r="D17" i="3"/>
  <c r="J15" i="3"/>
  <c r="K15" i="3" s="1"/>
  <c r="H43" i="2"/>
  <c r="I40" i="2"/>
  <c r="I41" i="2" s="1"/>
  <c r="B15" i="2"/>
  <c r="B19" i="16" l="1"/>
  <c r="I14" i="16"/>
  <c r="H13" i="16"/>
  <c r="H15" i="16" s="1"/>
  <c r="I13" i="16" s="1"/>
  <c r="B46" i="2"/>
  <c r="D46" i="2" s="1"/>
  <c r="D47" i="2" s="1"/>
  <c r="E46" i="2" s="1"/>
  <c r="E47" i="2" s="1"/>
  <c r="F46" i="2" s="1"/>
  <c r="F47" i="2" s="1"/>
  <c r="E18" i="17"/>
  <c r="E20" i="17" s="1"/>
  <c r="G19" i="17" s="1"/>
  <c r="M18" i="18"/>
  <c r="B20" i="18"/>
  <c r="J20" i="18" s="1"/>
  <c r="K20" i="18" s="1"/>
  <c r="D18" i="18"/>
  <c r="D20" i="18" s="1"/>
  <c r="F19" i="18" s="1"/>
  <c r="P19" i="17"/>
  <c r="O19" i="17"/>
  <c r="O20" i="17" s="1"/>
  <c r="M19" i="17"/>
  <c r="M20" i="17" s="1"/>
  <c r="M18" i="15"/>
  <c r="B20" i="15"/>
  <c r="J20" i="15" s="1"/>
  <c r="K20" i="15" s="1"/>
  <c r="D18" i="15"/>
  <c r="D20" i="15" s="1"/>
  <c r="F19" i="15" s="1"/>
  <c r="D15" i="13"/>
  <c r="D16" i="13" s="1"/>
  <c r="D17" i="13"/>
  <c r="J15" i="13"/>
  <c r="K15" i="13" s="1"/>
  <c r="D15" i="12"/>
  <c r="D16" i="12" s="1"/>
  <c r="D17" i="12"/>
  <c r="J15" i="12"/>
  <c r="K15" i="12" s="1"/>
  <c r="B59" i="11"/>
  <c r="G18" i="11"/>
  <c r="H17" i="11" s="1"/>
  <c r="H15" i="11"/>
  <c r="H16" i="11" s="1"/>
  <c r="E81" i="10"/>
  <c r="F80" i="10" s="1"/>
  <c r="F78" i="10"/>
  <c r="F79" i="10" s="1"/>
  <c r="E49" i="10"/>
  <c r="F48" i="10" s="1"/>
  <c r="F46" i="10"/>
  <c r="F47" i="10" s="1"/>
  <c r="D15" i="10"/>
  <c r="D16" i="10" s="1"/>
  <c r="E15" i="10" s="1"/>
  <c r="E16" i="10" s="1"/>
  <c r="D17" i="10"/>
  <c r="J15" i="10"/>
  <c r="K15" i="10" s="1"/>
  <c r="D80" i="9"/>
  <c r="E79" i="9" s="1"/>
  <c r="E80" i="9" s="1"/>
  <c r="F79" i="9" s="1"/>
  <c r="F77" i="9"/>
  <c r="F78" i="9" s="1"/>
  <c r="E49" i="9"/>
  <c r="F48" i="9" s="1"/>
  <c r="F46" i="9"/>
  <c r="F47" i="9" s="1"/>
  <c r="B15" i="9"/>
  <c r="D49" i="8"/>
  <c r="E48" i="8" s="1"/>
  <c r="E49" i="8" s="1"/>
  <c r="F48" i="8" s="1"/>
  <c r="F46" i="8"/>
  <c r="F47" i="8" s="1"/>
  <c r="E80" i="8"/>
  <c r="F79" i="8" s="1"/>
  <c r="F77" i="8"/>
  <c r="F78" i="8" s="1"/>
  <c r="E18" i="8"/>
  <c r="F17" i="8" s="1"/>
  <c r="F15" i="8"/>
  <c r="F16" i="8" s="1"/>
  <c r="D15" i="7"/>
  <c r="D16" i="7" s="1"/>
  <c r="E15" i="7" s="1"/>
  <c r="E16" i="7" s="1"/>
  <c r="D17" i="7"/>
  <c r="J15" i="7"/>
  <c r="K15" i="7" s="1"/>
  <c r="E15" i="6"/>
  <c r="E16" i="6" s="1"/>
  <c r="E139" i="5"/>
  <c r="E140" i="5" s="1"/>
  <c r="D111" i="5"/>
  <c r="E110" i="5" s="1"/>
  <c r="E108" i="5"/>
  <c r="E109" i="5" s="1"/>
  <c r="J46" i="5"/>
  <c r="K46" i="5" s="1"/>
  <c r="D48" i="5"/>
  <c r="D49" i="5" s="1"/>
  <c r="E48" i="5" s="1"/>
  <c r="E49" i="5" s="1"/>
  <c r="F48" i="5" s="1"/>
  <c r="E142" i="5"/>
  <c r="F141" i="5" s="1"/>
  <c r="F139" i="5"/>
  <c r="F140" i="5" s="1"/>
  <c r="E80" i="5"/>
  <c r="F79" i="5" s="1"/>
  <c r="F77" i="5"/>
  <c r="F78" i="5" s="1"/>
  <c r="F46" i="5"/>
  <c r="F47" i="5" s="1"/>
  <c r="B15" i="5"/>
  <c r="D46" i="4"/>
  <c r="D47" i="4" s="1"/>
  <c r="D48" i="4"/>
  <c r="F15" i="4"/>
  <c r="F16" i="4" s="1"/>
  <c r="D18" i="4"/>
  <c r="E17" i="4" s="1"/>
  <c r="E18" i="4" s="1"/>
  <c r="F17" i="4" s="1"/>
  <c r="D18" i="3"/>
  <c r="E17" i="3" s="1"/>
  <c r="E15" i="3"/>
  <c r="E16" i="3" s="1"/>
  <c r="J15" i="2"/>
  <c r="K15" i="2" s="1"/>
  <c r="D17" i="2"/>
  <c r="D15" i="2"/>
  <c r="D16" i="2" s="1"/>
  <c r="E15" i="2" s="1"/>
  <c r="E16" i="2" s="1"/>
  <c r="F15" i="2" s="1"/>
  <c r="F16" i="2" s="1"/>
  <c r="D48" i="2" l="1"/>
  <c r="D49" i="2" s="1"/>
  <c r="E48" i="2" s="1"/>
  <c r="E49" i="2" s="1"/>
  <c r="F48" i="2" s="1"/>
  <c r="F49" i="2" s="1"/>
  <c r="G48" i="2" s="1"/>
  <c r="I15" i="16"/>
  <c r="E19" i="16"/>
  <c r="B18" i="16"/>
  <c r="J46" i="2"/>
  <c r="K46" i="2" s="1"/>
  <c r="F18" i="17"/>
  <c r="F20" i="17" s="1"/>
  <c r="H19" i="17" s="1"/>
  <c r="E18" i="18"/>
  <c r="E20" i="18" s="1"/>
  <c r="P19" i="18"/>
  <c r="O19" i="18"/>
  <c r="O20" i="18" s="1"/>
  <c r="M19" i="18"/>
  <c r="M20" i="18" s="1"/>
  <c r="E18" i="15"/>
  <c r="E20" i="15" s="1"/>
  <c r="P19" i="15"/>
  <c r="O19" i="15"/>
  <c r="O20" i="15" s="1"/>
  <c r="M19" i="15"/>
  <c r="M20" i="15" s="1"/>
  <c r="D18" i="13"/>
  <c r="E17" i="13" s="1"/>
  <c r="E15" i="13"/>
  <c r="E16" i="13" s="1"/>
  <c r="D18" i="12"/>
  <c r="E17" i="12" s="1"/>
  <c r="E15" i="12"/>
  <c r="E16" i="12" s="1"/>
  <c r="D59" i="11"/>
  <c r="D60" i="11" s="1"/>
  <c r="D61" i="11"/>
  <c r="J59" i="11"/>
  <c r="K59" i="11" s="1"/>
  <c r="H18" i="11"/>
  <c r="I15" i="11"/>
  <c r="I16" i="11" s="1"/>
  <c r="F81" i="10"/>
  <c r="G80" i="10" s="1"/>
  <c r="G78" i="10"/>
  <c r="G79" i="10" s="1"/>
  <c r="F49" i="10"/>
  <c r="G48" i="10" s="1"/>
  <c r="G46" i="10"/>
  <c r="G47" i="10" s="1"/>
  <c r="F15" i="10"/>
  <c r="F16" i="10" s="1"/>
  <c r="D18" i="10"/>
  <c r="E17" i="10" s="1"/>
  <c r="E18" i="10" s="1"/>
  <c r="F17" i="10" s="1"/>
  <c r="F80" i="9"/>
  <c r="G79" i="9" s="1"/>
  <c r="G77" i="9"/>
  <c r="G78" i="9" s="1"/>
  <c r="F49" i="9"/>
  <c r="G48" i="9" s="1"/>
  <c r="G46" i="9"/>
  <c r="G47" i="9" s="1"/>
  <c r="D15" i="9"/>
  <c r="D16" i="9" s="1"/>
  <c r="D17" i="9"/>
  <c r="J15" i="9"/>
  <c r="K15" i="9" s="1"/>
  <c r="F49" i="8"/>
  <c r="G48" i="8" s="1"/>
  <c r="G46" i="8"/>
  <c r="G47" i="8" s="1"/>
  <c r="F80" i="8"/>
  <c r="G79" i="8" s="1"/>
  <c r="G77" i="8"/>
  <c r="G78" i="8" s="1"/>
  <c r="F18" i="8"/>
  <c r="G17" i="8" s="1"/>
  <c r="G15" i="8"/>
  <c r="G16" i="8" s="1"/>
  <c r="D18" i="7"/>
  <c r="E17" i="7" s="1"/>
  <c r="E18" i="7" s="1"/>
  <c r="F17" i="7" s="1"/>
  <c r="F15" i="7"/>
  <c r="F16" i="7" s="1"/>
  <c r="E18" i="6"/>
  <c r="F17" i="6" s="1"/>
  <c r="F15" i="6"/>
  <c r="F16" i="6" s="1"/>
  <c r="E111" i="5"/>
  <c r="F110" i="5" s="1"/>
  <c r="F108" i="5"/>
  <c r="F109" i="5" s="1"/>
  <c r="F142" i="5"/>
  <c r="G141" i="5" s="1"/>
  <c r="G139" i="5"/>
  <c r="G140" i="5" s="1"/>
  <c r="G108" i="5"/>
  <c r="G109" i="5" s="1"/>
  <c r="F80" i="5"/>
  <c r="G79" i="5" s="1"/>
  <c r="G77" i="5"/>
  <c r="G78" i="5" s="1"/>
  <c r="F49" i="5"/>
  <c r="G48" i="5" s="1"/>
  <c r="G46" i="5"/>
  <c r="G47" i="5" s="1"/>
  <c r="D15" i="5"/>
  <c r="D16" i="5" s="1"/>
  <c r="J15" i="5"/>
  <c r="K15" i="5" s="1"/>
  <c r="D17" i="5"/>
  <c r="D49" i="4"/>
  <c r="E48" i="4" s="1"/>
  <c r="E46" i="4"/>
  <c r="E47" i="4" s="1"/>
  <c r="F46" i="4" s="1"/>
  <c r="F47" i="4" s="1"/>
  <c r="F18" i="4"/>
  <c r="G17" i="4" s="1"/>
  <c r="G15" i="4"/>
  <c r="G16" i="4" s="1"/>
  <c r="E18" i="3"/>
  <c r="F17" i="3" s="1"/>
  <c r="F15" i="3"/>
  <c r="F16" i="3" s="1"/>
  <c r="G46" i="2"/>
  <c r="G47" i="2" s="1"/>
  <c r="D18" i="2"/>
  <c r="E17" i="2" s="1"/>
  <c r="E18" i="2" s="1"/>
  <c r="F17" i="2" s="1"/>
  <c r="F18" i="2" s="1"/>
  <c r="G17" i="2" s="1"/>
  <c r="G15" i="2"/>
  <c r="G16" i="2" s="1"/>
  <c r="B20" i="16" l="1"/>
  <c r="J20" i="16" s="1"/>
  <c r="K20" i="16" s="1"/>
  <c r="M18" i="16"/>
  <c r="D18" i="16"/>
  <c r="D20" i="16" s="1"/>
  <c r="G18" i="17"/>
  <c r="G20" i="17" s="1"/>
  <c r="B24" i="17" s="1"/>
  <c r="G19" i="18"/>
  <c r="F18" i="18"/>
  <c r="F20" i="18" s="1"/>
  <c r="G19" i="15"/>
  <c r="F18" i="15"/>
  <c r="F20" i="15" s="1"/>
  <c r="E18" i="13"/>
  <c r="F17" i="13" s="1"/>
  <c r="F15" i="13"/>
  <c r="F16" i="13" s="1"/>
  <c r="E18" i="12"/>
  <c r="F17" i="12" s="1"/>
  <c r="F15" i="12"/>
  <c r="F16" i="12" s="1"/>
  <c r="D62" i="11"/>
  <c r="E61" i="11" s="1"/>
  <c r="E59" i="11"/>
  <c r="E60" i="11" s="1"/>
  <c r="B21" i="11"/>
  <c r="G81" i="10"/>
  <c r="H80" i="10" s="1"/>
  <c r="H78" i="10"/>
  <c r="H79" i="10" s="1"/>
  <c r="G49" i="10"/>
  <c r="H48" i="10" s="1"/>
  <c r="H46" i="10"/>
  <c r="H47" i="10" s="1"/>
  <c r="F18" i="10"/>
  <c r="G17" i="10" s="1"/>
  <c r="G15" i="10"/>
  <c r="G16" i="10" s="1"/>
  <c r="D18" i="9"/>
  <c r="E17" i="9" s="1"/>
  <c r="G80" i="9"/>
  <c r="H79" i="9" s="1"/>
  <c r="H77" i="9"/>
  <c r="H78" i="9" s="1"/>
  <c r="G49" i="9"/>
  <c r="H48" i="9" s="1"/>
  <c r="H46" i="9"/>
  <c r="H47" i="9" s="1"/>
  <c r="E15" i="9"/>
  <c r="E16" i="9" s="1"/>
  <c r="G49" i="8"/>
  <c r="H48" i="8" s="1"/>
  <c r="H46" i="8"/>
  <c r="H47" i="8" s="1"/>
  <c r="G80" i="8"/>
  <c r="H79" i="8" s="1"/>
  <c r="H77" i="8"/>
  <c r="H78" i="8" s="1"/>
  <c r="G18" i="8"/>
  <c r="H17" i="8" s="1"/>
  <c r="H15" i="8"/>
  <c r="H16" i="8" s="1"/>
  <c r="F18" i="7"/>
  <c r="G17" i="7" s="1"/>
  <c r="G15" i="7"/>
  <c r="G16" i="7" s="1"/>
  <c r="F18" i="6"/>
  <c r="G17" i="6" s="1"/>
  <c r="G15" i="6"/>
  <c r="G16" i="6" s="1"/>
  <c r="F111" i="5"/>
  <c r="G110" i="5" s="1"/>
  <c r="D18" i="5"/>
  <c r="E17" i="5" s="1"/>
  <c r="G142" i="5"/>
  <c r="H141" i="5" s="1"/>
  <c r="H139" i="5"/>
  <c r="H140" i="5" s="1"/>
  <c r="G111" i="5"/>
  <c r="H110" i="5" s="1"/>
  <c r="H108" i="5"/>
  <c r="H109" i="5" s="1"/>
  <c r="G80" i="5"/>
  <c r="H79" i="5" s="1"/>
  <c r="H77" i="5"/>
  <c r="H78" i="5" s="1"/>
  <c r="G49" i="5"/>
  <c r="H48" i="5" s="1"/>
  <c r="H46" i="5"/>
  <c r="H47" i="5" s="1"/>
  <c r="E15" i="5"/>
  <c r="E16" i="5" s="1"/>
  <c r="E49" i="4"/>
  <c r="F48" i="4" s="1"/>
  <c r="F49" i="4"/>
  <c r="G48" i="4" s="1"/>
  <c r="G46" i="4"/>
  <c r="G47" i="4" s="1"/>
  <c r="G18" i="4"/>
  <c r="H17" i="4" s="1"/>
  <c r="H15" i="4"/>
  <c r="H16" i="4" s="1"/>
  <c r="F18" i="3"/>
  <c r="G17" i="3" s="1"/>
  <c r="G15" i="3"/>
  <c r="G16" i="3" s="1"/>
  <c r="G49" i="2"/>
  <c r="H48" i="2" s="1"/>
  <c r="H46" i="2"/>
  <c r="G18" i="2"/>
  <c r="H17" i="2" s="1"/>
  <c r="H15" i="2"/>
  <c r="H16" i="2" s="1"/>
  <c r="F19" i="16" l="1"/>
  <c r="E18" i="16"/>
  <c r="E20" i="16" s="1"/>
  <c r="M19" i="16"/>
  <c r="M20" i="16" s="1"/>
  <c r="P19" i="16"/>
  <c r="O19" i="16"/>
  <c r="O20" i="16" s="1"/>
  <c r="H18" i="17"/>
  <c r="H20" i="17" s="1"/>
  <c r="I18" i="17" s="1"/>
  <c r="I19" i="17"/>
  <c r="H19" i="18"/>
  <c r="G18" i="18"/>
  <c r="G20" i="18" s="1"/>
  <c r="E24" i="17"/>
  <c r="B23" i="17"/>
  <c r="H19" i="15"/>
  <c r="G18" i="15"/>
  <c r="G20" i="15" s="1"/>
  <c r="F18" i="13"/>
  <c r="G17" i="13" s="1"/>
  <c r="G15" i="13"/>
  <c r="G16" i="13" s="1"/>
  <c r="F18" i="12"/>
  <c r="G17" i="12" s="1"/>
  <c r="G15" i="12"/>
  <c r="G16" i="12" s="1"/>
  <c r="E62" i="11"/>
  <c r="F61" i="11" s="1"/>
  <c r="F59" i="11"/>
  <c r="F60" i="11" s="1"/>
  <c r="D21" i="11"/>
  <c r="D22" i="11" s="1"/>
  <c r="E21" i="11" s="1"/>
  <c r="E22" i="11" s="1"/>
  <c r="F21" i="11" s="1"/>
  <c r="F22" i="11" s="1"/>
  <c r="D23" i="11"/>
  <c r="J21" i="11"/>
  <c r="K21" i="11" s="1"/>
  <c r="H81" i="10"/>
  <c r="I78" i="10"/>
  <c r="I79" i="10" s="1"/>
  <c r="H49" i="10"/>
  <c r="I46" i="10"/>
  <c r="I47" i="10" s="1"/>
  <c r="G18" i="10"/>
  <c r="H17" i="10" s="1"/>
  <c r="H15" i="10"/>
  <c r="H16" i="10" s="1"/>
  <c r="H80" i="9"/>
  <c r="I77" i="9"/>
  <c r="I78" i="9" s="1"/>
  <c r="H49" i="9"/>
  <c r="I46" i="9"/>
  <c r="I47" i="9" s="1"/>
  <c r="E18" i="9"/>
  <c r="F17" i="9" s="1"/>
  <c r="F15" i="9"/>
  <c r="F16" i="9" s="1"/>
  <c r="H49" i="8"/>
  <c r="B52" i="8" s="1"/>
  <c r="D54" i="8" s="1"/>
  <c r="I46" i="8"/>
  <c r="I47" i="8" s="1"/>
  <c r="H80" i="8"/>
  <c r="I77" i="8"/>
  <c r="I78" i="8" s="1"/>
  <c r="B83" i="8" s="1"/>
  <c r="H18" i="8"/>
  <c r="I15" i="8"/>
  <c r="I16" i="8" s="1"/>
  <c r="G18" i="7"/>
  <c r="H17" i="7" s="1"/>
  <c r="H15" i="7"/>
  <c r="H16" i="7" s="1"/>
  <c r="G18" i="6"/>
  <c r="H17" i="6" s="1"/>
  <c r="H15" i="6"/>
  <c r="H16" i="6" s="1"/>
  <c r="H142" i="5"/>
  <c r="I139" i="5"/>
  <c r="I140" i="5" s="1"/>
  <c r="B145" i="5" s="1"/>
  <c r="H111" i="5"/>
  <c r="I108" i="5"/>
  <c r="I109" i="5" s="1"/>
  <c r="B114" i="5" s="1"/>
  <c r="H80" i="5"/>
  <c r="I77" i="5"/>
  <c r="I78" i="5" s="1"/>
  <c r="B83" i="5" s="1"/>
  <c r="H49" i="5"/>
  <c r="I46" i="5"/>
  <c r="I47" i="5" s="1"/>
  <c r="B52" i="5" s="1"/>
  <c r="E18" i="5"/>
  <c r="F17" i="5" s="1"/>
  <c r="F15" i="5"/>
  <c r="F16" i="5" s="1"/>
  <c r="H47" i="2"/>
  <c r="H49" i="2" s="1"/>
  <c r="G49" i="4"/>
  <c r="H48" i="4" s="1"/>
  <c r="H46" i="4"/>
  <c r="H47" i="4" s="1"/>
  <c r="H18" i="4"/>
  <c r="I15" i="4"/>
  <c r="I16" i="4" s="1"/>
  <c r="G18" i="3"/>
  <c r="H17" i="3" s="1"/>
  <c r="H15" i="3"/>
  <c r="H16" i="3" s="1"/>
  <c r="H18" i="2"/>
  <c r="I15" i="2"/>
  <c r="I16" i="2" s="1"/>
  <c r="G19" i="16" l="1"/>
  <c r="F18" i="16"/>
  <c r="F20" i="16" s="1"/>
  <c r="I46" i="2"/>
  <c r="I47" i="2" s="1"/>
  <c r="B52" i="2" s="1"/>
  <c r="I20" i="17"/>
  <c r="B24" i="18"/>
  <c r="I19" i="18"/>
  <c r="H18" i="18"/>
  <c r="H20" i="18" s="1"/>
  <c r="I18" i="18" s="1"/>
  <c r="D23" i="17"/>
  <c r="D25" i="17" s="1"/>
  <c r="F24" i="17" s="1"/>
  <c r="B25" i="17"/>
  <c r="J25" i="17" s="1"/>
  <c r="K25" i="17" s="1"/>
  <c r="M23" i="17"/>
  <c r="B24" i="15"/>
  <c r="I19" i="15"/>
  <c r="H18" i="15"/>
  <c r="H20" i="15" s="1"/>
  <c r="I18" i="15" s="1"/>
  <c r="G18" i="13"/>
  <c r="H17" i="13" s="1"/>
  <c r="H15" i="13"/>
  <c r="H16" i="13" s="1"/>
  <c r="G18" i="12"/>
  <c r="H17" i="12" s="1"/>
  <c r="H15" i="12"/>
  <c r="H16" i="12" s="1"/>
  <c r="F62" i="11"/>
  <c r="G61" i="11" s="1"/>
  <c r="G59" i="11"/>
  <c r="G60" i="11" s="1"/>
  <c r="G21" i="11"/>
  <c r="G22" i="11" s="1"/>
  <c r="D24" i="11"/>
  <c r="E23" i="11" s="1"/>
  <c r="E24" i="11" s="1"/>
  <c r="F23" i="11" s="1"/>
  <c r="F24" i="11" s="1"/>
  <c r="G23" i="11" s="1"/>
  <c r="B84" i="10"/>
  <c r="D84" i="10" s="1"/>
  <c r="D85" i="10" s="1"/>
  <c r="B52" i="10"/>
  <c r="H18" i="10"/>
  <c r="I15" i="10"/>
  <c r="I16" i="10" s="1"/>
  <c r="B21" i="10" s="1"/>
  <c r="B52" i="9"/>
  <c r="B83" i="9"/>
  <c r="J83" i="9" s="1"/>
  <c r="K83" i="9" s="1"/>
  <c r="J52" i="9"/>
  <c r="K52" i="9" s="1"/>
  <c r="D52" i="9"/>
  <c r="D53" i="9" s="1"/>
  <c r="D54" i="9"/>
  <c r="F18" i="9"/>
  <c r="G17" i="9" s="1"/>
  <c r="G15" i="9"/>
  <c r="G16" i="9" s="1"/>
  <c r="J52" i="8"/>
  <c r="K52" i="8" s="1"/>
  <c r="D52" i="8"/>
  <c r="D53" i="8" s="1"/>
  <c r="E52" i="8" s="1"/>
  <c r="E53" i="8" s="1"/>
  <c r="F52" i="8" s="1"/>
  <c r="F53" i="8" s="1"/>
  <c r="B21" i="8"/>
  <c r="J21" i="8" s="1"/>
  <c r="K21" i="8" s="1"/>
  <c r="D83" i="8"/>
  <c r="D84" i="8" s="1"/>
  <c r="E83" i="8" s="1"/>
  <c r="E84" i="8" s="1"/>
  <c r="F83" i="8" s="1"/>
  <c r="F84" i="8" s="1"/>
  <c r="J83" i="8"/>
  <c r="K83" i="8" s="1"/>
  <c r="D85" i="8"/>
  <c r="H18" i="7"/>
  <c r="I15" i="7"/>
  <c r="I16" i="7" s="1"/>
  <c r="H18" i="6"/>
  <c r="I15" i="6"/>
  <c r="I16" i="6" s="1"/>
  <c r="D147" i="5"/>
  <c r="J145" i="5"/>
  <c r="K145" i="5" s="1"/>
  <c r="D145" i="5"/>
  <c r="D146" i="5" s="1"/>
  <c r="D114" i="5"/>
  <c r="D115" i="5" s="1"/>
  <c r="D116" i="5"/>
  <c r="J114" i="5"/>
  <c r="K114" i="5" s="1"/>
  <c r="D83" i="5"/>
  <c r="D84" i="5" s="1"/>
  <c r="E83" i="5" s="1"/>
  <c r="E84" i="5" s="1"/>
  <c r="D85" i="5"/>
  <c r="J83" i="5"/>
  <c r="K83" i="5" s="1"/>
  <c r="D52" i="5"/>
  <c r="D53" i="5" s="1"/>
  <c r="D54" i="5"/>
  <c r="J52" i="5"/>
  <c r="K52" i="5" s="1"/>
  <c r="F18" i="5"/>
  <c r="G17" i="5" s="1"/>
  <c r="G15" i="5"/>
  <c r="G16" i="5" s="1"/>
  <c r="B21" i="4"/>
  <c r="D21" i="4" s="1"/>
  <c r="D22" i="4" s="1"/>
  <c r="E21" i="4" s="1"/>
  <c r="E22" i="4" s="1"/>
  <c r="H49" i="4"/>
  <c r="I46" i="4"/>
  <c r="I47" i="4" s="1"/>
  <c r="H18" i="3"/>
  <c r="I15" i="3"/>
  <c r="I16" i="3" s="1"/>
  <c r="B21" i="2"/>
  <c r="H19" i="16" l="1"/>
  <c r="G18" i="16"/>
  <c r="G20" i="16" s="1"/>
  <c r="E23" i="17"/>
  <c r="E25" i="17" s="1"/>
  <c r="G24" i="17" s="1"/>
  <c r="I20" i="15"/>
  <c r="E24" i="18"/>
  <c r="B23" i="18"/>
  <c r="I20" i="18"/>
  <c r="O24" i="17"/>
  <c r="O25" i="17" s="1"/>
  <c r="M25" i="17"/>
  <c r="P24" i="17"/>
  <c r="M24" i="17"/>
  <c r="E24" i="15"/>
  <c r="B23" i="15"/>
  <c r="H18" i="13"/>
  <c r="I15" i="13"/>
  <c r="I16" i="13" s="1"/>
  <c r="B21" i="13" s="1"/>
  <c r="H18" i="12"/>
  <c r="I15" i="12"/>
  <c r="I16" i="12" s="1"/>
  <c r="G62" i="11"/>
  <c r="H61" i="11" s="1"/>
  <c r="H59" i="11"/>
  <c r="H60" i="11" s="1"/>
  <c r="G24" i="11"/>
  <c r="H23" i="11" s="1"/>
  <c r="H21" i="11"/>
  <c r="H22" i="11" s="1"/>
  <c r="J84" i="10"/>
  <c r="K84" i="10" s="1"/>
  <c r="D86" i="10"/>
  <c r="D87" i="10"/>
  <c r="E86" i="10" s="1"/>
  <c r="E84" i="10"/>
  <c r="E85" i="10" s="1"/>
  <c r="D52" i="10"/>
  <c r="D53" i="10" s="1"/>
  <c r="D54" i="10"/>
  <c r="J52" i="10"/>
  <c r="K52" i="10" s="1"/>
  <c r="E52" i="10"/>
  <c r="E53" i="10" s="1"/>
  <c r="F52" i="10" s="1"/>
  <c r="F53" i="10" s="1"/>
  <c r="G52" i="10" s="1"/>
  <c r="G53" i="10" s="1"/>
  <c r="D21" i="10"/>
  <c r="D22" i="10" s="1"/>
  <c r="E21" i="10" s="1"/>
  <c r="E22" i="10" s="1"/>
  <c r="D23" i="10"/>
  <c r="J21" i="10"/>
  <c r="K21" i="10" s="1"/>
  <c r="D83" i="9"/>
  <c r="D84" i="9" s="1"/>
  <c r="E83" i="9" s="1"/>
  <c r="E84" i="9" s="1"/>
  <c r="F83" i="9" s="1"/>
  <c r="F84" i="9" s="1"/>
  <c r="G83" i="9" s="1"/>
  <c r="G84" i="9" s="1"/>
  <c r="D85" i="9"/>
  <c r="D55" i="9"/>
  <c r="E54" i="9" s="1"/>
  <c r="E52" i="9"/>
  <c r="E53" i="9" s="1"/>
  <c r="G18" i="9"/>
  <c r="H17" i="9" s="1"/>
  <c r="H15" i="9"/>
  <c r="H16" i="9" s="1"/>
  <c r="D55" i="8"/>
  <c r="E54" i="8" s="1"/>
  <c r="E55" i="8" s="1"/>
  <c r="F54" i="8" s="1"/>
  <c r="F55" i="8" s="1"/>
  <c r="G54" i="8" s="1"/>
  <c r="D21" i="8"/>
  <c r="D22" i="8" s="1"/>
  <c r="E21" i="8" s="1"/>
  <c r="E22" i="8" s="1"/>
  <c r="F21" i="8" s="1"/>
  <c r="F22" i="8" s="1"/>
  <c r="D23" i="8"/>
  <c r="D86" i="8"/>
  <c r="E85" i="8" s="1"/>
  <c r="E86" i="8" s="1"/>
  <c r="F85" i="8" s="1"/>
  <c r="F86" i="8" s="1"/>
  <c r="G85" i="8" s="1"/>
  <c r="G83" i="8"/>
  <c r="G84" i="8" s="1"/>
  <c r="G52" i="8"/>
  <c r="G53" i="8" s="1"/>
  <c r="B21" i="7"/>
  <c r="D21" i="7" s="1"/>
  <c r="D22" i="7" s="1"/>
  <c r="B21" i="6"/>
  <c r="D21" i="6"/>
  <c r="D22" i="6" s="1"/>
  <c r="E21" i="6" s="1"/>
  <c r="E22" i="6" s="1"/>
  <c r="D23" i="6"/>
  <c r="J21" i="6"/>
  <c r="K21" i="6" s="1"/>
  <c r="D148" i="5"/>
  <c r="E147" i="5" s="1"/>
  <c r="D55" i="5"/>
  <c r="E54" i="5" s="1"/>
  <c r="E145" i="5"/>
  <c r="E146" i="5" s="1"/>
  <c r="D117" i="5"/>
  <c r="E116" i="5" s="1"/>
  <c r="E114" i="5"/>
  <c r="E115" i="5" s="1"/>
  <c r="F83" i="5"/>
  <c r="F84" i="5" s="1"/>
  <c r="D86" i="5"/>
  <c r="E85" i="5" s="1"/>
  <c r="E86" i="5" s="1"/>
  <c r="F85" i="5" s="1"/>
  <c r="E52" i="5"/>
  <c r="E53" i="5" s="1"/>
  <c r="G18" i="5"/>
  <c r="H17" i="5" s="1"/>
  <c r="H15" i="5"/>
  <c r="H16" i="5" s="1"/>
  <c r="B52" i="4"/>
  <c r="D23" i="4"/>
  <c r="J21" i="4"/>
  <c r="K21" i="4" s="1"/>
  <c r="D52" i="4"/>
  <c r="D53" i="4" s="1"/>
  <c r="E52" i="4"/>
  <c r="E53" i="4" s="1"/>
  <c r="D54" i="4"/>
  <c r="J52" i="4"/>
  <c r="K52" i="4" s="1"/>
  <c r="F21" i="4"/>
  <c r="F22" i="4" s="1"/>
  <c r="D24" i="4"/>
  <c r="E23" i="4" s="1"/>
  <c r="E24" i="4" s="1"/>
  <c r="F23" i="4" s="1"/>
  <c r="B21" i="3"/>
  <c r="J52" i="2"/>
  <c r="K52" i="2" s="1"/>
  <c r="D52" i="2"/>
  <c r="D53" i="2" s="1"/>
  <c r="D54" i="2"/>
  <c r="J21" i="2"/>
  <c r="K21" i="2" s="1"/>
  <c r="D23" i="2"/>
  <c r="D21" i="2"/>
  <c r="D22" i="2" s="1"/>
  <c r="E21" i="2" s="1"/>
  <c r="E22" i="2" s="1"/>
  <c r="H18" i="16" l="1"/>
  <c r="H20" i="16" s="1"/>
  <c r="I18" i="16" s="1"/>
  <c r="B24" i="16"/>
  <c r="I19" i="16"/>
  <c r="F23" i="17"/>
  <c r="F25" i="17" s="1"/>
  <c r="H24" i="17" s="1"/>
  <c r="B25" i="18"/>
  <c r="J25" i="18" s="1"/>
  <c r="K25" i="18" s="1"/>
  <c r="D23" i="18"/>
  <c r="D25" i="18" s="1"/>
  <c r="F24" i="18" s="1"/>
  <c r="M23" i="18"/>
  <c r="B25" i="15"/>
  <c r="J25" i="15" s="1"/>
  <c r="K25" i="15" s="1"/>
  <c r="M23" i="15"/>
  <c r="D23" i="15"/>
  <c r="D25" i="15" s="1"/>
  <c r="F24" i="15" s="1"/>
  <c r="D21" i="13"/>
  <c r="D22" i="13" s="1"/>
  <c r="E21" i="13" s="1"/>
  <c r="E22" i="13" s="1"/>
  <c r="F21" i="13" s="1"/>
  <c r="F22" i="13" s="1"/>
  <c r="D23" i="13"/>
  <c r="J21" i="13"/>
  <c r="K21" i="13" s="1"/>
  <c r="B21" i="12"/>
  <c r="D21" i="12" s="1"/>
  <c r="D22" i="12" s="1"/>
  <c r="E21" i="12" s="1"/>
  <c r="E22" i="12" s="1"/>
  <c r="H62" i="11"/>
  <c r="I59" i="11"/>
  <c r="I60" i="11" s="1"/>
  <c r="H24" i="11"/>
  <c r="I21" i="11"/>
  <c r="I22" i="11" s="1"/>
  <c r="B27" i="11" s="1"/>
  <c r="E87" i="10"/>
  <c r="F86" i="10" s="1"/>
  <c r="F84" i="10"/>
  <c r="F85" i="10" s="1"/>
  <c r="H52" i="10"/>
  <c r="H53" i="10" s="1"/>
  <c r="D55" i="10"/>
  <c r="E54" i="10" s="1"/>
  <c r="E55" i="10" s="1"/>
  <c r="F54" i="10" s="1"/>
  <c r="F55" i="10" s="1"/>
  <c r="G54" i="10" s="1"/>
  <c r="G55" i="10" s="1"/>
  <c r="H54" i="10" s="1"/>
  <c r="D24" i="10"/>
  <c r="E23" i="10" s="1"/>
  <c r="E24" i="10" s="1"/>
  <c r="F23" i="10" s="1"/>
  <c r="F21" i="10"/>
  <c r="F22" i="10" s="1"/>
  <c r="D86" i="9"/>
  <c r="E85" i="9" s="1"/>
  <c r="E86" i="9" s="1"/>
  <c r="F85" i="9" s="1"/>
  <c r="F86" i="9" s="1"/>
  <c r="G85" i="9" s="1"/>
  <c r="G86" i="9" s="1"/>
  <c r="H85" i="9" s="1"/>
  <c r="H83" i="9"/>
  <c r="H84" i="9" s="1"/>
  <c r="E55" i="9"/>
  <c r="F54" i="9" s="1"/>
  <c r="F52" i="9"/>
  <c r="F53" i="9" s="1"/>
  <c r="H18" i="9"/>
  <c r="I15" i="9"/>
  <c r="I16" i="9" s="1"/>
  <c r="B21" i="9" s="1"/>
  <c r="D24" i="8"/>
  <c r="E23" i="8" s="1"/>
  <c r="E24" i="8" s="1"/>
  <c r="F23" i="8" s="1"/>
  <c r="F24" i="8" s="1"/>
  <c r="G23" i="8" s="1"/>
  <c r="G86" i="8"/>
  <c r="H85" i="8" s="1"/>
  <c r="H83" i="8"/>
  <c r="H84" i="8" s="1"/>
  <c r="G55" i="8"/>
  <c r="H54" i="8" s="1"/>
  <c r="H52" i="8"/>
  <c r="H53" i="8" s="1"/>
  <c r="G21" i="8"/>
  <c r="G22" i="8" s="1"/>
  <c r="D23" i="7"/>
  <c r="D24" i="7" s="1"/>
  <c r="E23" i="7" s="1"/>
  <c r="E21" i="7"/>
  <c r="E22" i="7" s="1"/>
  <c r="F21" i="7" s="1"/>
  <c r="F22" i="7" s="1"/>
  <c r="G21" i="7" s="1"/>
  <c r="G22" i="7" s="1"/>
  <c r="H21" i="7" s="1"/>
  <c r="H22" i="7" s="1"/>
  <c r="J21" i="7"/>
  <c r="K21" i="7" s="1"/>
  <c r="F21" i="6"/>
  <c r="F22" i="6" s="1"/>
  <c r="D24" i="6"/>
  <c r="E23" i="6" s="1"/>
  <c r="E24" i="6" s="1"/>
  <c r="F23" i="6" s="1"/>
  <c r="E148" i="5"/>
  <c r="F147" i="5" s="1"/>
  <c r="F145" i="5"/>
  <c r="F146" i="5" s="1"/>
  <c r="E117" i="5"/>
  <c r="F116" i="5" s="1"/>
  <c r="F114" i="5"/>
  <c r="F115" i="5" s="1"/>
  <c r="F86" i="5"/>
  <c r="G85" i="5" s="1"/>
  <c r="G83" i="5"/>
  <c r="G84" i="5" s="1"/>
  <c r="E55" i="5"/>
  <c r="F54" i="5" s="1"/>
  <c r="F52" i="5"/>
  <c r="F53" i="5" s="1"/>
  <c r="H18" i="5"/>
  <c r="I15" i="5"/>
  <c r="I16" i="5" s="1"/>
  <c r="B21" i="5" s="1"/>
  <c r="D55" i="2"/>
  <c r="E54" i="2" s="1"/>
  <c r="D55" i="4"/>
  <c r="E54" i="4" s="1"/>
  <c r="E55" i="4" s="1"/>
  <c r="F54" i="4" s="1"/>
  <c r="F52" i="4"/>
  <c r="F53" i="4" s="1"/>
  <c r="F24" i="4"/>
  <c r="G23" i="4" s="1"/>
  <c r="G21" i="4"/>
  <c r="G22" i="4" s="1"/>
  <c r="D21" i="3"/>
  <c r="D22" i="3" s="1"/>
  <c r="E21" i="3" s="1"/>
  <c r="E22" i="3" s="1"/>
  <c r="D23" i="3"/>
  <c r="J21" i="3"/>
  <c r="K21" i="3" s="1"/>
  <c r="E52" i="2"/>
  <c r="E53" i="2" s="1"/>
  <c r="D24" i="2"/>
  <c r="E23" i="2" s="1"/>
  <c r="E24" i="2" s="1"/>
  <c r="F23" i="2" s="1"/>
  <c r="F21" i="2"/>
  <c r="F22" i="2" s="1"/>
  <c r="E24" i="7" l="1"/>
  <c r="F23" i="7" s="1"/>
  <c r="F24" i="7" s="1"/>
  <c r="G23" i="7" s="1"/>
  <c r="G24" i="7" s="1"/>
  <c r="H23" i="7" s="1"/>
  <c r="I20" i="16"/>
  <c r="E24" i="16"/>
  <c r="B23" i="16"/>
  <c r="G23" i="17"/>
  <c r="G25" i="17" s="1"/>
  <c r="H23" i="17" s="1"/>
  <c r="H25" i="17" s="1"/>
  <c r="I23" i="17" s="1"/>
  <c r="P24" i="18"/>
  <c r="O24" i="18"/>
  <c r="O25" i="18" s="1"/>
  <c r="M24" i="18"/>
  <c r="M25" i="18" s="1"/>
  <c r="E23" i="18"/>
  <c r="E25" i="18" s="1"/>
  <c r="O24" i="15"/>
  <c r="O25" i="15" s="1"/>
  <c r="P24" i="15"/>
  <c r="M24" i="15"/>
  <c r="M25" i="15" s="1"/>
  <c r="E23" i="15"/>
  <c r="E25" i="15" s="1"/>
  <c r="B65" i="11"/>
  <c r="D65" i="11" s="1"/>
  <c r="D66" i="11" s="1"/>
  <c r="D24" i="13"/>
  <c r="E23" i="13" s="1"/>
  <c r="E24" i="13" s="1"/>
  <c r="F23" i="13" s="1"/>
  <c r="F24" i="13" s="1"/>
  <c r="G23" i="13" s="1"/>
  <c r="G21" i="13"/>
  <c r="G22" i="13" s="1"/>
  <c r="J21" i="12"/>
  <c r="K21" i="12" s="1"/>
  <c r="D23" i="12"/>
  <c r="F21" i="12"/>
  <c r="F22" i="12" s="1"/>
  <c r="D24" i="12"/>
  <c r="E23" i="12" s="1"/>
  <c r="E24" i="12" s="1"/>
  <c r="F23" i="12" s="1"/>
  <c r="J65" i="11"/>
  <c r="K65" i="11" s="1"/>
  <c r="D67" i="11"/>
  <c r="D27" i="11"/>
  <c r="D28" i="11" s="1"/>
  <c r="E27" i="11" s="1"/>
  <c r="E28" i="11" s="1"/>
  <c r="F27" i="11" s="1"/>
  <c r="F28" i="11" s="1"/>
  <c r="D29" i="11"/>
  <c r="J27" i="11"/>
  <c r="K27" i="11" s="1"/>
  <c r="F87" i="10"/>
  <c r="G86" i="10" s="1"/>
  <c r="G84" i="10"/>
  <c r="G85" i="10" s="1"/>
  <c r="H55" i="10"/>
  <c r="I52" i="10"/>
  <c r="I53" i="10" s="1"/>
  <c r="F24" i="10"/>
  <c r="G23" i="10" s="1"/>
  <c r="G21" i="10"/>
  <c r="G22" i="10" s="1"/>
  <c r="H86" i="9"/>
  <c r="I83" i="9"/>
  <c r="I84" i="9" s="1"/>
  <c r="F55" i="9"/>
  <c r="G54" i="9" s="1"/>
  <c r="G52" i="9"/>
  <c r="G53" i="9" s="1"/>
  <c r="D21" i="9"/>
  <c r="D22" i="9" s="1"/>
  <c r="E21" i="9" s="1"/>
  <c r="E22" i="9" s="1"/>
  <c r="D23" i="9"/>
  <c r="J21" i="9"/>
  <c r="K21" i="9" s="1"/>
  <c r="H86" i="8"/>
  <c r="I83" i="8"/>
  <c r="I84" i="8" s="1"/>
  <c r="H55" i="8"/>
  <c r="I52" i="8"/>
  <c r="I53" i="8" s="1"/>
  <c r="B58" i="8" s="1"/>
  <c r="G24" i="8"/>
  <c r="H23" i="8" s="1"/>
  <c r="H21" i="8"/>
  <c r="H22" i="8" s="1"/>
  <c r="H24" i="7"/>
  <c r="I21" i="7"/>
  <c r="I22" i="7" s="1"/>
  <c r="F24" i="6"/>
  <c r="G23" i="6" s="1"/>
  <c r="G21" i="6"/>
  <c r="G22" i="6" s="1"/>
  <c r="F148" i="5"/>
  <c r="G147" i="5" s="1"/>
  <c r="G145" i="5"/>
  <c r="G146" i="5" s="1"/>
  <c r="F117" i="5"/>
  <c r="G116" i="5" s="1"/>
  <c r="G114" i="5"/>
  <c r="G115" i="5" s="1"/>
  <c r="G86" i="5"/>
  <c r="H85" i="5" s="1"/>
  <c r="H83" i="5"/>
  <c r="H84" i="5" s="1"/>
  <c r="F55" i="5"/>
  <c r="G54" i="5" s="1"/>
  <c r="G52" i="5"/>
  <c r="G53" i="5" s="1"/>
  <c r="D21" i="5"/>
  <c r="D22" i="5" s="1"/>
  <c r="J21" i="5"/>
  <c r="K21" i="5" s="1"/>
  <c r="D23" i="5"/>
  <c r="F55" i="4"/>
  <c r="G54" i="4" s="1"/>
  <c r="G52" i="4"/>
  <c r="G53" i="4" s="1"/>
  <c r="G24" i="4"/>
  <c r="H23" i="4" s="1"/>
  <c r="H21" i="4"/>
  <c r="H22" i="4" s="1"/>
  <c r="D24" i="3"/>
  <c r="E23" i="3" s="1"/>
  <c r="E24" i="3" s="1"/>
  <c r="F23" i="3" s="1"/>
  <c r="F21" i="3"/>
  <c r="F22" i="3" s="1"/>
  <c r="E55" i="2"/>
  <c r="F54" i="2" s="1"/>
  <c r="F52" i="2"/>
  <c r="F53" i="2" s="1"/>
  <c r="F24" i="2"/>
  <c r="G23" i="2" s="1"/>
  <c r="G21" i="2"/>
  <c r="G22" i="2" s="1"/>
  <c r="M23" i="16" l="1"/>
  <c r="D23" i="16"/>
  <c r="D25" i="16" s="1"/>
  <c r="B25" i="16"/>
  <c r="J25" i="16" s="1"/>
  <c r="K25" i="16" s="1"/>
  <c r="I24" i="17"/>
  <c r="I25" i="17" s="1"/>
  <c r="G24" i="18"/>
  <c r="F23" i="18"/>
  <c r="F25" i="18" s="1"/>
  <c r="G24" i="15"/>
  <c r="F23" i="15"/>
  <c r="F25" i="15" s="1"/>
  <c r="G24" i="13"/>
  <c r="H23" i="13" s="1"/>
  <c r="H21" i="13"/>
  <c r="H22" i="13" s="1"/>
  <c r="F24" i="12"/>
  <c r="G23" i="12" s="1"/>
  <c r="G21" i="12"/>
  <c r="G22" i="12" s="1"/>
  <c r="D68" i="11"/>
  <c r="E67" i="11" s="1"/>
  <c r="E65" i="11"/>
  <c r="E66" i="11" s="1"/>
  <c r="D30" i="11"/>
  <c r="E29" i="11" s="1"/>
  <c r="E30" i="11" s="1"/>
  <c r="F29" i="11" s="1"/>
  <c r="F30" i="11" s="1"/>
  <c r="G29" i="11" s="1"/>
  <c r="G27" i="11"/>
  <c r="G28" i="11" s="1"/>
  <c r="G87" i="10"/>
  <c r="H86" i="10" s="1"/>
  <c r="H84" i="10"/>
  <c r="H85" i="10" s="1"/>
  <c r="B58" i="10"/>
  <c r="G24" i="10"/>
  <c r="H23" i="10" s="1"/>
  <c r="H21" i="10"/>
  <c r="H22" i="10" s="1"/>
  <c r="B89" i="9"/>
  <c r="G55" i="9"/>
  <c r="H54" i="9" s="1"/>
  <c r="H52" i="9"/>
  <c r="H53" i="9" s="1"/>
  <c r="F21" i="9"/>
  <c r="F22" i="9" s="1"/>
  <c r="D24" i="9"/>
  <c r="E23" i="9" s="1"/>
  <c r="E24" i="9" s="1"/>
  <c r="F23" i="9" s="1"/>
  <c r="B89" i="8"/>
  <c r="J89" i="8"/>
  <c r="K89" i="8" s="1"/>
  <c r="D89" i="8"/>
  <c r="D90" i="8" s="1"/>
  <c r="D91" i="8"/>
  <c r="D58" i="8"/>
  <c r="D59" i="8" s="1"/>
  <c r="E58" i="8" s="1"/>
  <c r="E59" i="8" s="1"/>
  <c r="F58" i="8" s="1"/>
  <c r="F59" i="8" s="1"/>
  <c r="D60" i="8"/>
  <c r="J58" i="8"/>
  <c r="K58" i="8" s="1"/>
  <c r="H24" i="8"/>
  <c r="I21" i="8"/>
  <c r="I22" i="8" s="1"/>
  <c r="B27" i="7"/>
  <c r="G24" i="6"/>
  <c r="H23" i="6" s="1"/>
  <c r="H21" i="6"/>
  <c r="H22" i="6" s="1"/>
  <c r="D24" i="5"/>
  <c r="E23" i="5" s="1"/>
  <c r="G148" i="5"/>
  <c r="H147" i="5" s="1"/>
  <c r="H145" i="5"/>
  <c r="H146" i="5" s="1"/>
  <c r="G117" i="5"/>
  <c r="H116" i="5" s="1"/>
  <c r="H114" i="5"/>
  <c r="H115" i="5" s="1"/>
  <c r="H86" i="5"/>
  <c r="I83" i="5"/>
  <c r="I84" i="5" s="1"/>
  <c r="B89" i="5" s="1"/>
  <c r="G55" i="5"/>
  <c r="H54" i="5" s="1"/>
  <c r="H52" i="5"/>
  <c r="H53" i="5" s="1"/>
  <c r="E21" i="5"/>
  <c r="E22" i="5" s="1"/>
  <c r="G55" i="4"/>
  <c r="H54" i="4" s="1"/>
  <c r="H52" i="4"/>
  <c r="H53" i="4" s="1"/>
  <c r="H24" i="4"/>
  <c r="I21" i="4"/>
  <c r="I22" i="4" s="1"/>
  <c r="B27" i="4" s="1"/>
  <c r="F24" i="3"/>
  <c r="G23" i="3" s="1"/>
  <c r="G21" i="3"/>
  <c r="G22" i="3" s="1"/>
  <c r="F55" i="2"/>
  <c r="G54" i="2" s="1"/>
  <c r="G52" i="2"/>
  <c r="G53" i="2" s="1"/>
  <c r="G24" i="2"/>
  <c r="H23" i="2" s="1"/>
  <c r="H21" i="2"/>
  <c r="H22" i="2" s="1"/>
  <c r="F24" i="16" l="1"/>
  <c r="E23" i="16"/>
  <c r="E25" i="16" s="1"/>
  <c r="M24" i="16"/>
  <c r="M25" i="16" s="1"/>
  <c r="P24" i="16"/>
  <c r="O24" i="16"/>
  <c r="O25" i="16" s="1"/>
  <c r="H24" i="18"/>
  <c r="G23" i="18"/>
  <c r="G25" i="18" s="1"/>
  <c r="H24" i="15"/>
  <c r="G23" i="15"/>
  <c r="G25" i="15" s="1"/>
  <c r="H24" i="13"/>
  <c r="I21" i="13"/>
  <c r="I22" i="13" s="1"/>
  <c r="B27" i="13" s="1"/>
  <c r="G24" i="12"/>
  <c r="H23" i="12" s="1"/>
  <c r="H21" i="12"/>
  <c r="H22" i="12" s="1"/>
  <c r="E68" i="11"/>
  <c r="F67" i="11" s="1"/>
  <c r="F65" i="11"/>
  <c r="F66" i="11" s="1"/>
  <c r="G30" i="11"/>
  <c r="H29" i="11" s="1"/>
  <c r="H27" i="11"/>
  <c r="H28" i="11" s="1"/>
  <c r="H87" i="10"/>
  <c r="I84" i="10"/>
  <c r="I85" i="10" s="1"/>
  <c r="J58" i="10"/>
  <c r="K58" i="10" s="1"/>
  <c r="D58" i="10"/>
  <c r="D59" i="10" s="1"/>
  <c r="E58" i="10" s="1"/>
  <c r="E59" i="10" s="1"/>
  <c r="F58" i="10" s="1"/>
  <c r="F59" i="10" s="1"/>
  <c r="D60" i="10"/>
  <c r="H24" i="10"/>
  <c r="I21" i="10"/>
  <c r="I22" i="10" s="1"/>
  <c r="B27" i="10" s="1"/>
  <c r="J89" i="9"/>
  <c r="K89" i="9" s="1"/>
  <c r="D89" i="9"/>
  <c r="D90" i="9" s="1"/>
  <c r="E89" i="9" s="1"/>
  <c r="E90" i="9" s="1"/>
  <c r="F89" i="9" s="1"/>
  <c r="F90" i="9" s="1"/>
  <c r="D91" i="9"/>
  <c r="H55" i="9"/>
  <c r="I52" i="9"/>
  <c r="I53" i="9" s="1"/>
  <c r="B58" i="9" s="1"/>
  <c r="F24" i="9"/>
  <c r="G23" i="9" s="1"/>
  <c r="G21" i="9"/>
  <c r="G22" i="9" s="1"/>
  <c r="B27" i="8"/>
  <c r="D29" i="8" s="1"/>
  <c r="D92" i="8"/>
  <c r="E91" i="8" s="1"/>
  <c r="E89" i="8"/>
  <c r="E90" i="8" s="1"/>
  <c r="G58" i="8"/>
  <c r="G59" i="8" s="1"/>
  <c r="D61" i="8"/>
  <c r="E60" i="8" s="1"/>
  <c r="E61" i="8" s="1"/>
  <c r="F60" i="8" s="1"/>
  <c r="F61" i="8" s="1"/>
  <c r="G60" i="8" s="1"/>
  <c r="J27" i="7"/>
  <c r="K27" i="7" s="1"/>
  <c r="D27" i="7"/>
  <c r="D28" i="7" s="1"/>
  <c r="D29" i="7"/>
  <c r="H24" i="6"/>
  <c r="I21" i="6"/>
  <c r="I22" i="6" s="1"/>
  <c r="H148" i="5"/>
  <c r="I145" i="5"/>
  <c r="I146" i="5" s="1"/>
  <c r="B151" i="5" s="1"/>
  <c r="H117" i="5"/>
  <c r="I114" i="5"/>
  <c r="I115" i="5" s="1"/>
  <c r="J89" i="5"/>
  <c r="K89" i="5" s="1"/>
  <c r="D89" i="5"/>
  <c r="D90" i="5" s="1"/>
  <c r="D91" i="5"/>
  <c r="H55" i="5"/>
  <c r="I52" i="5"/>
  <c r="I53" i="5" s="1"/>
  <c r="E24" i="5"/>
  <c r="F23" i="5" s="1"/>
  <c r="F21" i="5"/>
  <c r="F22" i="5" s="1"/>
  <c r="H55" i="4"/>
  <c r="I52" i="4"/>
  <c r="I53" i="4" s="1"/>
  <c r="D27" i="4"/>
  <c r="D28" i="4" s="1"/>
  <c r="D29" i="4"/>
  <c r="J27" i="4"/>
  <c r="K27" i="4" s="1"/>
  <c r="G24" i="3"/>
  <c r="H23" i="3" s="1"/>
  <c r="H21" i="3"/>
  <c r="H22" i="3" s="1"/>
  <c r="G55" i="2"/>
  <c r="H54" i="2" s="1"/>
  <c r="H52" i="2"/>
  <c r="H24" i="2"/>
  <c r="I21" i="2"/>
  <c r="I22" i="2" s="1"/>
  <c r="F23" i="16" l="1"/>
  <c r="F25" i="16" s="1"/>
  <c r="G24" i="16"/>
  <c r="I24" i="18"/>
  <c r="H23" i="18"/>
  <c r="H25" i="18" s="1"/>
  <c r="I23" i="18" s="1"/>
  <c r="I24" i="15"/>
  <c r="H23" i="15"/>
  <c r="H25" i="15" s="1"/>
  <c r="I23" i="15" s="1"/>
  <c r="I25" i="15" s="1"/>
  <c r="J27" i="13"/>
  <c r="K27" i="13" s="1"/>
  <c r="D27" i="13"/>
  <c r="D28" i="13" s="1"/>
  <c r="E27" i="13" s="1"/>
  <c r="E28" i="13" s="1"/>
  <c r="D29" i="13"/>
  <c r="H24" i="12"/>
  <c r="I21" i="12"/>
  <c r="I22" i="12" s="1"/>
  <c r="F68" i="11"/>
  <c r="G67" i="11" s="1"/>
  <c r="G65" i="11"/>
  <c r="G66" i="11" s="1"/>
  <c r="H30" i="11"/>
  <c r="I27" i="11"/>
  <c r="I28" i="11" s="1"/>
  <c r="B90" i="10"/>
  <c r="D90" i="10" s="1"/>
  <c r="D91" i="10" s="1"/>
  <c r="G58" i="10"/>
  <c r="G59" i="10" s="1"/>
  <c r="D61" i="10"/>
  <c r="E60" i="10" s="1"/>
  <c r="E61" i="10" s="1"/>
  <c r="F60" i="10" s="1"/>
  <c r="F61" i="10" s="1"/>
  <c r="G60" i="10" s="1"/>
  <c r="J27" i="10"/>
  <c r="K27" i="10" s="1"/>
  <c r="D27" i="10"/>
  <c r="D28" i="10" s="1"/>
  <c r="D29" i="10"/>
  <c r="G89" i="9"/>
  <c r="G90" i="9" s="1"/>
  <c r="D92" i="9"/>
  <c r="E91" i="9" s="1"/>
  <c r="E92" i="9" s="1"/>
  <c r="F91" i="9" s="1"/>
  <c r="F92" i="9" s="1"/>
  <c r="G91" i="9" s="1"/>
  <c r="D58" i="9"/>
  <c r="D59" i="9" s="1"/>
  <c r="D60" i="9"/>
  <c r="J58" i="9"/>
  <c r="K58" i="9" s="1"/>
  <c r="E58" i="9"/>
  <c r="E59" i="9" s="1"/>
  <c r="F58" i="9" s="1"/>
  <c r="F59" i="9" s="1"/>
  <c r="G24" i="9"/>
  <c r="H23" i="9" s="1"/>
  <c r="H21" i="9"/>
  <c r="H22" i="9" s="1"/>
  <c r="D27" i="8"/>
  <c r="D28" i="8" s="1"/>
  <c r="D30" i="8" s="1"/>
  <c r="E29" i="8" s="1"/>
  <c r="J27" i="8"/>
  <c r="K27" i="8" s="1"/>
  <c r="E92" i="8"/>
  <c r="F91" i="8" s="1"/>
  <c r="F89" i="8"/>
  <c r="F90" i="8" s="1"/>
  <c r="G61" i="8"/>
  <c r="H60" i="8" s="1"/>
  <c r="H58" i="8"/>
  <c r="H59" i="8" s="1"/>
  <c r="E27" i="8"/>
  <c r="E28" i="8" s="1"/>
  <c r="D30" i="7"/>
  <c r="E29" i="7" s="1"/>
  <c r="E27" i="7"/>
  <c r="E28" i="7" s="1"/>
  <c r="B27" i="6"/>
  <c r="D27" i="6" s="1"/>
  <c r="D28" i="6" s="1"/>
  <c r="E27" i="6" s="1"/>
  <c r="E28" i="6" s="1"/>
  <c r="B58" i="5"/>
  <c r="J58" i="5" s="1"/>
  <c r="K58" i="5" s="1"/>
  <c r="D153" i="5"/>
  <c r="D151" i="5"/>
  <c r="D152" i="5" s="1"/>
  <c r="E151" i="5" s="1"/>
  <c r="E152" i="5" s="1"/>
  <c r="J151" i="5"/>
  <c r="K151" i="5" s="1"/>
  <c r="B120" i="5"/>
  <c r="D92" i="5"/>
  <c r="E91" i="5" s="1"/>
  <c r="E89" i="5"/>
  <c r="E90" i="5" s="1"/>
  <c r="F24" i="5"/>
  <c r="G23" i="5" s="1"/>
  <c r="G21" i="5"/>
  <c r="G22" i="5" s="1"/>
  <c r="H53" i="2"/>
  <c r="H55" i="2" s="1"/>
  <c r="B58" i="4"/>
  <c r="D30" i="4"/>
  <c r="E29" i="4" s="1"/>
  <c r="E27" i="4"/>
  <c r="E28" i="4" s="1"/>
  <c r="H24" i="3"/>
  <c r="I21" i="3"/>
  <c r="I22" i="3" s="1"/>
  <c r="B27" i="2"/>
  <c r="D29" i="6" l="1"/>
  <c r="J27" i="6"/>
  <c r="K27" i="6" s="1"/>
  <c r="G23" i="16"/>
  <c r="G25" i="16" s="1"/>
  <c r="H24" i="16"/>
  <c r="I25" i="18"/>
  <c r="I52" i="2"/>
  <c r="I53" i="2" s="1"/>
  <c r="F27" i="13"/>
  <c r="F28" i="13" s="1"/>
  <c r="D30" i="13"/>
  <c r="E29" i="13" s="1"/>
  <c r="E30" i="13" s="1"/>
  <c r="F29" i="13" s="1"/>
  <c r="B27" i="12"/>
  <c r="G68" i="11"/>
  <c r="H67" i="11" s="1"/>
  <c r="H65" i="11"/>
  <c r="H66" i="11" s="1"/>
  <c r="J90" i="10"/>
  <c r="K90" i="10" s="1"/>
  <c r="D92" i="10"/>
  <c r="D93" i="10" s="1"/>
  <c r="E92" i="10" s="1"/>
  <c r="D30" i="10"/>
  <c r="E29" i="10" s="1"/>
  <c r="E90" i="10"/>
  <c r="E91" i="10" s="1"/>
  <c r="G61" i="10"/>
  <c r="H60" i="10" s="1"/>
  <c r="H58" i="10"/>
  <c r="H59" i="10" s="1"/>
  <c r="E27" i="10"/>
  <c r="E28" i="10" s="1"/>
  <c r="G92" i="9"/>
  <c r="H91" i="9" s="1"/>
  <c r="H89" i="9"/>
  <c r="H90" i="9" s="1"/>
  <c r="G58" i="9"/>
  <c r="G59" i="9" s="1"/>
  <c r="D61" i="9"/>
  <c r="E60" i="9" s="1"/>
  <c r="E61" i="9" s="1"/>
  <c r="F60" i="9" s="1"/>
  <c r="F61" i="9" s="1"/>
  <c r="G60" i="9" s="1"/>
  <c r="H24" i="9"/>
  <c r="I21" i="9"/>
  <c r="I22" i="9" s="1"/>
  <c r="B27" i="9" s="1"/>
  <c r="F92" i="8"/>
  <c r="G91" i="8" s="1"/>
  <c r="G89" i="8"/>
  <c r="G90" i="8" s="1"/>
  <c r="H61" i="8"/>
  <c r="I58" i="8"/>
  <c r="I59" i="8" s="1"/>
  <c r="E30" i="8"/>
  <c r="F29" i="8" s="1"/>
  <c r="F27" i="8"/>
  <c r="F28" i="8" s="1"/>
  <c r="E30" i="7"/>
  <c r="F29" i="7" s="1"/>
  <c r="F27" i="7"/>
  <c r="F28" i="7" s="1"/>
  <c r="D30" i="6"/>
  <c r="E29" i="6" s="1"/>
  <c r="E30" i="6" s="1"/>
  <c r="F29" i="6" s="1"/>
  <c r="F27" i="6"/>
  <c r="F28" i="6" s="1"/>
  <c r="D60" i="5"/>
  <c r="D58" i="5"/>
  <c r="D59" i="5" s="1"/>
  <c r="E58" i="5" s="1"/>
  <c r="E59" i="5" s="1"/>
  <c r="D154" i="5"/>
  <c r="E153" i="5" s="1"/>
  <c r="E154" i="5" s="1"/>
  <c r="F153" i="5" s="1"/>
  <c r="F151" i="5"/>
  <c r="F152" i="5" s="1"/>
  <c r="D122" i="5"/>
  <c r="J120" i="5"/>
  <c r="K120" i="5" s="1"/>
  <c r="D120" i="5"/>
  <c r="D121" i="5" s="1"/>
  <c r="D123" i="5" s="1"/>
  <c r="E122" i="5" s="1"/>
  <c r="E92" i="5"/>
  <c r="F91" i="5" s="1"/>
  <c r="F89" i="5"/>
  <c r="F90" i="5" s="1"/>
  <c r="G24" i="5"/>
  <c r="H23" i="5" s="1"/>
  <c r="H21" i="5"/>
  <c r="H22" i="5" s="1"/>
  <c r="D58" i="4"/>
  <c r="D59" i="4" s="1"/>
  <c r="D60" i="4"/>
  <c r="J58" i="4"/>
  <c r="K58" i="4" s="1"/>
  <c r="E58" i="4"/>
  <c r="E59" i="4" s="1"/>
  <c r="E30" i="4"/>
  <c r="F29" i="4" s="1"/>
  <c r="F27" i="4"/>
  <c r="F28" i="4" s="1"/>
  <c r="B27" i="3"/>
  <c r="D27" i="2"/>
  <c r="D28" i="2" s="1"/>
  <c r="E27" i="2" s="1"/>
  <c r="E28" i="2" s="1"/>
  <c r="F27" i="2" s="1"/>
  <c r="F28" i="2" s="1"/>
  <c r="D29" i="2"/>
  <c r="J27" i="2"/>
  <c r="K27" i="2" s="1"/>
  <c r="I24" i="16" l="1"/>
  <c r="H23" i="16"/>
  <c r="H25" i="16" s="1"/>
  <c r="I23" i="16" s="1"/>
  <c r="F30" i="13"/>
  <c r="G29" i="13" s="1"/>
  <c r="G27" i="13"/>
  <c r="G28" i="13" s="1"/>
  <c r="J27" i="12"/>
  <c r="K27" i="12" s="1"/>
  <c r="D27" i="12"/>
  <c r="D28" i="12" s="1"/>
  <c r="D29" i="12"/>
  <c r="H68" i="11"/>
  <c r="I65" i="11"/>
  <c r="I66" i="11" s="1"/>
  <c r="B71" i="11" s="1"/>
  <c r="E93" i="10"/>
  <c r="F92" i="10" s="1"/>
  <c r="F90" i="10"/>
  <c r="F91" i="10" s="1"/>
  <c r="H61" i="10"/>
  <c r="I58" i="10"/>
  <c r="I59" i="10" s="1"/>
  <c r="E30" i="10"/>
  <c r="F29" i="10" s="1"/>
  <c r="F27" i="10"/>
  <c r="F28" i="10" s="1"/>
  <c r="H92" i="9"/>
  <c r="I89" i="9"/>
  <c r="I90" i="9" s="1"/>
  <c r="G61" i="9"/>
  <c r="H60" i="9" s="1"/>
  <c r="H58" i="9"/>
  <c r="H59" i="9" s="1"/>
  <c r="J27" i="9"/>
  <c r="K27" i="9" s="1"/>
  <c r="D27" i="9"/>
  <c r="D28" i="9" s="1"/>
  <c r="D29" i="9"/>
  <c r="G92" i="8"/>
  <c r="H91" i="8" s="1"/>
  <c r="H89" i="8"/>
  <c r="H90" i="8" s="1"/>
  <c r="F30" i="8"/>
  <c r="G29" i="8" s="1"/>
  <c r="G27" i="8"/>
  <c r="G28" i="8" s="1"/>
  <c r="F30" i="7"/>
  <c r="G29" i="7" s="1"/>
  <c r="G27" i="7"/>
  <c r="G28" i="7" s="1"/>
  <c r="F30" i="6"/>
  <c r="G29" i="6" s="1"/>
  <c r="G27" i="6"/>
  <c r="G28" i="6" s="1"/>
  <c r="D61" i="5"/>
  <c r="E60" i="5" s="1"/>
  <c r="E61" i="5" s="1"/>
  <c r="F60" i="5" s="1"/>
  <c r="F154" i="5"/>
  <c r="G153" i="5" s="1"/>
  <c r="G151" i="5"/>
  <c r="G152" i="5" s="1"/>
  <c r="E120" i="5"/>
  <c r="E121" i="5" s="1"/>
  <c r="F92" i="5"/>
  <c r="G91" i="5" s="1"/>
  <c r="G89" i="5"/>
  <c r="G90" i="5" s="1"/>
  <c r="F58" i="5"/>
  <c r="F59" i="5" s="1"/>
  <c r="H24" i="5"/>
  <c r="I21" i="5"/>
  <c r="I22" i="5" s="1"/>
  <c r="B58" i="2"/>
  <c r="D61" i="4"/>
  <c r="E60" i="4" s="1"/>
  <c r="E61" i="4" s="1"/>
  <c r="F60" i="4" s="1"/>
  <c r="F58" i="4"/>
  <c r="F59" i="4" s="1"/>
  <c r="F30" i="4"/>
  <c r="G29" i="4" s="1"/>
  <c r="G27" i="4"/>
  <c r="G28" i="4" s="1"/>
  <c r="D27" i="3"/>
  <c r="D28" i="3" s="1"/>
  <c r="E27" i="3" s="1"/>
  <c r="E28" i="3" s="1"/>
  <c r="J27" i="3"/>
  <c r="K27" i="3" s="1"/>
  <c r="D29" i="3"/>
  <c r="G27" i="2"/>
  <c r="G28" i="2" s="1"/>
  <c r="D30" i="2"/>
  <c r="E29" i="2" s="1"/>
  <c r="E30" i="2" s="1"/>
  <c r="F29" i="2" s="1"/>
  <c r="F30" i="2" s="1"/>
  <c r="G29" i="2" s="1"/>
  <c r="I25" i="16" l="1"/>
  <c r="J58" i="2"/>
  <c r="K58" i="2" s="1"/>
  <c r="D58" i="2"/>
  <c r="D59" i="2" s="1"/>
  <c r="E58" i="2" s="1"/>
  <c r="E59" i="2" s="1"/>
  <c r="F58" i="2" s="1"/>
  <c r="F59" i="2" s="1"/>
  <c r="J71" i="11"/>
  <c r="K71" i="11" s="1"/>
  <c r="D73" i="11"/>
  <c r="D71" i="11"/>
  <c r="D72" i="11" s="1"/>
  <c r="G30" i="13"/>
  <c r="H29" i="13" s="1"/>
  <c r="H27" i="13"/>
  <c r="H28" i="13" s="1"/>
  <c r="D30" i="12"/>
  <c r="E29" i="12" s="1"/>
  <c r="E27" i="12"/>
  <c r="E28" i="12" s="1"/>
  <c r="F93" i="10"/>
  <c r="G92" i="10" s="1"/>
  <c r="G90" i="10"/>
  <c r="G91" i="10" s="1"/>
  <c r="F30" i="10"/>
  <c r="G29" i="10" s="1"/>
  <c r="G27" i="10"/>
  <c r="G28" i="10" s="1"/>
  <c r="H61" i="9"/>
  <c r="I58" i="9"/>
  <c r="I59" i="9" s="1"/>
  <c r="D30" i="9"/>
  <c r="E29" i="9" s="1"/>
  <c r="E27" i="9"/>
  <c r="E28" i="9" s="1"/>
  <c r="H92" i="8"/>
  <c r="I89" i="8"/>
  <c r="I90" i="8" s="1"/>
  <c r="G30" i="8"/>
  <c r="H29" i="8" s="1"/>
  <c r="H27" i="8"/>
  <c r="H28" i="8" s="1"/>
  <c r="G30" i="7"/>
  <c r="H29" i="7" s="1"/>
  <c r="H27" i="7"/>
  <c r="H28" i="7" s="1"/>
  <c r="G30" i="6"/>
  <c r="H29" i="6" s="1"/>
  <c r="H27" i="6"/>
  <c r="H28" i="6" s="1"/>
  <c r="B27" i="5"/>
  <c r="G154" i="5"/>
  <c r="H153" i="5" s="1"/>
  <c r="H151" i="5"/>
  <c r="H152" i="5" s="1"/>
  <c r="E123" i="5"/>
  <c r="F122" i="5" s="1"/>
  <c r="F120" i="5"/>
  <c r="F121" i="5" s="1"/>
  <c r="G92" i="5"/>
  <c r="H91" i="5" s="1"/>
  <c r="H89" i="5"/>
  <c r="H90" i="5" s="1"/>
  <c r="F61" i="5"/>
  <c r="G60" i="5" s="1"/>
  <c r="G58" i="5"/>
  <c r="G59" i="5" s="1"/>
  <c r="D29" i="5"/>
  <c r="J27" i="5"/>
  <c r="K27" i="5" s="1"/>
  <c r="D27" i="5"/>
  <c r="D28" i="5" s="1"/>
  <c r="D30" i="5" s="1"/>
  <c r="E29" i="5" s="1"/>
  <c r="D60" i="2"/>
  <c r="F61" i="4"/>
  <c r="G60" i="4" s="1"/>
  <c r="G58" i="4"/>
  <c r="G59" i="4" s="1"/>
  <c r="G30" i="4"/>
  <c r="H29" i="4" s="1"/>
  <c r="H27" i="4"/>
  <c r="H28" i="4" s="1"/>
  <c r="D30" i="3"/>
  <c r="E29" i="3" s="1"/>
  <c r="E30" i="3" s="1"/>
  <c r="F29" i="3" s="1"/>
  <c r="F27" i="3"/>
  <c r="F28" i="3" s="1"/>
  <c r="G30" i="2"/>
  <c r="H29" i="2" s="1"/>
  <c r="H27" i="2"/>
  <c r="H28" i="2" s="1"/>
  <c r="D61" i="2" l="1"/>
  <c r="E60" i="2" s="1"/>
  <c r="E61" i="2" s="1"/>
  <c r="F60" i="2" s="1"/>
  <c r="F61" i="2" s="1"/>
  <c r="G60" i="2" s="1"/>
  <c r="E71" i="11"/>
  <c r="E72" i="11" s="1"/>
  <c r="F71" i="11" s="1"/>
  <c r="F72" i="11" s="1"/>
  <c r="D74" i="11"/>
  <c r="E73" i="11" s="1"/>
  <c r="E74" i="11" s="1"/>
  <c r="F73" i="11" s="1"/>
  <c r="H30" i="13"/>
  <c r="I27" i="13"/>
  <c r="I28" i="13" s="1"/>
  <c r="B33" i="13" s="1"/>
  <c r="E30" i="12"/>
  <c r="F29" i="12" s="1"/>
  <c r="F27" i="12"/>
  <c r="F28" i="12" s="1"/>
  <c r="G93" i="10"/>
  <c r="H92" i="10" s="1"/>
  <c r="H90" i="10"/>
  <c r="H91" i="10" s="1"/>
  <c r="G30" i="10"/>
  <c r="H29" i="10" s="1"/>
  <c r="H27" i="10"/>
  <c r="H28" i="10" s="1"/>
  <c r="E30" i="9"/>
  <c r="F29" i="9" s="1"/>
  <c r="F27" i="9"/>
  <c r="F28" i="9" s="1"/>
  <c r="H30" i="8"/>
  <c r="I27" i="8"/>
  <c r="I28" i="8" s="1"/>
  <c r="H30" i="7"/>
  <c r="I27" i="7"/>
  <c r="I28" i="7" s="1"/>
  <c r="H30" i="6"/>
  <c r="I27" i="6"/>
  <c r="I28" i="6" s="1"/>
  <c r="B33" i="6" s="1"/>
  <c r="E27" i="5"/>
  <c r="E28" i="5" s="1"/>
  <c r="H154" i="5"/>
  <c r="I151" i="5"/>
  <c r="I152" i="5" s="1"/>
  <c r="F123" i="5"/>
  <c r="G122" i="5" s="1"/>
  <c r="G120" i="5"/>
  <c r="G121" i="5" s="1"/>
  <c r="H92" i="5"/>
  <c r="I89" i="5"/>
  <c r="I90" i="5" s="1"/>
  <c r="G61" i="5"/>
  <c r="H60" i="5" s="1"/>
  <c r="H58" i="5"/>
  <c r="H59" i="5" s="1"/>
  <c r="E30" i="5"/>
  <c r="F29" i="5" s="1"/>
  <c r="F27" i="5"/>
  <c r="F28" i="5" s="1"/>
  <c r="G61" i="4"/>
  <c r="H60" i="4" s="1"/>
  <c r="H58" i="4"/>
  <c r="H59" i="4" s="1"/>
  <c r="H30" i="4"/>
  <c r="I27" i="4"/>
  <c r="I28" i="4" s="1"/>
  <c r="F30" i="3"/>
  <c r="G29" i="3" s="1"/>
  <c r="G27" i="3"/>
  <c r="G28" i="3" s="1"/>
  <c r="G58" i="2"/>
  <c r="G59" i="2" s="1"/>
  <c r="H30" i="2"/>
  <c r="I27" i="2"/>
  <c r="I28" i="2" s="1"/>
  <c r="D33" i="13" l="1"/>
  <c r="D34" i="13" s="1"/>
  <c r="J33" i="13"/>
  <c r="K33" i="13" s="1"/>
  <c r="D35" i="13"/>
  <c r="E33" i="13"/>
  <c r="E34" i="13" s="1"/>
  <c r="F33" i="13" s="1"/>
  <c r="F34" i="13" s="1"/>
  <c r="G33" i="13" s="1"/>
  <c r="G34" i="13" s="1"/>
  <c r="H33" i="13" s="1"/>
  <c r="H34" i="13" s="1"/>
  <c r="I33" i="13" s="1"/>
  <c r="I34" i="13" s="1"/>
  <c r="J33" i="6"/>
  <c r="K33" i="6" s="1"/>
  <c r="D33" i="6"/>
  <c r="D34" i="6" s="1"/>
  <c r="D35" i="6"/>
  <c r="E33" i="6"/>
  <c r="E34" i="6" s="1"/>
  <c r="F33" i="6"/>
  <c r="F34" i="6" s="1"/>
  <c r="G33" i="6"/>
  <c r="G34" i="6" s="1"/>
  <c r="H33" i="6"/>
  <c r="H34" i="6" s="1"/>
  <c r="I33" i="6" s="1"/>
  <c r="I34" i="6" s="1"/>
  <c r="F74" i="11"/>
  <c r="G73" i="11" s="1"/>
  <c r="G71" i="11"/>
  <c r="G72" i="11" s="1"/>
  <c r="F30" i="12"/>
  <c r="G29" i="12" s="1"/>
  <c r="G27" i="12"/>
  <c r="G28" i="12" s="1"/>
  <c r="H93" i="10"/>
  <c r="I90" i="10"/>
  <c r="I91" i="10" s="1"/>
  <c r="H30" i="10"/>
  <c r="I27" i="10"/>
  <c r="I28" i="10" s="1"/>
  <c r="F30" i="9"/>
  <c r="G29" i="9" s="1"/>
  <c r="G27" i="9"/>
  <c r="G28" i="9" s="1"/>
  <c r="G123" i="5"/>
  <c r="H122" i="5" s="1"/>
  <c r="H120" i="5"/>
  <c r="H121" i="5" s="1"/>
  <c r="H61" i="5"/>
  <c r="I58" i="5"/>
  <c r="I59" i="5" s="1"/>
  <c r="F30" i="5"/>
  <c r="G29" i="5" s="1"/>
  <c r="G27" i="5"/>
  <c r="G28" i="5" s="1"/>
  <c r="H61" i="4"/>
  <c r="I58" i="4"/>
  <c r="I59" i="4" s="1"/>
  <c r="G30" i="3"/>
  <c r="H29" i="3" s="1"/>
  <c r="H27" i="3"/>
  <c r="H28" i="3" s="1"/>
  <c r="G61" i="2"/>
  <c r="H60" i="2" s="1"/>
  <c r="H58" i="2"/>
  <c r="H59" i="2" s="1"/>
  <c r="D36" i="13" l="1"/>
  <c r="E35" i="13" s="1"/>
  <c r="E36" i="13" s="1"/>
  <c r="F35" i="13" s="1"/>
  <c r="F36" i="13" s="1"/>
  <c r="G35" i="13" s="1"/>
  <c r="G36" i="13" s="1"/>
  <c r="H35" i="13" s="1"/>
  <c r="H36" i="13" s="1"/>
  <c r="F36" i="6"/>
  <c r="G35" i="6" s="1"/>
  <c r="G36" i="6" s="1"/>
  <c r="H35" i="6" s="1"/>
  <c r="H36" i="6" s="1"/>
  <c r="E36" i="6"/>
  <c r="F35" i="6" s="1"/>
  <c r="D36" i="6"/>
  <c r="E35" i="6" s="1"/>
  <c r="G74" i="11"/>
  <c r="H73" i="11" s="1"/>
  <c r="H71" i="11"/>
  <c r="H72" i="11" s="1"/>
  <c r="G30" i="12"/>
  <c r="H29" i="12" s="1"/>
  <c r="H27" i="12"/>
  <c r="H28" i="12" s="1"/>
  <c r="G30" i="9"/>
  <c r="H29" i="9" s="1"/>
  <c r="H27" i="9"/>
  <c r="H28" i="9" s="1"/>
  <c r="H123" i="5"/>
  <c r="I120" i="5"/>
  <c r="I121" i="5" s="1"/>
  <c r="G30" i="5"/>
  <c r="H29" i="5" s="1"/>
  <c r="H27" i="5"/>
  <c r="H28" i="5" s="1"/>
  <c r="H30" i="3"/>
  <c r="I27" i="3"/>
  <c r="I28" i="3" s="1"/>
  <c r="B33" i="3" s="1"/>
  <c r="H61" i="2"/>
  <c r="I58" i="2"/>
  <c r="I59" i="2" s="1"/>
  <c r="B64" i="2" l="1"/>
  <c r="J64" i="2" s="1"/>
  <c r="K64" i="2" s="1"/>
  <c r="J33" i="3"/>
  <c r="K33" i="3" s="1"/>
  <c r="D35" i="3"/>
  <c r="D33" i="3"/>
  <c r="D34" i="3" s="1"/>
  <c r="E33" i="3"/>
  <c r="E34" i="3" s="1"/>
  <c r="F33" i="3"/>
  <c r="F34" i="3" s="1"/>
  <c r="G33" i="3" s="1"/>
  <c r="G34" i="3" s="1"/>
  <c r="H33" i="3" s="1"/>
  <c r="H34" i="3" s="1"/>
  <c r="I33" i="3" s="1"/>
  <c r="I34" i="3" s="1"/>
  <c r="H74" i="11"/>
  <c r="I71" i="11"/>
  <c r="I72" i="11" s="1"/>
  <c r="H30" i="12"/>
  <c r="I27" i="12"/>
  <c r="I28" i="12" s="1"/>
  <c r="H30" i="9"/>
  <c r="I27" i="9"/>
  <c r="I28" i="9" s="1"/>
  <c r="H30" i="5"/>
  <c r="I27" i="5"/>
  <c r="I28" i="5" s="1"/>
  <c r="D66" i="2" l="1"/>
  <c r="D64" i="2"/>
  <c r="D65" i="2" s="1"/>
  <c r="E64" i="2" s="1"/>
  <c r="E65" i="2" s="1"/>
  <c r="F64" i="2" s="1"/>
  <c r="F65" i="2" s="1"/>
  <c r="G64" i="2" s="1"/>
  <c r="G65" i="2" s="1"/>
  <c r="D36" i="3"/>
  <c r="E35" i="3" s="1"/>
  <c r="E36" i="3" s="1"/>
  <c r="F35" i="3" s="1"/>
  <c r="F36" i="3" s="1"/>
  <c r="G35" i="3" s="1"/>
  <c r="G36" i="3" s="1"/>
  <c r="H35" i="3" s="1"/>
  <c r="H36" i="3" s="1"/>
  <c r="D67" i="2" l="1"/>
  <c r="E66" i="2" s="1"/>
  <c r="E67" i="2" s="1"/>
  <c r="F66" i="2" s="1"/>
  <c r="F67" i="2" s="1"/>
  <c r="G66" i="2" s="1"/>
  <c r="G67" i="2" s="1"/>
  <c r="H66" i="2" s="1"/>
  <c r="H64" i="2"/>
  <c r="H65" i="2" s="1"/>
  <c r="H67" i="2" l="1"/>
  <c r="I64" i="2"/>
  <c r="I65" i="2" s="1"/>
  <c r="B70" i="2" l="1"/>
  <c r="J70" i="2" s="1"/>
  <c r="K70" i="2" s="1"/>
  <c r="D70" i="2" l="1"/>
  <c r="D71" i="2" s="1"/>
  <c r="D72" i="2"/>
  <c r="D73" i="2" l="1"/>
  <c r="E72" i="2" s="1"/>
  <c r="E70" i="2"/>
  <c r="E71" i="2" s="1"/>
  <c r="E73" i="2" s="1"/>
  <c r="F72" i="2" s="1"/>
  <c r="F70" i="2" l="1"/>
  <c r="F71" i="2" s="1"/>
  <c r="F73" i="2"/>
  <c r="G72" i="2" s="1"/>
  <c r="G70" i="2"/>
  <c r="G71" i="2" s="1"/>
  <c r="G73" i="2" l="1"/>
  <c r="H72" i="2" s="1"/>
  <c r="H70" i="2"/>
  <c r="H71" i="2" s="1"/>
  <c r="H73" i="2" l="1"/>
  <c r="I70" i="2"/>
  <c r="I71" i="2" s="1"/>
  <c r="E56" i="15" l="1"/>
  <c r="E57" i="15" s="1"/>
  <c r="M55" i="15"/>
  <c r="N57" i="15" s="1"/>
  <c r="B57" i="15"/>
  <c r="F56" i="15"/>
  <c r="F55" i="15" l="1"/>
  <c r="F57" i="15" s="1"/>
  <c r="G56" i="15"/>
  <c r="N56" i="15"/>
  <c r="O56" i="15"/>
  <c r="O57" i="15"/>
  <c r="M56" i="15"/>
  <c r="M57" i="15" s="1"/>
  <c r="P56" i="15"/>
  <c r="G55" i="15" l="1"/>
  <c r="G57" i="15" s="1"/>
  <c r="H56" i="15"/>
  <c r="I56" i="15" l="1"/>
  <c r="B61" i="15"/>
  <c r="H55" i="15"/>
  <c r="H57" i="15" s="1"/>
  <c r="I55" i="15" s="1"/>
  <c r="I57" i="15" l="1"/>
  <c r="E61" i="15"/>
  <c r="B60" i="15"/>
  <c r="M60" i="15" l="1"/>
  <c r="D60" i="15"/>
  <c r="D62" i="15" s="1"/>
  <c r="F61" i="15" s="1"/>
  <c r="B62" i="15"/>
  <c r="J62" i="15" s="1"/>
  <c r="K62" i="15" s="1"/>
  <c r="E60" i="15" l="1"/>
  <c r="E62" i="15" s="1"/>
  <c r="P61" i="15"/>
  <c r="O61" i="15"/>
  <c r="O62" i="15"/>
  <c r="M62" i="15"/>
  <c r="M61" i="15"/>
  <c r="G61" i="15" l="1"/>
  <c r="F60" i="15"/>
  <c r="F62" i="15" s="1"/>
  <c r="H61" i="15" l="1"/>
  <c r="G60" i="15"/>
  <c r="G62" i="15" s="1"/>
  <c r="B66" i="15" l="1"/>
  <c r="I61" i="15"/>
  <c r="H60" i="15"/>
  <c r="H62" i="15" s="1"/>
  <c r="I60" i="15" s="1"/>
  <c r="I62" i="15" l="1"/>
  <c r="B65" i="15"/>
  <c r="E66" i="15"/>
  <c r="D65" i="15" l="1"/>
  <c r="D67" i="15" s="1"/>
  <c r="F66" i="15" s="1"/>
  <c r="B67" i="15"/>
  <c r="J67" i="15" s="1"/>
  <c r="K67" i="15" s="1"/>
  <c r="M65" i="15"/>
  <c r="E65" i="15" l="1"/>
  <c r="E67" i="15" s="1"/>
  <c r="G66" i="15" s="1"/>
  <c r="M67" i="15"/>
  <c r="M66" i="15"/>
  <c r="O67" i="15"/>
  <c r="O66" i="15"/>
  <c r="P66" i="15"/>
  <c r="F65" i="15" l="1"/>
  <c r="F67" i="15" s="1"/>
  <c r="H66" i="15" s="1"/>
  <c r="G65" i="15" l="1"/>
  <c r="G67" i="15" s="1"/>
  <c r="B71" i="15" l="1"/>
  <c r="I66" i="15"/>
  <c r="H65" i="15"/>
  <c r="H67" i="15" s="1"/>
  <c r="I65" i="15" s="1"/>
  <c r="I67" i="15" l="1"/>
  <c r="E71" i="15"/>
  <c r="B70" i="15"/>
  <c r="M70" i="15" l="1"/>
  <c r="D70" i="15"/>
  <c r="D72" i="15" s="1"/>
  <c r="F71" i="15" s="1"/>
  <c r="B72" i="15"/>
  <c r="J72" i="15" s="1"/>
  <c r="K72" i="15" s="1"/>
  <c r="E70" i="15" l="1"/>
  <c r="E72" i="15" s="1"/>
  <c r="G71" i="15" s="1"/>
  <c r="O72" i="15"/>
  <c r="M71" i="15"/>
  <c r="M72" i="15"/>
  <c r="P71" i="15"/>
  <c r="O71" i="15"/>
  <c r="F70" i="15" l="1"/>
  <c r="F72" i="15" s="1"/>
  <c r="G70" i="15" s="1"/>
  <c r="G72" i="15" s="1"/>
  <c r="H71" i="15" l="1"/>
  <c r="H70" i="15"/>
  <c r="B76" i="15"/>
  <c r="I71" i="15"/>
  <c r="H72" i="15" l="1"/>
  <c r="I70" i="15" s="1"/>
  <c r="I72" i="15" s="1"/>
  <c r="B75" i="15"/>
  <c r="E76" i="15"/>
  <c r="D75" i="15" l="1"/>
  <c r="D77" i="15" s="1"/>
  <c r="F76" i="15" s="1"/>
  <c r="M75" i="15"/>
  <c r="B77" i="15"/>
  <c r="J77" i="15" s="1"/>
  <c r="K77" i="15" s="1"/>
  <c r="E75" i="15" l="1"/>
  <c r="E77" i="15" s="1"/>
  <c r="M77" i="15"/>
  <c r="O76" i="15"/>
  <c r="O77" i="15"/>
  <c r="M76" i="15"/>
  <c r="P76" i="15"/>
  <c r="G76" i="15" l="1"/>
  <c r="F75" i="15"/>
  <c r="F77" i="15" s="1"/>
  <c r="H76" i="15" l="1"/>
  <c r="G75" i="15"/>
  <c r="G77" i="15" s="1"/>
  <c r="I76" i="15" l="1"/>
  <c r="H75" i="15"/>
  <c r="H77" i="15" s="1"/>
  <c r="I75" i="15" s="1"/>
  <c r="I77" i="15" l="1"/>
</calcChain>
</file>

<file path=xl/sharedStrings.xml><?xml version="1.0" encoding="utf-8"?>
<sst xmlns="http://schemas.openxmlformats.org/spreadsheetml/2006/main" count="1560" uniqueCount="47">
  <si>
    <t>Newton-Raphson</t>
  </si>
  <si>
    <t>a6</t>
  </si>
  <si>
    <t>a5</t>
  </si>
  <si>
    <t>a4</t>
  </si>
  <si>
    <t>a3</t>
  </si>
  <si>
    <t>a2</t>
  </si>
  <si>
    <t>a1</t>
  </si>
  <si>
    <t>a0</t>
  </si>
  <si>
    <t>x0</t>
  </si>
  <si>
    <t>ea</t>
  </si>
  <si>
    <t>er%</t>
  </si>
  <si>
    <t>x1</t>
  </si>
  <si>
    <t>x2</t>
  </si>
  <si>
    <t>x3</t>
  </si>
  <si>
    <t>x4</t>
  </si>
  <si>
    <t>x5</t>
  </si>
  <si>
    <t>x6</t>
  </si>
  <si>
    <t>LIN 1</t>
  </si>
  <si>
    <t>fc0</t>
  </si>
  <si>
    <t>p</t>
  </si>
  <si>
    <t>p^2+4q=</t>
  </si>
  <si>
    <t>q</t>
  </si>
  <si>
    <t>x1=</t>
  </si>
  <si>
    <t>norma</t>
  </si>
  <si>
    <t>x2=</t>
  </si>
  <si>
    <t>i</t>
  </si>
  <si>
    <t>fc1</t>
  </si>
  <si>
    <t>RADICANDO</t>
  </si>
  <si>
    <t>p*</t>
  </si>
  <si>
    <t>q*</t>
  </si>
  <si>
    <t>+</t>
  </si>
  <si>
    <t>fc2</t>
  </si>
  <si>
    <t>fc3</t>
  </si>
  <si>
    <t>fc4</t>
  </si>
  <si>
    <t>LIN</t>
  </si>
  <si>
    <t>con -1,1</t>
  </si>
  <si>
    <t>con -1,-1</t>
  </si>
  <si>
    <t>REVISAR RAÍCES IMAGINARIAS</t>
  </si>
  <si>
    <t>con -1 y -1</t>
  </si>
  <si>
    <t>¿</t>
  </si>
  <si>
    <t>con 1,-1</t>
  </si>
  <si>
    <t>LIN 2</t>
  </si>
  <si>
    <t>b0</t>
  </si>
  <si>
    <t>b1</t>
  </si>
  <si>
    <t>b2</t>
  </si>
  <si>
    <t>b3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</si>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</sst>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"/>
  </numFmts>
  <fonts count="1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Rockwell Nova Light"/>
      <family val="1"/>
    </font>
    <font>
      <sz val="12"/>
      <color theme="1"/>
      <name val="Rockwell Nova Light"/>
      <family val="1"/>
    </font>
    <font>
      <b/>
      <sz val="12"/>
      <color theme="0"/>
      <name val="Rockwell Nova Light"/>
      <family val="1"/>
    </font>
    <font>
      <sz val="12"/>
      <name val="Rockwell Nova Light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1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0" fontId="0" fillId="0" borderId="6" xfId="0" applyBorder="1"/>
    <xf numFmtId="164" fontId="2" fillId="0" borderId="3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3" fillId="6" borderId="5" xfId="0" applyNumberFormat="1" applyFont="1" applyFill="1" applyBorder="1" applyAlignment="1">
      <alignment horizontal="center" vertical="center"/>
    </xf>
    <xf numFmtId="164" fontId="3" fillId="7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3" fillId="6" borderId="2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5" fillId="2" borderId="0" xfId="0" applyFont="1" applyFill="1" applyAlignment="1">
      <alignment horizontal="center" vertical="center"/>
    </xf>
    <xf numFmtId="0" fontId="2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4" fillId="0" borderId="14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0" fontId="2" fillId="0" borderId="17" xfId="0" applyFont="1" applyBorder="1"/>
    <xf numFmtId="0" fontId="2" fillId="0" borderId="5" xfId="0" applyFont="1" applyBorder="1" applyAlignment="1">
      <alignment horizontal="center" vertical="center"/>
    </xf>
    <xf numFmtId="164" fontId="3" fillId="5" borderId="4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0" fontId="0" fillId="0" borderId="15" xfId="0" applyBorder="1"/>
    <xf numFmtId="164" fontId="3" fillId="5" borderId="3" xfId="0" applyNumberFormat="1" applyFont="1" applyFill="1" applyBorder="1" applyAlignment="1">
      <alignment horizontal="center" vertical="center"/>
    </xf>
    <xf numFmtId="164" fontId="3" fillId="5" borderId="11" xfId="0" applyNumberFormat="1" applyFont="1" applyFill="1" applyBorder="1" applyAlignment="1">
      <alignment horizontal="center" vertical="center"/>
    </xf>
    <xf numFmtId="0" fontId="0" fillId="0" borderId="16" xfId="0" applyBorder="1"/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5" fontId="3" fillId="5" borderId="3" xfId="0" applyNumberFormat="1" applyFont="1" applyFill="1" applyBorder="1" applyAlignment="1">
      <alignment horizontal="center" vertical="center"/>
    </xf>
    <xf numFmtId="165" fontId="3" fillId="5" borderId="4" xfId="0" applyNumberFormat="1" applyFont="1" applyFill="1" applyBorder="1" applyAlignment="1">
      <alignment horizontal="center" vertical="center"/>
    </xf>
    <xf numFmtId="0" fontId="1" fillId="8" borderId="0" xfId="0" applyFont="1" applyFill="1"/>
    <xf numFmtId="164" fontId="7" fillId="2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8" fillId="0" borderId="12" xfId="0" applyNumberFormat="1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164" fontId="8" fillId="3" borderId="3" xfId="0" applyNumberFormat="1" applyFont="1" applyFill="1" applyBorder="1" applyAlignment="1">
      <alignment horizontal="center" vertical="center"/>
    </xf>
    <xf numFmtId="164" fontId="8" fillId="10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8" fillId="0" borderId="11" xfId="0" applyNumberFormat="1" applyFont="1" applyBorder="1" applyAlignment="1">
      <alignment horizontal="center" vertical="center"/>
    </xf>
    <xf numFmtId="165" fontId="9" fillId="9" borderId="3" xfId="0" applyNumberFormat="1" applyFont="1" applyFill="1" applyBorder="1" applyAlignment="1">
      <alignment horizontal="center" vertical="center"/>
    </xf>
    <xf numFmtId="165" fontId="9" fillId="9" borderId="4" xfId="0" applyNumberFormat="1" applyFont="1" applyFill="1" applyBorder="1" applyAlignment="1">
      <alignment horizontal="center" vertical="center"/>
    </xf>
    <xf numFmtId="165" fontId="9" fillId="9" borderId="0" xfId="0" applyNumberFormat="1" applyFont="1" applyFill="1" applyAlignment="1">
      <alignment horizontal="center" vertical="center"/>
    </xf>
    <xf numFmtId="164" fontId="9" fillId="9" borderId="0" xfId="0" applyNumberFormat="1" applyFont="1" applyFill="1" applyAlignment="1">
      <alignment horizontal="center" vertical="center"/>
    </xf>
    <xf numFmtId="166" fontId="10" fillId="10" borderId="4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165" fontId="8" fillId="0" borderId="5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 wrapText="1"/>
    </xf>
    <xf numFmtId="165" fontId="8" fillId="0" borderId="20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65" fontId="8" fillId="0" borderId="13" xfId="0" applyNumberFormat="1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/>
    </xf>
    <xf numFmtId="165" fontId="8" fillId="6" borderId="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165" fontId="9" fillId="9" borderId="21" xfId="0" applyNumberFormat="1" applyFont="1" applyFill="1" applyBorder="1" applyAlignment="1">
      <alignment horizontal="center" vertical="center"/>
    </xf>
    <xf numFmtId="164" fontId="9" fillId="9" borderId="11" xfId="0" applyNumberFormat="1" applyFont="1" applyFill="1" applyBorder="1" applyAlignment="1">
      <alignment horizontal="center" vertical="center"/>
    </xf>
    <xf numFmtId="164" fontId="9" fillId="9" borderId="12" xfId="0" applyNumberFormat="1" applyFont="1" applyFill="1" applyBorder="1" applyAlignment="1">
      <alignment horizontal="center" vertical="center"/>
    </xf>
    <xf numFmtId="165" fontId="8" fillId="0" borderId="22" xfId="0" applyNumberFormat="1" applyFont="1" applyBorder="1" applyAlignment="1">
      <alignment horizontal="center" vertical="center"/>
    </xf>
    <xf numFmtId="165" fontId="8" fillId="0" borderId="12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165" fontId="9" fillId="9" borderId="12" xfId="0" applyNumberFormat="1" applyFont="1" applyFill="1" applyBorder="1" applyAlignment="1">
      <alignment horizontal="center" vertical="center"/>
    </xf>
    <xf numFmtId="164" fontId="9" fillId="9" borderId="23" xfId="0" applyNumberFormat="1" applyFont="1" applyFill="1" applyBorder="1" applyAlignment="1">
      <alignment horizontal="center" vertical="center"/>
    </xf>
    <xf numFmtId="165" fontId="8" fillId="0" borderId="18" xfId="0" applyNumberFormat="1" applyFont="1" applyBorder="1" applyAlignment="1">
      <alignment horizontal="center" vertical="center"/>
    </xf>
    <xf numFmtId="165" fontId="8" fillId="0" borderId="3" xfId="0" applyNumberFormat="1" applyFont="1" applyBorder="1" applyAlignment="1">
      <alignment horizontal="center" vertical="center"/>
    </xf>
    <xf numFmtId="165" fontId="9" fillId="9" borderId="5" xfId="0" applyNumberFormat="1" applyFont="1" applyFill="1" applyBorder="1" applyAlignment="1">
      <alignment horizontal="center" vertical="center"/>
    </xf>
    <xf numFmtId="164" fontId="8" fillId="0" borderId="18" xfId="0" applyNumberFormat="1" applyFont="1" applyBorder="1" applyAlignment="1">
      <alignment horizontal="center" vertical="center"/>
    </xf>
    <xf numFmtId="165" fontId="8" fillId="6" borderId="18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166" fontId="10" fillId="3" borderId="3" xfId="0" applyNumberFormat="1" applyFont="1" applyFill="1" applyBorder="1" applyAlignment="1">
      <alignment horizontal="center" vertical="center"/>
    </xf>
    <xf numFmtId="164" fontId="9" fillId="9" borderId="19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9" fillId="9" borderId="3" xfId="0" applyNumberFormat="1" applyFont="1" applyFill="1" applyBorder="1" applyAlignment="1">
      <alignment horizontal="center" vertical="center"/>
    </xf>
    <xf numFmtId="164" fontId="9" fillId="9" borderId="4" xfId="0" applyNumberFormat="1" applyFont="1" applyFill="1" applyBorder="1" applyAlignment="1">
      <alignment horizontal="center" vertical="center"/>
    </xf>
    <xf numFmtId="164" fontId="10" fillId="3" borderId="3" xfId="0" applyNumberFormat="1" applyFont="1" applyFill="1" applyBorder="1" applyAlignment="1">
      <alignment horizontal="center" vertical="center"/>
    </xf>
    <xf numFmtId="164" fontId="10" fillId="10" borderId="4" xfId="0" applyNumberFormat="1" applyFont="1" applyFill="1" applyBorder="1" applyAlignment="1">
      <alignment horizontal="center" vertical="center"/>
    </xf>
    <xf numFmtId="164" fontId="8" fillId="0" borderId="5" xfId="0" applyNumberFormat="1" applyFont="1" applyBorder="1" applyAlignment="1">
      <alignment horizontal="center" vertical="center"/>
    </xf>
    <xf numFmtId="164" fontId="8" fillId="0" borderId="20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8" fillId="0" borderId="13" xfId="0" applyNumberFormat="1" applyFont="1" applyBorder="1" applyAlignment="1">
      <alignment horizontal="center" vertical="center"/>
    </xf>
    <xf numFmtId="164" fontId="8" fillId="6" borderId="2" xfId="0" applyNumberFormat="1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164" fontId="9" fillId="9" borderId="21" xfId="0" applyNumberFormat="1" applyFont="1" applyFill="1" applyBorder="1" applyAlignment="1">
      <alignment horizontal="center" vertical="center"/>
    </xf>
    <xf numFmtId="164" fontId="8" fillId="0" borderId="22" xfId="0" applyNumberFormat="1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/>
    </xf>
    <xf numFmtId="164" fontId="8" fillId="0" borderId="3" xfId="0" applyNumberFormat="1" applyFont="1" applyBorder="1" applyAlignment="1">
      <alignment horizontal="center" vertical="center"/>
    </xf>
    <xf numFmtId="164" fontId="9" fillId="9" borderId="5" xfId="0" applyNumberFormat="1" applyFont="1" applyFill="1" applyBorder="1" applyAlignment="1">
      <alignment horizontal="center" vertical="center"/>
    </xf>
    <xf numFmtId="164" fontId="8" fillId="6" borderId="18" xfId="0" applyNumberFormat="1" applyFont="1" applyFill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/>
    </xf>
    <xf numFmtId="164" fontId="8" fillId="0" borderId="19" xfId="0" applyNumberFormat="1" applyFont="1" applyBorder="1" applyAlignment="1">
      <alignment horizontal="center" vertical="center"/>
    </xf>
    <xf numFmtId="0" fontId="0" fillId="0" borderId="4" xfId="0" applyBorder="1"/>
  </cellXfs>
  <cellStyles count="1">
    <cellStyle name="Normal" xfId="0" builtinId="0"/>
  </cellStyles>
  <dxfs count="244"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 patternType="solid">
          <bgColor theme="9" tint="0.39997558519241921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 patternType="solid">
          <bgColor theme="9" tint="0.39997558519241921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 patternType="solid">
          <bgColor theme="7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 patternType="solid">
          <bgColor theme="9" tint="0.39997558519241921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 patternType="solid">
          <bgColor theme="9" tint="0.39997558519241921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 patternType="solid">
          <bgColor theme="9" tint="0.39997558519241921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 patternType="solid">
          <bgColor theme="9" tint="0.39997558519241921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 patternType="solid">
          <bgColor theme="7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 patternType="solid">
          <bgColor theme="7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 patternType="solid"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 patternType="solid">
          <bgColor theme="9" tint="0.39997558519241921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 patternType="solid"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b/>
        <i/>
        <color rgb="FFFF0000"/>
      </font>
      <fill>
        <patternFill patternType="solid"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 patternType="solid">
          <bgColor theme="7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 patternType="solid">
          <bgColor theme="7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 patternType="solid">
          <bgColor theme="7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 patternType="solid">
          <bgColor theme="7" tint="0.39994506668294322"/>
        </patternFill>
      </fill>
    </dxf>
    <dxf>
      <font>
        <color rgb="FFFF0000"/>
      </font>
      <fill>
        <patternFill patternType="solid">
          <bgColor theme="3" tint="0.89999084444715716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 patternType="solid">
          <bgColor theme="9" tint="0.39997558519241921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 patternType="solid">
          <bgColor theme="9" tint="0.39997558519241921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 patternType="solid">
          <bgColor theme="9" tint="0.39997558519241921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 patternType="solid">
          <bgColor theme="9" tint="0.39997558519241921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 patternType="solid">
          <bgColor theme="9" tint="0.39997558519241921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24033</xdr:colOff>
      <xdr:row>0</xdr:row>
      <xdr:rowOff>78154</xdr:rowOff>
    </xdr:from>
    <xdr:to>
      <xdr:col>18</xdr:col>
      <xdr:colOff>499798</xdr:colOff>
      <xdr:row>18</xdr:row>
      <xdr:rowOff>82055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C348E8B-6137-49DB-91E1-3444673D3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74956" y="78154"/>
          <a:ext cx="5145457" cy="3511055"/>
        </a:xfrm>
        <a:prstGeom prst="rect">
          <a:avLst/>
        </a:prstGeom>
      </xdr:spPr>
    </xdr:pic>
    <xdr:clientData/>
  </xdr:twoCellAnchor>
  <xdr:oneCellAnchor>
    <xdr:from>
      <xdr:col>9</xdr:col>
      <xdr:colOff>350520</xdr:colOff>
      <xdr:row>11</xdr:row>
      <xdr:rowOff>175260</xdr:rowOff>
    </xdr:from>
    <xdr:ext cx="65" cy="172227"/>
    <xdr:sp macro="" textlink="">
      <xdr:nvSpPr>
        <xdr:cNvPr id="5" name="CuadroTexto 5">
          <a:extLst>
            <a:ext uri="{FF2B5EF4-FFF2-40B4-BE49-F238E27FC236}">
              <a16:creationId xmlns:a16="http://schemas.microsoft.com/office/drawing/2014/main" id="{6E5692CE-85EE-49BC-84EB-5AA2664A58F4}"/>
            </a:ext>
          </a:extLst>
        </xdr:cNvPr>
        <xdr:cNvSpPr txBox="1"/>
      </xdr:nvSpPr>
      <xdr:spPr>
        <a:xfrm>
          <a:off x="683514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12</xdr:col>
      <xdr:colOff>0</xdr:colOff>
      <xdr:row>0</xdr:row>
      <xdr:rowOff>0</xdr:rowOff>
    </xdr:from>
    <xdr:ext cx="65" cy="172227"/>
    <xdr:sp macro="" textlink="">
      <xdr:nvSpPr>
        <xdr:cNvPr id="8" name="CuadroTexto 5">
          <a:extLst>
            <a:ext uri="{FF2B5EF4-FFF2-40B4-BE49-F238E27FC236}">
              <a16:creationId xmlns:a16="http://schemas.microsoft.com/office/drawing/2014/main" id="{2EEE61D2-FE17-4954-87EE-BD37D1F3E828}"/>
            </a:ext>
          </a:extLst>
        </xdr:cNvPr>
        <xdr:cNvSpPr txBox="1"/>
      </xdr:nvSpPr>
      <xdr:spPr>
        <a:xfrm>
          <a:off x="683514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12</xdr:col>
      <xdr:colOff>0</xdr:colOff>
      <xdr:row>0</xdr:row>
      <xdr:rowOff>0</xdr:rowOff>
    </xdr:from>
    <xdr:ext cx="65" cy="172227"/>
    <xdr:sp macro="" textlink="">
      <xdr:nvSpPr>
        <xdr:cNvPr id="11" name="CuadroTexto 5">
          <a:extLst>
            <a:ext uri="{FF2B5EF4-FFF2-40B4-BE49-F238E27FC236}">
              <a16:creationId xmlns:a16="http://schemas.microsoft.com/office/drawing/2014/main" id="{5819EB13-FD24-4F74-BB85-37ACAD977218}"/>
            </a:ext>
            <a:ext uri="{147F2762-F138-4A5C-976F-8EAC2B608ADB}">
              <a16:predDERef xmlns:a16="http://schemas.microsoft.com/office/drawing/2014/main" pred="{E2A53403-D361-46B4-8B6A-0DB3524E025D}"/>
            </a:ext>
          </a:extLst>
        </xdr:cNvPr>
        <xdr:cNvSpPr txBox="1"/>
      </xdr:nvSpPr>
      <xdr:spPr>
        <a:xfrm>
          <a:off x="7084695" y="22898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0</xdr:colOff>
      <xdr:row>31</xdr:row>
      <xdr:rowOff>0</xdr:rowOff>
    </xdr:from>
    <xdr:ext cx="0" cy="4152900"/>
    <xdr:pic>
      <xdr:nvPicPr>
        <xdr:cNvPr id="12" name="Imagen 1">
          <a:extLst>
            <a:ext uri="{FF2B5EF4-FFF2-40B4-BE49-F238E27FC236}">
              <a16:creationId xmlns:a16="http://schemas.microsoft.com/office/drawing/2014/main" id="{7139A3B9-79C7-4FDB-A19F-700F59357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16769" y="0"/>
          <a:ext cx="0" cy="4152900"/>
        </a:xfrm>
        <a:prstGeom prst="rect">
          <a:avLst/>
        </a:prstGeom>
      </xdr:spPr>
    </xdr:pic>
    <xdr:clientData/>
  </xdr:oneCellAnchor>
  <xdr:oneCellAnchor>
    <xdr:from>
      <xdr:col>9</xdr:col>
      <xdr:colOff>350520</xdr:colOff>
      <xdr:row>42</xdr:row>
      <xdr:rowOff>175260</xdr:rowOff>
    </xdr:from>
    <xdr:ext cx="65" cy="172227"/>
    <xdr:sp macro="" textlink="">
      <xdr:nvSpPr>
        <xdr:cNvPr id="13" name="CuadroTexto 5">
          <a:extLst>
            <a:ext uri="{FF2B5EF4-FFF2-40B4-BE49-F238E27FC236}">
              <a16:creationId xmlns:a16="http://schemas.microsoft.com/office/drawing/2014/main" id="{B1D15AB4-0326-46F4-B123-FAB0A984BBE9}"/>
            </a:ext>
          </a:extLst>
        </xdr:cNvPr>
        <xdr:cNvSpPr txBox="1"/>
      </xdr:nvSpPr>
      <xdr:spPr>
        <a:xfrm>
          <a:off x="7188982" y="23342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350520</xdr:colOff>
      <xdr:row>11</xdr:row>
      <xdr:rowOff>175260</xdr:rowOff>
    </xdr:from>
    <xdr:ext cx="65" cy="172227"/>
    <xdr:sp macro="" textlink="">
      <xdr:nvSpPr>
        <xdr:cNvPr id="17" name="CuadroTexto 5">
          <a:extLst>
            <a:ext uri="{FF2B5EF4-FFF2-40B4-BE49-F238E27FC236}">
              <a16:creationId xmlns:a16="http://schemas.microsoft.com/office/drawing/2014/main" id="{306B7118-D249-4FC4-AFE4-17345575A04E}"/>
            </a:ext>
            <a:ext uri="{147F2762-F138-4A5C-976F-8EAC2B608ADB}">
              <a16:predDERef xmlns:a16="http://schemas.microsoft.com/office/drawing/2014/main" pred="{0F6C5E67-E0D6-4304-809E-4F56F2E12D90}"/>
            </a:ext>
          </a:extLst>
        </xdr:cNvPr>
        <xdr:cNvSpPr txBox="1"/>
      </xdr:nvSpPr>
      <xdr:spPr>
        <a:xfrm>
          <a:off x="7084695" y="23279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0</xdr:colOff>
      <xdr:row>85</xdr:row>
      <xdr:rowOff>175260</xdr:rowOff>
    </xdr:from>
    <xdr:ext cx="65" cy="172227"/>
    <xdr:sp macro="" textlink="">
      <xdr:nvSpPr>
        <xdr:cNvPr id="3" name="CuadroTexto 5">
          <a:extLst>
            <a:ext uri="{FF2B5EF4-FFF2-40B4-BE49-F238E27FC236}">
              <a16:creationId xmlns:a16="http://schemas.microsoft.com/office/drawing/2014/main" id="{1F1B2DFB-4720-424E-A33B-FA56587111A3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0</xdr:colOff>
      <xdr:row>85</xdr:row>
      <xdr:rowOff>175260</xdr:rowOff>
    </xdr:from>
    <xdr:ext cx="65" cy="172227"/>
    <xdr:sp macro="" textlink="">
      <xdr:nvSpPr>
        <xdr:cNvPr id="4" name="CuadroTexto 5">
          <a:extLst>
            <a:ext uri="{FF2B5EF4-FFF2-40B4-BE49-F238E27FC236}">
              <a16:creationId xmlns:a16="http://schemas.microsoft.com/office/drawing/2014/main" id="{DEF360DE-9AD3-44BC-9647-A9D25A0EAB02}"/>
            </a:ext>
            <a:ext uri="{147F2762-F138-4A5C-976F-8EAC2B608ADB}">
              <a16:predDERef xmlns:a16="http://schemas.microsoft.com/office/drawing/2014/main" pred="{0F6C5E67-E0D6-4304-809E-4F56F2E12D90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309472</xdr:colOff>
      <xdr:row>3</xdr:row>
      <xdr:rowOff>120016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98760B5-1D02-48CF-A234-79B8282BCC49}"/>
            </a:ext>
          </a:extLst>
        </xdr:cNvPr>
        <xdr:cNvSpPr>
          <a:spLocks noChangeAspect="1" noChangeArrowheads="1"/>
        </xdr:cNvSpPr>
      </xdr:nvSpPr>
      <xdr:spPr bwMode="auto">
        <a:xfrm>
          <a:off x="7002780" y="403860"/>
          <a:ext cx="310515" cy="318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11</xdr:row>
      <xdr:rowOff>175260</xdr:rowOff>
    </xdr:from>
    <xdr:ext cx="65" cy="172227"/>
    <xdr:sp macro="" textlink="">
      <xdr:nvSpPr>
        <xdr:cNvPr id="5" name="CuadroTexto 5">
          <a:extLst>
            <a:ext uri="{FF2B5EF4-FFF2-40B4-BE49-F238E27FC236}">
              <a16:creationId xmlns:a16="http://schemas.microsoft.com/office/drawing/2014/main" id="{FB24D57C-2078-4166-9622-2485C9566B90}"/>
            </a:ext>
          </a:extLst>
        </xdr:cNvPr>
        <xdr:cNvSpPr txBox="1"/>
      </xdr:nvSpPr>
      <xdr:spPr>
        <a:xfrm>
          <a:off x="6896100" y="23469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0" cy="4152900"/>
    <xdr:pic>
      <xdr:nvPicPr>
        <xdr:cNvPr id="6" name="Imagen 1">
          <a:extLst>
            <a:ext uri="{FF2B5EF4-FFF2-40B4-BE49-F238E27FC236}">
              <a16:creationId xmlns:a16="http://schemas.microsoft.com/office/drawing/2014/main" id="{228C2C9B-F62C-46D0-929A-C9023E7E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78840" y="0"/>
          <a:ext cx="0" cy="41529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</xdr:row>
      <xdr:rowOff>175260</xdr:rowOff>
    </xdr:from>
    <xdr:ext cx="65" cy="172227"/>
    <xdr:sp macro="" textlink="">
      <xdr:nvSpPr>
        <xdr:cNvPr id="8" name="CuadroTexto 5">
          <a:extLst>
            <a:ext uri="{FF2B5EF4-FFF2-40B4-BE49-F238E27FC236}">
              <a16:creationId xmlns:a16="http://schemas.microsoft.com/office/drawing/2014/main" id="{9C0B00BD-8624-453B-9785-73042C83BC28}"/>
            </a:ext>
          </a:extLst>
        </xdr:cNvPr>
        <xdr:cNvSpPr txBox="1"/>
      </xdr:nvSpPr>
      <xdr:spPr>
        <a:xfrm>
          <a:off x="15552420" y="23469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350520</xdr:colOff>
      <xdr:row>11</xdr:row>
      <xdr:rowOff>175260</xdr:rowOff>
    </xdr:from>
    <xdr:ext cx="65" cy="172227"/>
    <xdr:sp macro="" textlink="">
      <xdr:nvSpPr>
        <xdr:cNvPr id="11" name="CuadroTexto 5">
          <a:extLst>
            <a:ext uri="{FF2B5EF4-FFF2-40B4-BE49-F238E27FC236}">
              <a16:creationId xmlns:a16="http://schemas.microsoft.com/office/drawing/2014/main" id="{1D2BBD16-DF63-4291-8BBF-FE06F71AABCE}"/>
            </a:ext>
          </a:extLst>
        </xdr:cNvPr>
        <xdr:cNvSpPr txBox="1"/>
      </xdr:nvSpPr>
      <xdr:spPr>
        <a:xfrm>
          <a:off x="717804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0</xdr:colOff>
      <xdr:row>33</xdr:row>
      <xdr:rowOff>0</xdr:rowOff>
    </xdr:from>
    <xdr:ext cx="309472" cy="318344"/>
    <xdr:sp macro="" textlink="">
      <xdr:nvSpPr>
        <xdr:cNvPr id="12" name="AutoShape 3">
          <a:extLst>
            <a:ext uri="{FF2B5EF4-FFF2-40B4-BE49-F238E27FC236}">
              <a16:creationId xmlns:a16="http://schemas.microsoft.com/office/drawing/2014/main" id="{647CDD1B-4191-423A-97BA-4F3F28FD2A49}"/>
            </a:ext>
          </a:extLst>
        </xdr:cNvPr>
        <xdr:cNvSpPr>
          <a:spLocks noChangeAspect="1" noChangeArrowheads="1"/>
        </xdr:cNvSpPr>
      </xdr:nvSpPr>
      <xdr:spPr bwMode="auto">
        <a:xfrm>
          <a:off x="0" y="396658"/>
          <a:ext cx="309472" cy="31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175260</xdr:rowOff>
    </xdr:from>
    <xdr:ext cx="65" cy="172227"/>
    <xdr:sp macro="" textlink="">
      <xdr:nvSpPr>
        <xdr:cNvPr id="13" name="CuadroTexto 5">
          <a:extLst>
            <a:ext uri="{FF2B5EF4-FFF2-40B4-BE49-F238E27FC236}">
              <a16:creationId xmlns:a16="http://schemas.microsoft.com/office/drawing/2014/main" id="{199A6E79-62E5-4A99-8CDB-08570E9B9FBF}"/>
            </a:ext>
          </a:extLst>
        </xdr:cNvPr>
        <xdr:cNvSpPr txBox="1"/>
      </xdr:nvSpPr>
      <xdr:spPr>
        <a:xfrm>
          <a:off x="0" y="23255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0</xdr:colOff>
      <xdr:row>42</xdr:row>
      <xdr:rowOff>175260</xdr:rowOff>
    </xdr:from>
    <xdr:ext cx="65" cy="172227"/>
    <xdr:sp macro="" textlink="">
      <xdr:nvSpPr>
        <xdr:cNvPr id="15" name="CuadroTexto 5">
          <a:extLst>
            <a:ext uri="{FF2B5EF4-FFF2-40B4-BE49-F238E27FC236}">
              <a16:creationId xmlns:a16="http://schemas.microsoft.com/office/drawing/2014/main" id="{61AE2D6B-159A-4A21-9DA4-1D67836AA0C5}"/>
            </a:ext>
          </a:extLst>
        </xdr:cNvPr>
        <xdr:cNvSpPr txBox="1"/>
      </xdr:nvSpPr>
      <xdr:spPr>
        <a:xfrm>
          <a:off x="1356986" y="23255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0</xdr:colOff>
      <xdr:row>31</xdr:row>
      <xdr:rowOff>0</xdr:rowOff>
    </xdr:from>
    <xdr:ext cx="0" cy="4152900"/>
    <xdr:pic>
      <xdr:nvPicPr>
        <xdr:cNvPr id="16" name="Imagen 1">
          <a:extLst>
            <a:ext uri="{FF2B5EF4-FFF2-40B4-BE49-F238E27FC236}">
              <a16:creationId xmlns:a16="http://schemas.microsoft.com/office/drawing/2014/main" id="{79DE13A1-04AA-41E0-8BB5-516874D29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8740" y="0"/>
          <a:ext cx="0" cy="41529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175260</xdr:rowOff>
    </xdr:from>
    <xdr:ext cx="65" cy="172227"/>
    <xdr:sp macro="" textlink="">
      <xdr:nvSpPr>
        <xdr:cNvPr id="17" name="CuadroTexto 5">
          <a:extLst>
            <a:ext uri="{FF2B5EF4-FFF2-40B4-BE49-F238E27FC236}">
              <a16:creationId xmlns:a16="http://schemas.microsoft.com/office/drawing/2014/main" id="{224E5842-65C6-455D-960F-2E254247D109}"/>
            </a:ext>
          </a:extLst>
        </xdr:cNvPr>
        <xdr:cNvSpPr txBox="1"/>
      </xdr:nvSpPr>
      <xdr:spPr>
        <a:xfrm>
          <a:off x="6895369" y="23255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twoCellAnchor editAs="oneCell">
    <xdr:from>
      <xdr:col>12</xdr:col>
      <xdr:colOff>0</xdr:colOff>
      <xdr:row>1</xdr:row>
      <xdr:rowOff>0</xdr:rowOff>
    </xdr:from>
    <xdr:to>
      <xdr:col>18</xdr:col>
      <xdr:colOff>259080</xdr:colOff>
      <xdr:row>19</xdr:row>
      <xdr:rowOff>2924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D5D47D2-0FF0-74E1-D6A8-3F539F612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73440" y="198120"/>
          <a:ext cx="4815840" cy="350050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0" cy="4152900"/>
    <xdr:pic>
      <xdr:nvPicPr>
        <xdr:cNvPr id="3" name="Imagen 1">
          <a:extLst>
            <a:ext uri="{FF2B5EF4-FFF2-40B4-BE49-F238E27FC236}">
              <a16:creationId xmlns:a16="http://schemas.microsoft.com/office/drawing/2014/main" id="{31F0661A-348E-45FF-9ED9-BBC975817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2520" y="0"/>
          <a:ext cx="0" cy="415290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2</xdr:row>
      <xdr:rowOff>0</xdr:rowOff>
    </xdr:from>
    <xdr:to>
      <xdr:col>0</xdr:col>
      <xdr:colOff>306282</xdr:colOff>
      <xdr:row>3</xdr:row>
      <xdr:rowOff>120015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8DB7D3F2-CEE4-4345-A0CC-59B40F514374}"/>
            </a:ext>
          </a:extLst>
        </xdr:cNvPr>
        <xdr:cNvSpPr>
          <a:spLocks noChangeAspect="1" noChangeArrowheads="1"/>
        </xdr:cNvSpPr>
      </xdr:nvSpPr>
      <xdr:spPr bwMode="auto">
        <a:xfrm>
          <a:off x="7002780" y="403860"/>
          <a:ext cx="310515" cy="318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11</xdr:row>
      <xdr:rowOff>175260</xdr:rowOff>
    </xdr:from>
    <xdr:ext cx="65" cy="172227"/>
    <xdr:sp macro="" textlink="">
      <xdr:nvSpPr>
        <xdr:cNvPr id="5" name="CuadroTexto 5">
          <a:extLst>
            <a:ext uri="{FF2B5EF4-FFF2-40B4-BE49-F238E27FC236}">
              <a16:creationId xmlns:a16="http://schemas.microsoft.com/office/drawing/2014/main" id="{05099FF6-2309-4959-B425-B6A24BAE2371}"/>
            </a:ext>
          </a:extLst>
        </xdr:cNvPr>
        <xdr:cNvSpPr txBox="1"/>
      </xdr:nvSpPr>
      <xdr:spPr>
        <a:xfrm>
          <a:off x="6896100" y="23469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0" cy="4152900"/>
    <xdr:pic>
      <xdr:nvPicPr>
        <xdr:cNvPr id="6" name="Imagen 1">
          <a:extLst>
            <a:ext uri="{FF2B5EF4-FFF2-40B4-BE49-F238E27FC236}">
              <a16:creationId xmlns:a16="http://schemas.microsoft.com/office/drawing/2014/main" id="{37C064BF-5288-4595-A0F9-10D0AE543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78840" y="0"/>
          <a:ext cx="0" cy="415290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2</xdr:row>
      <xdr:rowOff>0</xdr:rowOff>
    </xdr:from>
    <xdr:to>
      <xdr:col>0</xdr:col>
      <xdr:colOff>306282</xdr:colOff>
      <xdr:row>3</xdr:row>
      <xdr:rowOff>104775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6DD60615-C424-47E6-BD85-1B7160F32AA8}"/>
            </a:ext>
          </a:extLst>
        </xdr:cNvPr>
        <xdr:cNvSpPr>
          <a:spLocks noChangeAspect="1" noChangeArrowheads="1"/>
        </xdr:cNvSpPr>
      </xdr:nvSpPr>
      <xdr:spPr bwMode="auto">
        <a:xfrm>
          <a:off x="15659100" y="403860"/>
          <a:ext cx="310515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11</xdr:row>
      <xdr:rowOff>175260</xdr:rowOff>
    </xdr:from>
    <xdr:ext cx="65" cy="172227"/>
    <xdr:sp macro="" textlink="">
      <xdr:nvSpPr>
        <xdr:cNvPr id="8" name="CuadroTexto 5">
          <a:extLst>
            <a:ext uri="{FF2B5EF4-FFF2-40B4-BE49-F238E27FC236}">
              <a16:creationId xmlns:a16="http://schemas.microsoft.com/office/drawing/2014/main" id="{F4B470F0-53FB-4789-B3AF-3973E10757AD}"/>
            </a:ext>
          </a:extLst>
        </xdr:cNvPr>
        <xdr:cNvSpPr txBox="1"/>
      </xdr:nvSpPr>
      <xdr:spPr>
        <a:xfrm>
          <a:off x="15552420" y="23469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0" cy="4152900"/>
    <xdr:pic>
      <xdr:nvPicPr>
        <xdr:cNvPr id="9" name="Imagen 1">
          <a:extLst>
            <a:ext uri="{FF2B5EF4-FFF2-40B4-BE49-F238E27FC236}">
              <a16:creationId xmlns:a16="http://schemas.microsoft.com/office/drawing/2014/main" id="{C4544A2A-03A0-485B-B151-AD0AA40D9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4460" y="0"/>
          <a:ext cx="0" cy="4152900"/>
        </a:xfrm>
        <a:prstGeom prst="rect">
          <a:avLst/>
        </a:prstGeom>
      </xdr:spPr>
    </xdr:pic>
    <xdr:clientData/>
  </xdr:oneCellAnchor>
  <xdr:oneCellAnchor>
    <xdr:from>
      <xdr:col>9</xdr:col>
      <xdr:colOff>350520</xdr:colOff>
      <xdr:row>11</xdr:row>
      <xdr:rowOff>175260</xdr:rowOff>
    </xdr:from>
    <xdr:ext cx="65" cy="172227"/>
    <xdr:sp macro="" textlink="">
      <xdr:nvSpPr>
        <xdr:cNvPr id="10" name="CuadroTexto 5">
          <a:extLst>
            <a:ext uri="{FF2B5EF4-FFF2-40B4-BE49-F238E27FC236}">
              <a16:creationId xmlns:a16="http://schemas.microsoft.com/office/drawing/2014/main" id="{C603C1E4-3D63-400C-B14A-D167036EA566}"/>
            </a:ext>
          </a:extLst>
        </xdr:cNvPr>
        <xdr:cNvSpPr txBox="1"/>
      </xdr:nvSpPr>
      <xdr:spPr>
        <a:xfrm>
          <a:off x="717804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0" cy="4152900"/>
    <xdr:pic>
      <xdr:nvPicPr>
        <xdr:cNvPr id="11" name="Imagen 1">
          <a:extLst>
            <a:ext uri="{FF2B5EF4-FFF2-40B4-BE49-F238E27FC236}">
              <a16:creationId xmlns:a16="http://schemas.microsoft.com/office/drawing/2014/main" id="{F3E05FC7-39B3-408F-8005-F6731AB89990}"/>
            </a:ext>
            <a:ext uri="{147F2762-F138-4A5C-976F-8EAC2B608ADB}">
              <a16:predDERef xmlns:a16="http://schemas.microsoft.com/office/drawing/2014/main" pred="{B1D15AB4-0326-46F4-B123-FAB0A984B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4460" y="0"/>
          <a:ext cx="0" cy="4152900"/>
        </a:xfrm>
        <a:prstGeom prst="rect">
          <a:avLst/>
        </a:prstGeom>
      </xdr:spPr>
    </xdr:pic>
    <xdr:clientData/>
  </xdr:oneCellAnchor>
  <xdr:oneCellAnchor>
    <xdr:from>
      <xdr:col>9</xdr:col>
      <xdr:colOff>350520</xdr:colOff>
      <xdr:row>11</xdr:row>
      <xdr:rowOff>175260</xdr:rowOff>
    </xdr:from>
    <xdr:ext cx="65" cy="172227"/>
    <xdr:sp macro="" textlink="">
      <xdr:nvSpPr>
        <xdr:cNvPr id="12" name="CuadroTexto 5">
          <a:extLst>
            <a:ext uri="{FF2B5EF4-FFF2-40B4-BE49-F238E27FC236}">
              <a16:creationId xmlns:a16="http://schemas.microsoft.com/office/drawing/2014/main" id="{8407C293-A9C2-4B56-9989-417E89C3B93A}"/>
            </a:ext>
            <a:ext uri="{147F2762-F138-4A5C-976F-8EAC2B608ADB}">
              <a16:predDERef xmlns:a16="http://schemas.microsoft.com/office/drawing/2014/main" pred="{0F6C5E67-E0D6-4304-809E-4F56F2E12D90}"/>
            </a:ext>
          </a:extLst>
        </xdr:cNvPr>
        <xdr:cNvSpPr txBox="1"/>
      </xdr:nvSpPr>
      <xdr:spPr>
        <a:xfrm>
          <a:off x="717804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0</xdr:colOff>
      <xdr:row>31</xdr:row>
      <xdr:rowOff>0</xdr:rowOff>
    </xdr:from>
    <xdr:ext cx="0" cy="4152900"/>
    <xdr:pic>
      <xdr:nvPicPr>
        <xdr:cNvPr id="13" name="Imagen 1">
          <a:extLst>
            <a:ext uri="{FF2B5EF4-FFF2-40B4-BE49-F238E27FC236}">
              <a16:creationId xmlns:a16="http://schemas.microsoft.com/office/drawing/2014/main" id="{945B4AF3-6511-4673-A3F4-48C73CE08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4460" y="0"/>
          <a:ext cx="0" cy="4152900"/>
        </a:xfrm>
        <a:prstGeom prst="rect">
          <a:avLst/>
        </a:prstGeom>
      </xdr:spPr>
    </xdr:pic>
    <xdr:clientData/>
  </xdr:oneCellAnchor>
  <xdr:oneCellAnchor>
    <xdr:from>
      <xdr:col>9</xdr:col>
      <xdr:colOff>350520</xdr:colOff>
      <xdr:row>42</xdr:row>
      <xdr:rowOff>175260</xdr:rowOff>
    </xdr:from>
    <xdr:ext cx="65" cy="172227"/>
    <xdr:sp macro="" textlink="">
      <xdr:nvSpPr>
        <xdr:cNvPr id="14" name="CuadroTexto 5">
          <a:extLst>
            <a:ext uri="{FF2B5EF4-FFF2-40B4-BE49-F238E27FC236}">
              <a16:creationId xmlns:a16="http://schemas.microsoft.com/office/drawing/2014/main" id="{6C1E9788-A209-491D-B30C-80A8CFBCDF3F}"/>
            </a:ext>
          </a:extLst>
        </xdr:cNvPr>
        <xdr:cNvSpPr txBox="1"/>
      </xdr:nvSpPr>
      <xdr:spPr>
        <a:xfrm>
          <a:off x="717804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0</xdr:colOff>
      <xdr:row>31</xdr:row>
      <xdr:rowOff>0</xdr:rowOff>
    </xdr:from>
    <xdr:ext cx="0" cy="4152900"/>
    <xdr:pic>
      <xdr:nvPicPr>
        <xdr:cNvPr id="15" name="Imagen 1">
          <a:extLst>
            <a:ext uri="{FF2B5EF4-FFF2-40B4-BE49-F238E27FC236}">
              <a16:creationId xmlns:a16="http://schemas.microsoft.com/office/drawing/2014/main" id="{B960BEF2-9067-4347-9B5E-7D5EB17008F0}"/>
            </a:ext>
            <a:ext uri="{147F2762-F138-4A5C-976F-8EAC2B608ADB}">
              <a16:predDERef xmlns:a16="http://schemas.microsoft.com/office/drawing/2014/main" pred="{B1D15AB4-0326-46F4-B123-FAB0A984B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4460" y="0"/>
          <a:ext cx="0" cy="4152900"/>
        </a:xfrm>
        <a:prstGeom prst="rect">
          <a:avLst/>
        </a:prstGeom>
      </xdr:spPr>
    </xdr:pic>
    <xdr:clientData/>
  </xdr:oneCellAnchor>
  <xdr:oneCellAnchor>
    <xdr:from>
      <xdr:col>9</xdr:col>
      <xdr:colOff>350520</xdr:colOff>
      <xdr:row>42</xdr:row>
      <xdr:rowOff>175260</xdr:rowOff>
    </xdr:from>
    <xdr:ext cx="65" cy="172227"/>
    <xdr:sp macro="" textlink="">
      <xdr:nvSpPr>
        <xdr:cNvPr id="16" name="CuadroTexto 5">
          <a:extLst>
            <a:ext uri="{FF2B5EF4-FFF2-40B4-BE49-F238E27FC236}">
              <a16:creationId xmlns:a16="http://schemas.microsoft.com/office/drawing/2014/main" id="{04C0D525-0842-4F3B-9330-68F3AB9CAA01}"/>
            </a:ext>
            <a:ext uri="{147F2762-F138-4A5C-976F-8EAC2B608ADB}">
              <a16:predDERef xmlns:a16="http://schemas.microsoft.com/office/drawing/2014/main" pred="{0F6C5E67-E0D6-4304-809E-4F56F2E12D90}"/>
            </a:ext>
          </a:extLst>
        </xdr:cNvPr>
        <xdr:cNvSpPr txBox="1"/>
      </xdr:nvSpPr>
      <xdr:spPr>
        <a:xfrm>
          <a:off x="717804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0" cy="4152900"/>
    <xdr:pic>
      <xdr:nvPicPr>
        <xdr:cNvPr id="3" name="Imagen 1">
          <a:extLst>
            <a:ext uri="{FF2B5EF4-FFF2-40B4-BE49-F238E27FC236}">
              <a16:creationId xmlns:a16="http://schemas.microsoft.com/office/drawing/2014/main" id="{E15DDD25-F7FD-4368-8B77-AB0FEC1A9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2520" y="0"/>
          <a:ext cx="0" cy="415290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2</xdr:row>
      <xdr:rowOff>0</xdr:rowOff>
    </xdr:from>
    <xdr:to>
      <xdr:col>0</xdr:col>
      <xdr:colOff>310515</xdr:colOff>
      <xdr:row>3</xdr:row>
      <xdr:rowOff>120015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DEAAE494-11A8-43C9-A9E8-22784E56BD7D}"/>
            </a:ext>
          </a:extLst>
        </xdr:cNvPr>
        <xdr:cNvSpPr>
          <a:spLocks noChangeAspect="1" noChangeArrowheads="1"/>
        </xdr:cNvSpPr>
      </xdr:nvSpPr>
      <xdr:spPr bwMode="auto">
        <a:xfrm>
          <a:off x="7002780" y="403860"/>
          <a:ext cx="310515" cy="318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11</xdr:row>
      <xdr:rowOff>175260</xdr:rowOff>
    </xdr:from>
    <xdr:ext cx="65" cy="172227"/>
    <xdr:sp macro="" textlink="">
      <xdr:nvSpPr>
        <xdr:cNvPr id="5" name="CuadroTexto 5">
          <a:extLst>
            <a:ext uri="{FF2B5EF4-FFF2-40B4-BE49-F238E27FC236}">
              <a16:creationId xmlns:a16="http://schemas.microsoft.com/office/drawing/2014/main" id="{19BEE891-C7B5-4AEE-B0EE-385BB812A3B3}"/>
            </a:ext>
          </a:extLst>
        </xdr:cNvPr>
        <xdr:cNvSpPr txBox="1"/>
      </xdr:nvSpPr>
      <xdr:spPr>
        <a:xfrm>
          <a:off x="6896100" y="23469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0" cy="4152900"/>
    <xdr:pic>
      <xdr:nvPicPr>
        <xdr:cNvPr id="6" name="Imagen 1">
          <a:extLst>
            <a:ext uri="{FF2B5EF4-FFF2-40B4-BE49-F238E27FC236}">
              <a16:creationId xmlns:a16="http://schemas.microsoft.com/office/drawing/2014/main" id="{CFACA0D9-EED1-4779-9B4D-27CB42940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78840" y="0"/>
          <a:ext cx="0" cy="415290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2</xdr:row>
      <xdr:rowOff>0</xdr:rowOff>
    </xdr:from>
    <xdr:to>
      <xdr:col>0</xdr:col>
      <xdr:colOff>310515</xdr:colOff>
      <xdr:row>3</xdr:row>
      <xdr:rowOff>104775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80767314-8CD1-4C01-8CEE-A8A724E6EEE1}"/>
            </a:ext>
          </a:extLst>
        </xdr:cNvPr>
        <xdr:cNvSpPr>
          <a:spLocks noChangeAspect="1" noChangeArrowheads="1"/>
        </xdr:cNvSpPr>
      </xdr:nvSpPr>
      <xdr:spPr bwMode="auto">
        <a:xfrm>
          <a:off x="15659100" y="403860"/>
          <a:ext cx="310515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11</xdr:row>
      <xdr:rowOff>175260</xdr:rowOff>
    </xdr:from>
    <xdr:ext cx="65" cy="172227"/>
    <xdr:sp macro="" textlink="">
      <xdr:nvSpPr>
        <xdr:cNvPr id="8" name="CuadroTexto 5">
          <a:extLst>
            <a:ext uri="{FF2B5EF4-FFF2-40B4-BE49-F238E27FC236}">
              <a16:creationId xmlns:a16="http://schemas.microsoft.com/office/drawing/2014/main" id="{204B6163-6C1F-42BA-9931-C591B8E39753}"/>
            </a:ext>
          </a:extLst>
        </xdr:cNvPr>
        <xdr:cNvSpPr txBox="1"/>
      </xdr:nvSpPr>
      <xdr:spPr>
        <a:xfrm>
          <a:off x="15552420" y="23469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0" cy="4152900"/>
    <xdr:pic>
      <xdr:nvPicPr>
        <xdr:cNvPr id="9" name="Imagen 1">
          <a:extLst>
            <a:ext uri="{FF2B5EF4-FFF2-40B4-BE49-F238E27FC236}">
              <a16:creationId xmlns:a16="http://schemas.microsoft.com/office/drawing/2014/main" id="{FEA3F325-207D-4C63-9EB1-3CD3CD94B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65200" y="0"/>
          <a:ext cx="0" cy="41529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310515" cy="307975"/>
    <xdr:sp macro="" textlink="">
      <xdr:nvSpPr>
        <xdr:cNvPr id="10" name="AutoShape 3">
          <a:extLst>
            <a:ext uri="{FF2B5EF4-FFF2-40B4-BE49-F238E27FC236}">
              <a16:creationId xmlns:a16="http://schemas.microsoft.com/office/drawing/2014/main" id="{46E37266-C32C-4A01-86F1-2E2A9AAF3D60}"/>
            </a:ext>
          </a:extLst>
        </xdr:cNvPr>
        <xdr:cNvSpPr>
          <a:spLocks noChangeAspect="1" noChangeArrowheads="1"/>
        </xdr:cNvSpPr>
      </xdr:nvSpPr>
      <xdr:spPr bwMode="auto">
        <a:xfrm>
          <a:off x="15748000" y="406400"/>
          <a:ext cx="310515" cy="30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175260</xdr:rowOff>
    </xdr:from>
    <xdr:ext cx="65" cy="172227"/>
    <xdr:sp macro="" textlink="">
      <xdr:nvSpPr>
        <xdr:cNvPr id="11" name="CuadroTexto 5">
          <a:extLst>
            <a:ext uri="{FF2B5EF4-FFF2-40B4-BE49-F238E27FC236}">
              <a16:creationId xmlns:a16="http://schemas.microsoft.com/office/drawing/2014/main" id="{D00D587A-3C76-4C15-A3BD-B8CEF28C5441}"/>
            </a:ext>
          </a:extLst>
        </xdr:cNvPr>
        <xdr:cNvSpPr txBox="1"/>
      </xdr:nvSpPr>
      <xdr:spPr>
        <a:xfrm>
          <a:off x="15641320" y="23850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0" cy="4152900"/>
    <xdr:pic>
      <xdr:nvPicPr>
        <xdr:cNvPr id="12" name="Imagen 1">
          <a:extLst>
            <a:ext uri="{FF2B5EF4-FFF2-40B4-BE49-F238E27FC236}">
              <a16:creationId xmlns:a16="http://schemas.microsoft.com/office/drawing/2014/main" id="{7C1F46DE-E12E-4DC4-B31C-F7FB6B7CE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65200" y="0"/>
          <a:ext cx="0" cy="41529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310515" cy="307975"/>
    <xdr:sp macro="" textlink="">
      <xdr:nvSpPr>
        <xdr:cNvPr id="13" name="AutoShape 3">
          <a:extLst>
            <a:ext uri="{FF2B5EF4-FFF2-40B4-BE49-F238E27FC236}">
              <a16:creationId xmlns:a16="http://schemas.microsoft.com/office/drawing/2014/main" id="{9E779359-2888-4E61-A84B-FA00C8C5569C}"/>
            </a:ext>
          </a:extLst>
        </xdr:cNvPr>
        <xdr:cNvSpPr>
          <a:spLocks noChangeAspect="1" noChangeArrowheads="1"/>
        </xdr:cNvSpPr>
      </xdr:nvSpPr>
      <xdr:spPr bwMode="auto">
        <a:xfrm>
          <a:off x="15748000" y="406400"/>
          <a:ext cx="310515" cy="30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175260</xdr:rowOff>
    </xdr:from>
    <xdr:ext cx="65" cy="172227"/>
    <xdr:sp macro="" textlink="">
      <xdr:nvSpPr>
        <xdr:cNvPr id="14" name="CuadroTexto 5">
          <a:extLst>
            <a:ext uri="{FF2B5EF4-FFF2-40B4-BE49-F238E27FC236}">
              <a16:creationId xmlns:a16="http://schemas.microsoft.com/office/drawing/2014/main" id="{AB112B53-40BF-4CA7-92C4-D6ADD389B4BE}"/>
            </a:ext>
          </a:extLst>
        </xdr:cNvPr>
        <xdr:cNvSpPr txBox="1"/>
      </xdr:nvSpPr>
      <xdr:spPr>
        <a:xfrm>
          <a:off x="15641320" y="23850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0" cy="4152900"/>
    <xdr:pic>
      <xdr:nvPicPr>
        <xdr:cNvPr id="15" name="Imagen 1">
          <a:extLst>
            <a:ext uri="{FF2B5EF4-FFF2-40B4-BE49-F238E27FC236}">
              <a16:creationId xmlns:a16="http://schemas.microsoft.com/office/drawing/2014/main" id="{63FCF7FC-B938-4FBB-9B7E-6D162A680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65200" y="0"/>
          <a:ext cx="0" cy="41529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310515" cy="307975"/>
    <xdr:sp macro="" textlink="">
      <xdr:nvSpPr>
        <xdr:cNvPr id="16" name="AutoShape 3">
          <a:extLst>
            <a:ext uri="{FF2B5EF4-FFF2-40B4-BE49-F238E27FC236}">
              <a16:creationId xmlns:a16="http://schemas.microsoft.com/office/drawing/2014/main" id="{48B3C719-E3F7-4A5F-8121-A5A61C8F2492}"/>
            </a:ext>
          </a:extLst>
        </xdr:cNvPr>
        <xdr:cNvSpPr>
          <a:spLocks noChangeAspect="1" noChangeArrowheads="1"/>
        </xdr:cNvSpPr>
      </xdr:nvSpPr>
      <xdr:spPr bwMode="auto">
        <a:xfrm>
          <a:off x="15748000" y="406400"/>
          <a:ext cx="310515" cy="30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175260</xdr:rowOff>
    </xdr:from>
    <xdr:ext cx="65" cy="172227"/>
    <xdr:sp macro="" textlink="">
      <xdr:nvSpPr>
        <xdr:cNvPr id="17" name="CuadroTexto 5">
          <a:extLst>
            <a:ext uri="{FF2B5EF4-FFF2-40B4-BE49-F238E27FC236}">
              <a16:creationId xmlns:a16="http://schemas.microsoft.com/office/drawing/2014/main" id="{B5A7ADE3-53CE-4990-BF68-E36B70A7FE28}"/>
            </a:ext>
          </a:extLst>
        </xdr:cNvPr>
        <xdr:cNvSpPr txBox="1"/>
      </xdr:nvSpPr>
      <xdr:spPr>
        <a:xfrm>
          <a:off x="15641320" y="23850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twoCellAnchor editAs="oneCell">
    <xdr:from>
      <xdr:col>12</xdr:col>
      <xdr:colOff>472440</xdr:colOff>
      <xdr:row>1</xdr:row>
      <xdr:rowOff>139700</xdr:rowOff>
    </xdr:from>
    <xdr:to>
      <xdr:col>20</xdr:col>
      <xdr:colOff>53809</xdr:colOff>
      <xdr:row>9</xdr:row>
      <xdr:rowOff>91573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874E50D-63A4-7670-A1C5-EB33F6244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57640" y="317500"/>
          <a:ext cx="5410669" cy="1539373"/>
        </a:xfrm>
        <a:prstGeom prst="rect">
          <a:avLst/>
        </a:prstGeom>
      </xdr:spPr>
    </xdr:pic>
    <xdr:clientData/>
  </xdr:twoCellAnchor>
  <xdr:oneCellAnchor>
    <xdr:from>
      <xdr:col>9</xdr:col>
      <xdr:colOff>350520</xdr:colOff>
      <xdr:row>11</xdr:row>
      <xdr:rowOff>175260</xdr:rowOff>
    </xdr:from>
    <xdr:ext cx="65" cy="172227"/>
    <xdr:sp macro="" textlink="">
      <xdr:nvSpPr>
        <xdr:cNvPr id="20" name="CuadroTexto 5">
          <a:extLst>
            <a:ext uri="{FF2B5EF4-FFF2-40B4-BE49-F238E27FC236}">
              <a16:creationId xmlns:a16="http://schemas.microsoft.com/office/drawing/2014/main" id="{4F00BC50-8DBD-47F7-BB81-376AF346A272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350520</xdr:colOff>
      <xdr:row>11</xdr:row>
      <xdr:rowOff>175260</xdr:rowOff>
    </xdr:from>
    <xdr:ext cx="65" cy="172227"/>
    <xdr:sp macro="" textlink="">
      <xdr:nvSpPr>
        <xdr:cNvPr id="22" name="CuadroTexto 5">
          <a:extLst>
            <a:ext uri="{FF2B5EF4-FFF2-40B4-BE49-F238E27FC236}">
              <a16:creationId xmlns:a16="http://schemas.microsoft.com/office/drawing/2014/main" id="{D76F0E44-4C15-45F7-B3F0-C6F017C42902}"/>
            </a:ext>
            <a:ext uri="{147F2762-F138-4A5C-976F-8EAC2B608ADB}">
              <a16:predDERef xmlns:a16="http://schemas.microsoft.com/office/drawing/2014/main" pred="{0F6C5E67-E0D6-4304-809E-4F56F2E12D90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0</xdr:colOff>
      <xdr:row>31</xdr:row>
      <xdr:rowOff>0</xdr:rowOff>
    </xdr:from>
    <xdr:ext cx="0" cy="4152900"/>
    <xdr:pic>
      <xdr:nvPicPr>
        <xdr:cNvPr id="23" name="Imagen 1">
          <a:extLst>
            <a:ext uri="{FF2B5EF4-FFF2-40B4-BE49-F238E27FC236}">
              <a16:creationId xmlns:a16="http://schemas.microsoft.com/office/drawing/2014/main" id="{C6469371-88EE-4446-B86E-F88A5B088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3520" y="0"/>
          <a:ext cx="0" cy="4152900"/>
        </a:xfrm>
        <a:prstGeom prst="rect">
          <a:avLst/>
        </a:prstGeom>
      </xdr:spPr>
    </xdr:pic>
    <xdr:clientData/>
  </xdr:oneCellAnchor>
  <xdr:oneCellAnchor>
    <xdr:from>
      <xdr:col>9</xdr:col>
      <xdr:colOff>350520</xdr:colOff>
      <xdr:row>42</xdr:row>
      <xdr:rowOff>175260</xdr:rowOff>
    </xdr:from>
    <xdr:ext cx="65" cy="172227"/>
    <xdr:sp macro="" textlink="">
      <xdr:nvSpPr>
        <xdr:cNvPr id="24" name="CuadroTexto 5">
          <a:extLst>
            <a:ext uri="{FF2B5EF4-FFF2-40B4-BE49-F238E27FC236}">
              <a16:creationId xmlns:a16="http://schemas.microsoft.com/office/drawing/2014/main" id="{708EAD09-6471-4A2E-B130-170CD55CDC18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0</xdr:colOff>
      <xdr:row>31</xdr:row>
      <xdr:rowOff>0</xdr:rowOff>
    </xdr:from>
    <xdr:ext cx="0" cy="4152900"/>
    <xdr:pic>
      <xdr:nvPicPr>
        <xdr:cNvPr id="25" name="Imagen 1">
          <a:extLst>
            <a:ext uri="{FF2B5EF4-FFF2-40B4-BE49-F238E27FC236}">
              <a16:creationId xmlns:a16="http://schemas.microsoft.com/office/drawing/2014/main" id="{41A042CB-4F3C-473C-B590-DA91827E1820}"/>
            </a:ext>
            <a:ext uri="{147F2762-F138-4A5C-976F-8EAC2B608ADB}">
              <a16:predDERef xmlns:a16="http://schemas.microsoft.com/office/drawing/2014/main" pred="{B1D15AB4-0326-46F4-B123-FAB0A984B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3520" y="0"/>
          <a:ext cx="0" cy="4152900"/>
        </a:xfrm>
        <a:prstGeom prst="rect">
          <a:avLst/>
        </a:prstGeom>
      </xdr:spPr>
    </xdr:pic>
    <xdr:clientData/>
  </xdr:oneCellAnchor>
  <xdr:oneCellAnchor>
    <xdr:from>
      <xdr:col>9</xdr:col>
      <xdr:colOff>350520</xdr:colOff>
      <xdr:row>42</xdr:row>
      <xdr:rowOff>175260</xdr:rowOff>
    </xdr:from>
    <xdr:ext cx="65" cy="172227"/>
    <xdr:sp macro="" textlink="">
      <xdr:nvSpPr>
        <xdr:cNvPr id="26" name="CuadroTexto 5">
          <a:extLst>
            <a:ext uri="{FF2B5EF4-FFF2-40B4-BE49-F238E27FC236}">
              <a16:creationId xmlns:a16="http://schemas.microsoft.com/office/drawing/2014/main" id="{E0DAD8E5-BDB4-44FA-9B09-283F7DCC2982}"/>
            </a:ext>
            <a:ext uri="{147F2762-F138-4A5C-976F-8EAC2B608ADB}">
              <a16:predDERef xmlns:a16="http://schemas.microsoft.com/office/drawing/2014/main" pred="{0F6C5E67-E0D6-4304-809E-4F56F2E12D90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0</xdr:colOff>
      <xdr:row>62</xdr:row>
      <xdr:rowOff>0</xdr:rowOff>
    </xdr:from>
    <xdr:ext cx="0" cy="4152900"/>
    <xdr:pic>
      <xdr:nvPicPr>
        <xdr:cNvPr id="27" name="Imagen 1">
          <a:extLst>
            <a:ext uri="{FF2B5EF4-FFF2-40B4-BE49-F238E27FC236}">
              <a16:creationId xmlns:a16="http://schemas.microsoft.com/office/drawing/2014/main" id="{3B4520FA-19AD-4C62-A711-B7D45B5CC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3520" y="0"/>
          <a:ext cx="0" cy="4152900"/>
        </a:xfrm>
        <a:prstGeom prst="rect">
          <a:avLst/>
        </a:prstGeom>
      </xdr:spPr>
    </xdr:pic>
    <xdr:clientData/>
  </xdr:oneCellAnchor>
  <xdr:oneCellAnchor>
    <xdr:from>
      <xdr:col>9</xdr:col>
      <xdr:colOff>350520</xdr:colOff>
      <xdr:row>73</xdr:row>
      <xdr:rowOff>175260</xdr:rowOff>
    </xdr:from>
    <xdr:ext cx="65" cy="172227"/>
    <xdr:sp macro="" textlink="">
      <xdr:nvSpPr>
        <xdr:cNvPr id="28" name="CuadroTexto 5">
          <a:extLst>
            <a:ext uri="{FF2B5EF4-FFF2-40B4-BE49-F238E27FC236}">
              <a16:creationId xmlns:a16="http://schemas.microsoft.com/office/drawing/2014/main" id="{38D5B098-C75E-4D06-BC1B-0542EE2CD17C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0</xdr:colOff>
      <xdr:row>62</xdr:row>
      <xdr:rowOff>0</xdr:rowOff>
    </xdr:from>
    <xdr:ext cx="0" cy="4152900"/>
    <xdr:pic>
      <xdr:nvPicPr>
        <xdr:cNvPr id="29" name="Imagen 1">
          <a:extLst>
            <a:ext uri="{FF2B5EF4-FFF2-40B4-BE49-F238E27FC236}">
              <a16:creationId xmlns:a16="http://schemas.microsoft.com/office/drawing/2014/main" id="{7AD74ADA-A25B-4D6F-801A-87CFB92DB352}"/>
            </a:ext>
            <a:ext uri="{147F2762-F138-4A5C-976F-8EAC2B608ADB}">
              <a16:predDERef xmlns:a16="http://schemas.microsoft.com/office/drawing/2014/main" pred="{B1D15AB4-0326-46F4-B123-FAB0A984B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3520" y="0"/>
          <a:ext cx="0" cy="4152900"/>
        </a:xfrm>
        <a:prstGeom prst="rect">
          <a:avLst/>
        </a:prstGeom>
      </xdr:spPr>
    </xdr:pic>
    <xdr:clientData/>
  </xdr:oneCellAnchor>
  <xdr:oneCellAnchor>
    <xdr:from>
      <xdr:col>9</xdr:col>
      <xdr:colOff>350520</xdr:colOff>
      <xdr:row>73</xdr:row>
      <xdr:rowOff>175260</xdr:rowOff>
    </xdr:from>
    <xdr:ext cx="65" cy="172227"/>
    <xdr:sp macro="" textlink="">
      <xdr:nvSpPr>
        <xdr:cNvPr id="30" name="CuadroTexto 5">
          <a:extLst>
            <a:ext uri="{FF2B5EF4-FFF2-40B4-BE49-F238E27FC236}">
              <a16:creationId xmlns:a16="http://schemas.microsoft.com/office/drawing/2014/main" id="{21A7FDCB-061C-4307-A212-6CFA229A381E}"/>
            </a:ext>
            <a:ext uri="{147F2762-F138-4A5C-976F-8EAC2B608ADB}">
              <a16:predDERef xmlns:a16="http://schemas.microsoft.com/office/drawing/2014/main" pred="{0F6C5E67-E0D6-4304-809E-4F56F2E12D90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0</xdr:colOff>
      <xdr:row>93</xdr:row>
      <xdr:rowOff>0</xdr:rowOff>
    </xdr:from>
    <xdr:ext cx="0" cy="4152900"/>
    <xdr:pic>
      <xdr:nvPicPr>
        <xdr:cNvPr id="31" name="Imagen 1">
          <a:extLst>
            <a:ext uri="{FF2B5EF4-FFF2-40B4-BE49-F238E27FC236}">
              <a16:creationId xmlns:a16="http://schemas.microsoft.com/office/drawing/2014/main" id="{3882F22A-FB4A-47AF-B2B8-7017755B1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3520" y="0"/>
          <a:ext cx="0" cy="4152900"/>
        </a:xfrm>
        <a:prstGeom prst="rect">
          <a:avLst/>
        </a:prstGeom>
      </xdr:spPr>
    </xdr:pic>
    <xdr:clientData/>
  </xdr:oneCellAnchor>
  <xdr:oneCellAnchor>
    <xdr:from>
      <xdr:col>9</xdr:col>
      <xdr:colOff>350520</xdr:colOff>
      <xdr:row>104</xdr:row>
      <xdr:rowOff>175260</xdr:rowOff>
    </xdr:from>
    <xdr:ext cx="65" cy="172227"/>
    <xdr:sp macro="" textlink="">
      <xdr:nvSpPr>
        <xdr:cNvPr id="32" name="CuadroTexto 5">
          <a:extLst>
            <a:ext uri="{FF2B5EF4-FFF2-40B4-BE49-F238E27FC236}">
              <a16:creationId xmlns:a16="http://schemas.microsoft.com/office/drawing/2014/main" id="{26EC0B10-8342-4EF4-9F12-4767FC96B87A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0</xdr:colOff>
      <xdr:row>93</xdr:row>
      <xdr:rowOff>0</xdr:rowOff>
    </xdr:from>
    <xdr:ext cx="0" cy="4152900"/>
    <xdr:pic>
      <xdr:nvPicPr>
        <xdr:cNvPr id="33" name="Imagen 1">
          <a:extLst>
            <a:ext uri="{FF2B5EF4-FFF2-40B4-BE49-F238E27FC236}">
              <a16:creationId xmlns:a16="http://schemas.microsoft.com/office/drawing/2014/main" id="{8D9FC4A2-4890-4560-9156-BBBCD9BA8E43}"/>
            </a:ext>
            <a:ext uri="{147F2762-F138-4A5C-976F-8EAC2B608ADB}">
              <a16:predDERef xmlns:a16="http://schemas.microsoft.com/office/drawing/2014/main" pred="{B1D15AB4-0326-46F4-B123-FAB0A984B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3520" y="0"/>
          <a:ext cx="0" cy="4152900"/>
        </a:xfrm>
        <a:prstGeom prst="rect">
          <a:avLst/>
        </a:prstGeom>
      </xdr:spPr>
    </xdr:pic>
    <xdr:clientData/>
  </xdr:oneCellAnchor>
  <xdr:oneCellAnchor>
    <xdr:from>
      <xdr:col>9</xdr:col>
      <xdr:colOff>350520</xdr:colOff>
      <xdr:row>104</xdr:row>
      <xdr:rowOff>175260</xdr:rowOff>
    </xdr:from>
    <xdr:ext cx="65" cy="172227"/>
    <xdr:sp macro="" textlink="">
      <xdr:nvSpPr>
        <xdr:cNvPr id="34" name="CuadroTexto 5">
          <a:extLst>
            <a:ext uri="{FF2B5EF4-FFF2-40B4-BE49-F238E27FC236}">
              <a16:creationId xmlns:a16="http://schemas.microsoft.com/office/drawing/2014/main" id="{28484264-2D2D-47A6-972D-62A150040B0F}"/>
            </a:ext>
            <a:ext uri="{147F2762-F138-4A5C-976F-8EAC2B608ADB}">
              <a16:predDERef xmlns:a16="http://schemas.microsoft.com/office/drawing/2014/main" pred="{0F6C5E67-E0D6-4304-809E-4F56F2E12D90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0</xdr:colOff>
      <xdr:row>124</xdr:row>
      <xdr:rowOff>0</xdr:rowOff>
    </xdr:from>
    <xdr:ext cx="0" cy="4152900"/>
    <xdr:pic>
      <xdr:nvPicPr>
        <xdr:cNvPr id="35" name="Imagen 1">
          <a:extLst>
            <a:ext uri="{FF2B5EF4-FFF2-40B4-BE49-F238E27FC236}">
              <a16:creationId xmlns:a16="http://schemas.microsoft.com/office/drawing/2014/main" id="{5E9EE182-C267-4092-8DFA-71E64F549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3520" y="0"/>
          <a:ext cx="0" cy="4152900"/>
        </a:xfrm>
        <a:prstGeom prst="rect">
          <a:avLst/>
        </a:prstGeom>
      </xdr:spPr>
    </xdr:pic>
    <xdr:clientData/>
  </xdr:oneCellAnchor>
  <xdr:oneCellAnchor>
    <xdr:from>
      <xdr:col>9</xdr:col>
      <xdr:colOff>350520</xdr:colOff>
      <xdr:row>135</xdr:row>
      <xdr:rowOff>175260</xdr:rowOff>
    </xdr:from>
    <xdr:ext cx="65" cy="172227"/>
    <xdr:sp macro="" textlink="">
      <xdr:nvSpPr>
        <xdr:cNvPr id="36" name="CuadroTexto 5">
          <a:extLst>
            <a:ext uri="{FF2B5EF4-FFF2-40B4-BE49-F238E27FC236}">
              <a16:creationId xmlns:a16="http://schemas.microsoft.com/office/drawing/2014/main" id="{B3217CA5-950F-4AE3-A0C2-12FFEF66C1C3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0</xdr:colOff>
      <xdr:row>124</xdr:row>
      <xdr:rowOff>0</xdr:rowOff>
    </xdr:from>
    <xdr:ext cx="0" cy="4152900"/>
    <xdr:pic>
      <xdr:nvPicPr>
        <xdr:cNvPr id="37" name="Imagen 1">
          <a:extLst>
            <a:ext uri="{FF2B5EF4-FFF2-40B4-BE49-F238E27FC236}">
              <a16:creationId xmlns:a16="http://schemas.microsoft.com/office/drawing/2014/main" id="{BEC39085-32DE-471A-857E-1FA95630C513}"/>
            </a:ext>
            <a:ext uri="{147F2762-F138-4A5C-976F-8EAC2B608ADB}">
              <a16:predDERef xmlns:a16="http://schemas.microsoft.com/office/drawing/2014/main" pred="{B1D15AB4-0326-46F4-B123-FAB0A984B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3520" y="0"/>
          <a:ext cx="0" cy="4152900"/>
        </a:xfrm>
        <a:prstGeom prst="rect">
          <a:avLst/>
        </a:prstGeom>
      </xdr:spPr>
    </xdr:pic>
    <xdr:clientData/>
  </xdr:oneCellAnchor>
  <xdr:oneCellAnchor>
    <xdr:from>
      <xdr:col>9</xdr:col>
      <xdr:colOff>350520</xdr:colOff>
      <xdr:row>135</xdr:row>
      <xdr:rowOff>175260</xdr:rowOff>
    </xdr:from>
    <xdr:ext cx="65" cy="172227"/>
    <xdr:sp macro="" textlink="">
      <xdr:nvSpPr>
        <xdr:cNvPr id="38" name="CuadroTexto 5">
          <a:extLst>
            <a:ext uri="{FF2B5EF4-FFF2-40B4-BE49-F238E27FC236}">
              <a16:creationId xmlns:a16="http://schemas.microsoft.com/office/drawing/2014/main" id="{36F76B84-05F6-45DA-A771-C3C668F5179A}"/>
            </a:ext>
            <a:ext uri="{147F2762-F138-4A5C-976F-8EAC2B608ADB}">
              <a16:predDERef xmlns:a16="http://schemas.microsoft.com/office/drawing/2014/main" pred="{0F6C5E67-E0D6-4304-809E-4F56F2E12D90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0" cy="4152900"/>
    <xdr:pic>
      <xdr:nvPicPr>
        <xdr:cNvPr id="3" name="Imagen 1">
          <a:extLst>
            <a:ext uri="{FF2B5EF4-FFF2-40B4-BE49-F238E27FC236}">
              <a16:creationId xmlns:a16="http://schemas.microsoft.com/office/drawing/2014/main" id="{C48D94CA-6C90-4C1E-8461-C1C5AD6CB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2520" y="0"/>
          <a:ext cx="0" cy="415290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2</xdr:row>
      <xdr:rowOff>0</xdr:rowOff>
    </xdr:from>
    <xdr:to>
      <xdr:col>0</xdr:col>
      <xdr:colOff>309597</xdr:colOff>
      <xdr:row>3</xdr:row>
      <xdr:rowOff>120015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34DEE227-13B4-4EC4-983B-C5C77D7E7CE8}"/>
            </a:ext>
          </a:extLst>
        </xdr:cNvPr>
        <xdr:cNvSpPr>
          <a:spLocks noChangeAspect="1" noChangeArrowheads="1"/>
        </xdr:cNvSpPr>
      </xdr:nvSpPr>
      <xdr:spPr bwMode="auto">
        <a:xfrm>
          <a:off x="7002780" y="403860"/>
          <a:ext cx="310515" cy="318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11</xdr:row>
      <xdr:rowOff>175260</xdr:rowOff>
    </xdr:from>
    <xdr:ext cx="65" cy="172227"/>
    <xdr:sp macro="" textlink="">
      <xdr:nvSpPr>
        <xdr:cNvPr id="5" name="CuadroTexto 5">
          <a:extLst>
            <a:ext uri="{FF2B5EF4-FFF2-40B4-BE49-F238E27FC236}">
              <a16:creationId xmlns:a16="http://schemas.microsoft.com/office/drawing/2014/main" id="{3D5DF1C9-B288-4E66-9424-406C1821506B}"/>
            </a:ext>
          </a:extLst>
        </xdr:cNvPr>
        <xdr:cNvSpPr txBox="1"/>
      </xdr:nvSpPr>
      <xdr:spPr>
        <a:xfrm>
          <a:off x="6896100" y="23469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0" cy="4152900"/>
    <xdr:pic>
      <xdr:nvPicPr>
        <xdr:cNvPr id="6" name="Imagen 1">
          <a:extLst>
            <a:ext uri="{FF2B5EF4-FFF2-40B4-BE49-F238E27FC236}">
              <a16:creationId xmlns:a16="http://schemas.microsoft.com/office/drawing/2014/main" id="{3B822D54-A917-40D0-B109-CE1B42AD9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78840" y="0"/>
          <a:ext cx="0" cy="415290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2</xdr:row>
      <xdr:rowOff>0</xdr:rowOff>
    </xdr:from>
    <xdr:to>
      <xdr:col>0</xdr:col>
      <xdr:colOff>309597</xdr:colOff>
      <xdr:row>3</xdr:row>
      <xdr:rowOff>104775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0BA3174F-8ABE-4BC5-B5F5-44CFAC1F1402}"/>
            </a:ext>
          </a:extLst>
        </xdr:cNvPr>
        <xdr:cNvSpPr>
          <a:spLocks noChangeAspect="1" noChangeArrowheads="1"/>
        </xdr:cNvSpPr>
      </xdr:nvSpPr>
      <xdr:spPr bwMode="auto">
        <a:xfrm>
          <a:off x="15659100" y="403860"/>
          <a:ext cx="310515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11</xdr:row>
      <xdr:rowOff>175260</xdr:rowOff>
    </xdr:from>
    <xdr:ext cx="65" cy="172227"/>
    <xdr:sp macro="" textlink="">
      <xdr:nvSpPr>
        <xdr:cNvPr id="8" name="CuadroTexto 5">
          <a:extLst>
            <a:ext uri="{FF2B5EF4-FFF2-40B4-BE49-F238E27FC236}">
              <a16:creationId xmlns:a16="http://schemas.microsoft.com/office/drawing/2014/main" id="{0B83D44D-BFC1-417F-8DFE-4421503037E6}"/>
            </a:ext>
          </a:extLst>
        </xdr:cNvPr>
        <xdr:cNvSpPr txBox="1"/>
      </xdr:nvSpPr>
      <xdr:spPr>
        <a:xfrm>
          <a:off x="15552420" y="23469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350520</xdr:colOff>
      <xdr:row>11</xdr:row>
      <xdr:rowOff>175260</xdr:rowOff>
    </xdr:from>
    <xdr:ext cx="65" cy="172227"/>
    <xdr:sp macro="" textlink="">
      <xdr:nvSpPr>
        <xdr:cNvPr id="10" name="CuadroTexto 5">
          <a:extLst>
            <a:ext uri="{FF2B5EF4-FFF2-40B4-BE49-F238E27FC236}">
              <a16:creationId xmlns:a16="http://schemas.microsoft.com/office/drawing/2014/main" id="{6326BBDA-D507-4759-A05B-A91202E0B30A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350520</xdr:colOff>
      <xdr:row>11</xdr:row>
      <xdr:rowOff>175260</xdr:rowOff>
    </xdr:from>
    <xdr:ext cx="65" cy="172227"/>
    <xdr:sp macro="" textlink="">
      <xdr:nvSpPr>
        <xdr:cNvPr id="12" name="CuadroTexto 5">
          <a:extLst>
            <a:ext uri="{FF2B5EF4-FFF2-40B4-BE49-F238E27FC236}">
              <a16:creationId xmlns:a16="http://schemas.microsoft.com/office/drawing/2014/main" id="{06FF0BF4-2AC5-4F91-BC69-30067A2DEDFE}"/>
            </a:ext>
            <a:ext uri="{147F2762-F138-4A5C-976F-8EAC2B608ADB}">
              <a16:predDERef xmlns:a16="http://schemas.microsoft.com/office/drawing/2014/main" pred="{0F6C5E67-E0D6-4304-809E-4F56F2E12D90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twoCellAnchor editAs="oneCell">
    <xdr:from>
      <xdr:col>11</xdr:col>
      <xdr:colOff>780361</xdr:colOff>
      <xdr:row>1</xdr:row>
      <xdr:rowOff>0</xdr:rowOff>
    </xdr:from>
    <xdr:to>
      <xdr:col>15</xdr:col>
      <xdr:colOff>410456</xdr:colOff>
      <xdr:row>17</xdr:row>
      <xdr:rowOff>109535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51989DD-1657-7AED-DC9A-F2FB79616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64626" y="201976"/>
          <a:ext cx="3017782" cy="327688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0" cy="4152900"/>
    <xdr:pic>
      <xdr:nvPicPr>
        <xdr:cNvPr id="3" name="Imagen 1">
          <a:extLst>
            <a:ext uri="{FF2B5EF4-FFF2-40B4-BE49-F238E27FC236}">
              <a16:creationId xmlns:a16="http://schemas.microsoft.com/office/drawing/2014/main" id="{423499F3-0A2A-4637-8038-099B1047C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2520" y="0"/>
          <a:ext cx="0" cy="415290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2</xdr:row>
      <xdr:rowOff>0</xdr:rowOff>
    </xdr:from>
    <xdr:to>
      <xdr:col>0</xdr:col>
      <xdr:colOff>316377</xdr:colOff>
      <xdr:row>3</xdr:row>
      <xdr:rowOff>120015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7249FA93-29A5-4265-90A1-FDF20D8310D7}"/>
            </a:ext>
          </a:extLst>
        </xdr:cNvPr>
        <xdr:cNvSpPr>
          <a:spLocks noChangeAspect="1" noChangeArrowheads="1"/>
        </xdr:cNvSpPr>
      </xdr:nvSpPr>
      <xdr:spPr bwMode="auto">
        <a:xfrm>
          <a:off x="7002780" y="403860"/>
          <a:ext cx="310515" cy="318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11</xdr:row>
      <xdr:rowOff>175260</xdr:rowOff>
    </xdr:from>
    <xdr:ext cx="65" cy="172227"/>
    <xdr:sp macro="" textlink="">
      <xdr:nvSpPr>
        <xdr:cNvPr id="5" name="CuadroTexto 5">
          <a:extLst>
            <a:ext uri="{FF2B5EF4-FFF2-40B4-BE49-F238E27FC236}">
              <a16:creationId xmlns:a16="http://schemas.microsoft.com/office/drawing/2014/main" id="{539708B2-5CEA-4D6B-AC87-28B39D9FB827}"/>
            </a:ext>
          </a:extLst>
        </xdr:cNvPr>
        <xdr:cNvSpPr txBox="1"/>
      </xdr:nvSpPr>
      <xdr:spPr>
        <a:xfrm>
          <a:off x="6896100" y="23469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0" cy="4152900"/>
    <xdr:pic>
      <xdr:nvPicPr>
        <xdr:cNvPr id="6" name="Imagen 1">
          <a:extLst>
            <a:ext uri="{FF2B5EF4-FFF2-40B4-BE49-F238E27FC236}">
              <a16:creationId xmlns:a16="http://schemas.microsoft.com/office/drawing/2014/main" id="{1468E277-900F-49B6-8906-12BA55710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78840" y="0"/>
          <a:ext cx="0" cy="415290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2</xdr:row>
      <xdr:rowOff>0</xdr:rowOff>
    </xdr:from>
    <xdr:to>
      <xdr:col>0</xdr:col>
      <xdr:colOff>316376</xdr:colOff>
      <xdr:row>3</xdr:row>
      <xdr:rowOff>104775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2AA28B89-A881-4A0C-A385-217F7C0FA271}"/>
            </a:ext>
          </a:extLst>
        </xdr:cNvPr>
        <xdr:cNvSpPr>
          <a:spLocks noChangeAspect="1" noChangeArrowheads="1"/>
        </xdr:cNvSpPr>
      </xdr:nvSpPr>
      <xdr:spPr bwMode="auto">
        <a:xfrm>
          <a:off x="15659100" y="403860"/>
          <a:ext cx="310515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11</xdr:row>
      <xdr:rowOff>175260</xdr:rowOff>
    </xdr:from>
    <xdr:ext cx="65" cy="172227"/>
    <xdr:sp macro="" textlink="">
      <xdr:nvSpPr>
        <xdr:cNvPr id="8" name="CuadroTexto 5">
          <a:extLst>
            <a:ext uri="{FF2B5EF4-FFF2-40B4-BE49-F238E27FC236}">
              <a16:creationId xmlns:a16="http://schemas.microsoft.com/office/drawing/2014/main" id="{E901DD4A-E15C-4CDE-AB39-50B4EBC08FBB}"/>
            </a:ext>
          </a:extLst>
        </xdr:cNvPr>
        <xdr:cNvSpPr txBox="1"/>
      </xdr:nvSpPr>
      <xdr:spPr>
        <a:xfrm>
          <a:off x="15552420" y="23469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350520</xdr:colOff>
      <xdr:row>11</xdr:row>
      <xdr:rowOff>175260</xdr:rowOff>
    </xdr:from>
    <xdr:ext cx="65" cy="172227"/>
    <xdr:sp macro="" textlink="">
      <xdr:nvSpPr>
        <xdr:cNvPr id="10" name="CuadroTexto 5">
          <a:extLst>
            <a:ext uri="{FF2B5EF4-FFF2-40B4-BE49-F238E27FC236}">
              <a16:creationId xmlns:a16="http://schemas.microsoft.com/office/drawing/2014/main" id="{E5A5945C-C167-4CDF-BEEE-06EA9BF0DB1A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350520</xdr:colOff>
      <xdr:row>11</xdr:row>
      <xdr:rowOff>175260</xdr:rowOff>
    </xdr:from>
    <xdr:ext cx="65" cy="172227"/>
    <xdr:sp macro="" textlink="">
      <xdr:nvSpPr>
        <xdr:cNvPr id="12" name="CuadroTexto 5">
          <a:extLst>
            <a:ext uri="{FF2B5EF4-FFF2-40B4-BE49-F238E27FC236}">
              <a16:creationId xmlns:a16="http://schemas.microsoft.com/office/drawing/2014/main" id="{F12A2BC8-911C-49BE-8F68-66F3DE5A6E4B}"/>
            </a:ext>
            <a:ext uri="{147F2762-F138-4A5C-976F-8EAC2B608ADB}">
              <a16:predDERef xmlns:a16="http://schemas.microsoft.com/office/drawing/2014/main" pred="{0F6C5E67-E0D6-4304-809E-4F56F2E12D90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twoCellAnchor editAs="oneCell">
    <xdr:from>
      <xdr:col>11</xdr:col>
      <xdr:colOff>463176</xdr:colOff>
      <xdr:row>1</xdr:row>
      <xdr:rowOff>89647</xdr:rowOff>
    </xdr:from>
    <xdr:to>
      <xdr:col>18</xdr:col>
      <xdr:colOff>12069</xdr:colOff>
      <xdr:row>8</xdr:row>
      <xdr:rowOff>33883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9A58DC10-5A59-F5BC-ACFF-90AB6016C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99823" y="291353"/>
          <a:ext cx="4785775" cy="134123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0" cy="4152900"/>
    <xdr:pic>
      <xdr:nvPicPr>
        <xdr:cNvPr id="3" name="Imagen 1">
          <a:extLst>
            <a:ext uri="{FF2B5EF4-FFF2-40B4-BE49-F238E27FC236}">
              <a16:creationId xmlns:a16="http://schemas.microsoft.com/office/drawing/2014/main" id="{54756C14-FCC4-4F3F-8870-1190357C9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2520" y="0"/>
          <a:ext cx="0" cy="415290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2</xdr:row>
      <xdr:rowOff>0</xdr:rowOff>
    </xdr:from>
    <xdr:to>
      <xdr:col>0</xdr:col>
      <xdr:colOff>316377</xdr:colOff>
      <xdr:row>3</xdr:row>
      <xdr:rowOff>120015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A98D5DB2-42A0-4754-912E-F852DA23B034}"/>
            </a:ext>
          </a:extLst>
        </xdr:cNvPr>
        <xdr:cNvSpPr>
          <a:spLocks noChangeAspect="1" noChangeArrowheads="1"/>
        </xdr:cNvSpPr>
      </xdr:nvSpPr>
      <xdr:spPr bwMode="auto">
        <a:xfrm>
          <a:off x="7002780" y="403860"/>
          <a:ext cx="310515" cy="318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11</xdr:row>
      <xdr:rowOff>175260</xdr:rowOff>
    </xdr:from>
    <xdr:ext cx="65" cy="172227"/>
    <xdr:sp macro="" textlink="">
      <xdr:nvSpPr>
        <xdr:cNvPr id="5" name="CuadroTexto 5">
          <a:extLst>
            <a:ext uri="{FF2B5EF4-FFF2-40B4-BE49-F238E27FC236}">
              <a16:creationId xmlns:a16="http://schemas.microsoft.com/office/drawing/2014/main" id="{33C812E6-C31F-4195-875A-665FF4290203}"/>
            </a:ext>
          </a:extLst>
        </xdr:cNvPr>
        <xdr:cNvSpPr txBox="1"/>
      </xdr:nvSpPr>
      <xdr:spPr>
        <a:xfrm>
          <a:off x="6896100" y="23469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0" cy="4152900"/>
    <xdr:pic>
      <xdr:nvPicPr>
        <xdr:cNvPr id="6" name="Imagen 1">
          <a:extLst>
            <a:ext uri="{FF2B5EF4-FFF2-40B4-BE49-F238E27FC236}">
              <a16:creationId xmlns:a16="http://schemas.microsoft.com/office/drawing/2014/main" id="{F2E63CED-1BE9-43C3-88AD-701BA1CC4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78840" y="0"/>
          <a:ext cx="0" cy="415290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2</xdr:row>
      <xdr:rowOff>0</xdr:rowOff>
    </xdr:from>
    <xdr:to>
      <xdr:col>0</xdr:col>
      <xdr:colOff>316377</xdr:colOff>
      <xdr:row>3</xdr:row>
      <xdr:rowOff>104775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B1893793-B82E-49EA-BCA8-22609FEC6F5F}"/>
            </a:ext>
          </a:extLst>
        </xdr:cNvPr>
        <xdr:cNvSpPr>
          <a:spLocks noChangeAspect="1" noChangeArrowheads="1"/>
        </xdr:cNvSpPr>
      </xdr:nvSpPr>
      <xdr:spPr bwMode="auto">
        <a:xfrm>
          <a:off x="15659100" y="403860"/>
          <a:ext cx="310515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11</xdr:row>
      <xdr:rowOff>175260</xdr:rowOff>
    </xdr:from>
    <xdr:ext cx="65" cy="172227"/>
    <xdr:sp macro="" textlink="">
      <xdr:nvSpPr>
        <xdr:cNvPr id="8" name="CuadroTexto 5">
          <a:extLst>
            <a:ext uri="{FF2B5EF4-FFF2-40B4-BE49-F238E27FC236}">
              <a16:creationId xmlns:a16="http://schemas.microsoft.com/office/drawing/2014/main" id="{54474295-F5C0-439D-B66D-54253EB8D27C}"/>
            </a:ext>
          </a:extLst>
        </xdr:cNvPr>
        <xdr:cNvSpPr txBox="1"/>
      </xdr:nvSpPr>
      <xdr:spPr>
        <a:xfrm>
          <a:off x="15552420" y="23469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350520</xdr:colOff>
      <xdr:row>11</xdr:row>
      <xdr:rowOff>175260</xdr:rowOff>
    </xdr:from>
    <xdr:ext cx="65" cy="172227"/>
    <xdr:sp macro="" textlink="">
      <xdr:nvSpPr>
        <xdr:cNvPr id="10" name="CuadroTexto 5">
          <a:extLst>
            <a:ext uri="{FF2B5EF4-FFF2-40B4-BE49-F238E27FC236}">
              <a16:creationId xmlns:a16="http://schemas.microsoft.com/office/drawing/2014/main" id="{EAE3D2E0-FD47-4294-A7DE-A4AB255003F9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350520</xdr:colOff>
      <xdr:row>11</xdr:row>
      <xdr:rowOff>175260</xdr:rowOff>
    </xdr:from>
    <xdr:ext cx="65" cy="172227"/>
    <xdr:sp macro="" textlink="">
      <xdr:nvSpPr>
        <xdr:cNvPr id="12" name="CuadroTexto 5">
          <a:extLst>
            <a:ext uri="{FF2B5EF4-FFF2-40B4-BE49-F238E27FC236}">
              <a16:creationId xmlns:a16="http://schemas.microsoft.com/office/drawing/2014/main" id="{4C765383-31FB-478D-9366-D3635E78D799}"/>
            </a:ext>
            <a:ext uri="{147F2762-F138-4A5C-976F-8EAC2B608ADB}">
              <a16:predDERef xmlns:a16="http://schemas.microsoft.com/office/drawing/2014/main" pred="{0F6C5E67-E0D6-4304-809E-4F56F2E12D90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0</xdr:colOff>
      <xdr:row>31</xdr:row>
      <xdr:rowOff>0</xdr:rowOff>
    </xdr:from>
    <xdr:ext cx="0" cy="4152900"/>
    <xdr:pic>
      <xdr:nvPicPr>
        <xdr:cNvPr id="13" name="Imagen 1">
          <a:extLst>
            <a:ext uri="{FF2B5EF4-FFF2-40B4-BE49-F238E27FC236}">
              <a16:creationId xmlns:a16="http://schemas.microsoft.com/office/drawing/2014/main" id="{6814D2A6-2178-4CD0-ACFF-65114E6D2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3520" y="0"/>
          <a:ext cx="0" cy="4152900"/>
        </a:xfrm>
        <a:prstGeom prst="rect">
          <a:avLst/>
        </a:prstGeom>
      </xdr:spPr>
    </xdr:pic>
    <xdr:clientData/>
  </xdr:oneCellAnchor>
  <xdr:oneCellAnchor>
    <xdr:from>
      <xdr:col>9</xdr:col>
      <xdr:colOff>350520</xdr:colOff>
      <xdr:row>42</xdr:row>
      <xdr:rowOff>175260</xdr:rowOff>
    </xdr:from>
    <xdr:ext cx="65" cy="172227"/>
    <xdr:sp macro="" textlink="">
      <xdr:nvSpPr>
        <xdr:cNvPr id="14" name="CuadroTexto 5">
          <a:extLst>
            <a:ext uri="{FF2B5EF4-FFF2-40B4-BE49-F238E27FC236}">
              <a16:creationId xmlns:a16="http://schemas.microsoft.com/office/drawing/2014/main" id="{E7F65DAF-3B69-4363-89BB-E3273D123C79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0</xdr:colOff>
      <xdr:row>31</xdr:row>
      <xdr:rowOff>0</xdr:rowOff>
    </xdr:from>
    <xdr:ext cx="0" cy="4152900"/>
    <xdr:pic>
      <xdr:nvPicPr>
        <xdr:cNvPr id="15" name="Imagen 1">
          <a:extLst>
            <a:ext uri="{FF2B5EF4-FFF2-40B4-BE49-F238E27FC236}">
              <a16:creationId xmlns:a16="http://schemas.microsoft.com/office/drawing/2014/main" id="{AA4EA359-BC69-4AC1-8C13-0F93EE00AA60}"/>
            </a:ext>
            <a:ext uri="{147F2762-F138-4A5C-976F-8EAC2B608ADB}">
              <a16:predDERef xmlns:a16="http://schemas.microsoft.com/office/drawing/2014/main" pred="{B1D15AB4-0326-46F4-B123-FAB0A984B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3520" y="0"/>
          <a:ext cx="0" cy="4152900"/>
        </a:xfrm>
        <a:prstGeom prst="rect">
          <a:avLst/>
        </a:prstGeom>
      </xdr:spPr>
    </xdr:pic>
    <xdr:clientData/>
  </xdr:oneCellAnchor>
  <xdr:oneCellAnchor>
    <xdr:from>
      <xdr:col>9</xdr:col>
      <xdr:colOff>350520</xdr:colOff>
      <xdr:row>42</xdr:row>
      <xdr:rowOff>175260</xdr:rowOff>
    </xdr:from>
    <xdr:ext cx="65" cy="172227"/>
    <xdr:sp macro="" textlink="">
      <xdr:nvSpPr>
        <xdr:cNvPr id="16" name="CuadroTexto 5">
          <a:extLst>
            <a:ext uri="{FF2B5EF4-FFF2-40B4-BE49-F238E27FC236}">
              <a16:creationId xmlns:a16="http://schemas.microsoft.com/office/drawing/2014/main" id="{DFD7807B-F3D8-4B2C-96BB-0730A8EB1236}"/>
            </a:ext>
            <a:ext uri="{147F2762-F138-4A5C-976F-8EAC2B608ADB}">
              <a16:predDERef xmlns:a16="http://schemas.microsoft.com/office/drawing/2014/main" pred="{0F6C5E67-E0D6-4304-809E-4F56F2E12D90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0</xdr:colOff>
      <xdr:row>62</xdr:row>
      <xdr:rowOff>0</xdr:rowOff>
    </xdr:from>
    <xdr:ext cx="0" cy="4152900"/>
    <xdr:pic>
      <xdr:nvPicPr>
        <xdr:cNvPr id="17" name="Imagen 1">
          <a:extLst>
            <a:ext uri="{FF2B5EF4-FFF2-40B4-BE49-F238E27FC236}">
              <a16:creationId xmlns:a16="http://schemas.microsoft.com/office/drawing/2014/main" id="{43318E4B-A4BB-43DB-A03E-921E84F70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3520" y="0"/>
          <a:ext cx="0" cy="4152900"/>
        </a:xfrm>
        <a:prstGeom prst="rect">
          <a:avLst/>
        </a:prstGeom>
      </xdr:spPr>
    </xdr:pic>
    <xdr:clientData/>
  </xdr:oneCellAnchor>
  <xdr:oneCellAnchor>
    <xdr:from>
      <xdr:col>9</xdr:col>
      <xdr:colOff>350520</xdr:colOff>
      <xdr:row>73</xdr:row>
      <xdr:rowOff>175260</xdr:rowOff>
    </xdr:from>
    <xdr:ext cx="65" cy="172227"/>
    <xdr:sp macro="" textlink="">
      <xdr:nvSpPr>
        <xdr:cNvPr id="18" name="CuadroTexto 5">
          <a:extLst>
            <a:ext uri="{FF2B5EF4-FFF2-40B4-BE49-F238E27FC236}">
              <a16:creationId xmlns:a16="http://schemas.microsoft.com/office/drawing/2014/main" id="{CDF7A6EC-B5A3-4ECF-90DC-B6562FB6D6ED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0</xdr:colOff>
      <xdr:row>62</xdr:row>
      <xdr:rowOff>0</xdr:rowOff>
    </xdr:from>
    <xdr:ext cx="0" cy="4152900"/>
    <xdr:pic>
      <xdr:nvPicPr>
        <xdr:cNvPr id="19" name="Imagen 1">
          <a:extLst>
            <a:ext uri="{FF2B5EF4-FFF2-40B4-BE49-F238E27FC236}">
              <a16:creationId xmlns:a16="http://schemas.microsoft.com/office/drawing/2014/main" id="{0F24250D-7BB3-4B93-ACF2-477E02CFF3F9}"/>
            </a:ext>
            <a:ext uri="{147F2762-F138-4A5C-976F-8EAC2B608ADB}">
              <a16:predDERef xmlns:a16="http://schemas.microsoft.com/office/drawing/2014/main" pred="{B1D15AB4-0326-46F4-B123-FAB0A984B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3520" y="0"/>
          <a:ext cx="0" cy="4152900"/>
        </a:xfrm>
        <a:prstGeom prst="rect">
          <a:avLst/>
        </a:prstGeom>
      </xdr:spPr>
    </xdr:pic>
    <xdr:clientData/>
  </xdr:oneCellAnchor>
  <xdr:oneCellAnchor>
    <xdr:from>
      <xdr:col>9</xdr:col>
      <xdr:colOff>350520</xdr:colOff>
      <xdr:row>73</xdr:row>
      <xdr:rowOff>175260</xdr:rowOff>
    </xdr:from>
    <xdr:ext cx="65" cy="172227"/>
    <xdr:sp macro="" textlink="">
      <xdr:nvSpPr>
        <xdr:cNvPr id="20" name="CuadroTexto 5">
          <a:extLst>
            <a:ext uri="{FF2B5EF4-FFF2-40B4-BE49-F238E27FC236}">
              <a16:creationId xmlns:a16="http://schemas.microsoft.com/office/drawing/2014/main" id="{AEB3D406-BDCC-4999-A3EA-B1AE38777AAA}"/>
            </a:ext>
            <a:ext uri="{147F2762-F138-4A5C-976F-8EAC2B608ADB}">
              <a16:predDERef xmlns:a16="http://schemas.microsoft.com/office/drawing/2014/main" pred="{0F6C5E67-E0D6-4304-809E-4F56F2E12D90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twoCellAnchor editAs="oneCell">
    <xdr:from>
      <xdr:col>12</xdr:col>
      <xdr:colOff>11723</xdr:colOff>
      <xdr:row>0</xdr:row>
      <xdr:rowOff>11724</xdr:rowOff>
    </xdr:from>
    <xdr:to>
      <xdr:col>17</xdr:col>
      <xdr:colOff>642803</xdr:colOff>
      <xdr:row>19</xdr:row>
      <xdr:rowOff>102321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9C10AE02-EA38-E83E-6954-7FC2B991D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1724"/>
          <a:ext cx="4359018" cy="379508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0" cy="4152900"/>
    <xdr:pic>
      <xdr:nvPicPr>
        <xdr:cNvPr id="3" name="Imagen 1">
          <a:extLst>
            <a:ext uri="{FF2B5EF4-FFF2-40B4-BE49-F238E27FC236}">
              <a16:creationId xmlns:a16="http://schemas.microsoft.com/office/drawing/2014/main" id="{05774D6A-A680-4CB7-A6C7-A044AD4B3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2520" y="0"/>
          <a:ext cx="0" cy="415290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2</xdr:row>
      <xdr:rowOff>0</xdr:rowOff>
    </xdr:from>
    <xdr:to>
      <xdr:col>0</xdr:col>
      <xdr:colOff>308206</xdr:colOff>
      <xdr:row>3</xdr:row>
      <xdr:rowOff>120015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A08FC14D-8B5A-4A05-8741-E768FC19E540}"/>
            </a:ext>
          </a:extLst>
        </xdr:cNvPr>
        <xdr:cNvSpPr>
          <a:spLocks noChangeAspect="1" noChangeArrowheads="1"/>
        </xdr:cNvSpPr>
      </xdr:nvSpPr>
      <xdr:spPr bwMode="auto">
        <a:xfrm>
          <a:off x="7002780" y="403860"/>
          <a:ext cx="310515" cy="318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11</xdr:row>
      <xdr:rowOff>175260</xdr:rowOff>
    </xdr:from>
    <xdr:ext cx="65" cy="172227"/>
    <xdr:sp macro="" textlink="">
      <xdr:nvSpPr>
        <xdr:cNvPr id="5" name="CuadroTexto 5">
          <a:extLst>
            <a:ext uri="{FF2B5EF4-FFF2-40B4-BE49-F238E27FC236}">
              <a16:creationId xmlns:a16="http://schemas.microsoft.com/office/drawing/2014/main" id="{6A59E4EE-B58D-46ED-ABBF-69E071482E99}"/>
            </a:ext>
          </a:extLst>
        </xdr:cNvPr>
        <xdr:cNvSpPr txBox="1"/>
      </xdr:nvSpPr>
      <xdr:spPr>
        <a:xfrm>
          <a:off x="6896100" y="23469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0" cy="4152900"/>
    <xdr:pic>
      <xdr:nvPicPr>
        <xdr:cNvPr id="6" name="Imagen 1">
          <a:extLst>
            <a:ext uri="{FF2B5EF4-FFF2-40B4-BE49-F238E27FC236}">
              <a16:creationId xmlns:a16="http://schemas.microsoft.com/office/drawing/2014/main" id="{286B9986-F111-4B7A-AE5E-6B6F997A6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78840" y="0"/>
          <a:ext cx="0" cy="415290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2</xdr:row>
      <xdr:rowOff>0</xdr:rowOff>
    </xdr:from>
    <xdr:to>
      <xdr:col>0</xdr:col>
      <xdr:colOff>308206</xdr:colOff>
      <xdr:row>3</xdr:row>
      <xdr:rowOff>104775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30702C19-287A-48EE-B6FE-276D759DC0A8}"/>
            </a:ext>
          </a:extLst>
        </xdr:cNvPr>
        <xdr:cNvSpPr>
          <a:spLocks noChangeAspect="1" noChangeArrowheads="1"/>
        </xdr:cNvSpPr>
      </xdr:nvSpPr>
      <xdr:spPr bwMode="auto">
        <a:xfrm>
          <a:off x="15659100" y="403860"/>
          <a:ext cx="310515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11</xdr:row>
      <xdr:rowOff>175260</xdr:rowOff>
    </xdr:from>
    <xdr:ext cx="65" cy="172227"/>
    <xdr:sp macro="" textlink="">
      <xdr:nvSpPr>
        <xdr:cNvPr id="8" name="CuadroTexto 5">
          <a:extLst>
            <a:ext uri="{FF2B5EF4-FFF2-40B4-BE49-F238E27FC236}">
              <a16:creationId xmlns:a16="http://schemas.microsoft.com/office/drawing/2014/main" id="{35792A94-B4EB-420F-A0E1-769DD088FD26}"/>
            </a:ext>
          </a:extLst>
        </xdr:cNvPr>
        <xdr:cNvSpPr txBox="1"/>
      </xdr:nvSpPr>
      <xdr:spPr>
        <a:xfrm>
          <a:off x="15552420" y="23469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350520</xdr:colOff>
      <xdr:row>11</xdr:row>
      <xdr:rowOff>175260</xdr:rowOff>
    </xdr:from>
    <xdr:ext cx="65" cy="172227"/>
    <xdr:sp macro="" textlink="">
      <xdr:nvSpPr>
        <xdr:cNvPr id="10" name="CuadroTexto 5">
          <a:extLst>
            <a:ext uri="{FF2B5EF4-FFF2-40B4-BE49-F238E27FC236}">
              <a16:creationId xmlns:a16="http://schemas.microsoft.com/office/drawing/2014/main" id="{69F7DDC8-610A-4D3A-8DC6-B054C7CCE62B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350520</xdr:colOff>
      <xdr:row>11</xdr:row>
      <xdr:rowOff>175260</xdr:rowOff>
    </xdr:from>
    <xdr:ext cx="65" cy="172227"/>
    <xdr:sp macro="" textlink="">
      <xdr:nvSpPr>
        <xdr:cNvPr id="12" name="CuadroTexto 5">
          <a:extLst>
            <a:ext uri="{FF2B5EF4-FFF2-40B4-BE49-F238E27FC236}">
              <a16:creationId xmlns:a16="http://schemas.microsoft.com/office/drawing/2014/main" id="{B1BC8653-3117-468E-A5AC-68DEEC4BCB60}"/>
            </a:ext>
            <a:ext uri="{147F2762-F138-4A5C-976F-8EAC2B608ADB}">
              <a16:predDERef xmlns:a16="http://schemas.microsoft.com/office/drawing/2014/main" pred="{0F6C5E67-E0D6-4304-809E-4F56F2E12D90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350520</xdr:colOff>
      <xdr:row>42</xdr:row>
      <xdr:rowOff>175260</xdr:rowOff>
    </xdr:from>
    <xdr:ext cx="65" cy="172227"/>
    <xdr:sp macro="" textlink="">
      <xdr:nvSpPr>
        <xdr:cNvPr id="14" name="CuadroTexto 5">
          <a:extLst>
            <a:ext uri="{FF2B5EF4-FFF2-40B4-BE49-F238E27FC236}">
              <a16:creationId xmlns:a16="http://schemas.microsoft.com/office/drawing/2014/main" id="{01FB407A-2845-4C90-A634-52663E5F5806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350520</xdr:colOff>
      <xdr:row>42</xdr:row>
      <xdr:rowOff>175260</xdr:rowOff>
    </xdr:from>
    <xdr:ext cx="65" cy="172227"/>
    <xdr:sp macro="" textlink="">
      <xdr:nvSpPr>
        <xdr:cNvPr id="16" name="CuadroTexto 5">
          <a:extLst>
            <a:ext uri="{FF2B5EF4-FFF2-40B4-BE49-F238E27FC236}">
              <a16:creationId xmlns:a16="http://schemas.microsoft.com/office/drawing/2014/main" id="{EDEC9BDE-E044-4293-B7F3-8774F1227609}"/>
            </a:ext>
            <a:ext uri="{147F2762-F138-4A5C-976F-8EAC2B608ADB}">
              <a16:predDERef xmlns:a16="http://schemas.microsoft.com/office/drawing/2014/main" pred="{0F6C5E67-E0D6-4304-809E-4F56F2E12D90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350520</xdr:colOff>
      <xdr:row>73</xdr:row>
      <xdr:rowOff>175260</xdr:rowOff>
    </xdr:from>
    <xdr:ext cx="65" cy="172227"/>
    <xdr:sp macro="" textlink="">
      <xdr:nvSpPr>
        <xdr:cNvPr id="18" name="CuadroTexto 5">
          <a:extLst>
            <a:ext uri="{FF2B5EF4-FFF2-40B4-BE49-F238E27FC236}">
              <a16:creationId xmlns:a16="http://schemas.microsoft.com/office/drawing/2014/main" id="{88CA6AB1-EE14-49D1-9CFB-D04C5F361D53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350520</xdr:colOff>
      <xdr:row>73</xdr:row>
      <xdr:rowOff>175260</xdr:rowOff>
    </xdr:from>
    <xdr:ext cx="65" cy="172227"/>
    <xdr:sp macro="" textlink="">
      <xdr:nvSpPr>
        <xdr:cNvPr id="20" name="CuadroTexto 5">
          <a:extLst>
            <a:ext uri="{FF2B5EF4-FFF2-40B4-BE49-F238E27FC236}">
              <a16:creationId xmlns:a16="http://schemas.microsoft.com/office/drawing/2014/main" id="{ADD3BD6E-3635-48E7-A9AD-736562087970}"/>
            </a:ext>
            <a:ext uri="{147F2762-F138-4A5C-976F-8EAC2B608ADB}">
              <a16:predDERef xmlns:a16="http://schemas.microsoft.com/office/drawing/2014/main" pred="{0F6C5E67-E0D6-4304-809E-4F56F2E12D90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twoCellAnchor editAs="oneCell">
    <xdr:from>
      <xdr:col>12</xdr:col>
      <xdr:colOff>11545</xdr:colOff>
      <xdr:row>2</xdr:row>
      <xdr:rowOff>46183</xdr:rowOff>
    </xdr:from>
    <xdr:to>
      <xdr:col>19</xdr:col>
      <xdr:colOff>231600</xdr:colOff>
      <xdr:row>11</xdr:row>
      <xdr:rowOff>184893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77B22669-A9F6-B565-FFE2-F71951733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9000" y="438728"/>
          <a:ext cx="5311600" cy="190516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0" cy="4152900"/>
    <xdr:pic>
      <xdr:nvPicPr>
        <xdr:cNvPr id="3" name="Imagen 1">
          <a:extLst>
            <a:ext uri="{FF2B5EF4-FFF2-40B4-BE49-F238E27FC236}">
              <a16:creationId xmlns:a16="http://schemas.microsoft.com/office/drawing/2014/main" id="{8BDB4C1A-A546-4A56-B785-E8C3DB912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2520" y="0"/>
          <a:ext cx="0" cy="415290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2</xdr:row>
      <xdr:rowOff>0</xdr:rowOff>
    </xdr:from>
    <xdr:to>
      <xdr:col>0</xdr:col>
      <xdr:colOff>307202</xdr:colOff>
      <xdr:row>3</xdr:row>
      <xdr:rowOff>120014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47F7FB53-EC8B-4F68-AD6B-DDDD6B272A8A}"/>
            </a:ext>
          </a:extLst>
        </xdr:cNvPr>
        <xdr:cNvSpPr>
          <a:spLocks noChangeAspect="1" noChangeArrowheads="1"/>
        </xdr:cNvSpPr>
      </xdr:nvSpPr>
      <xdr:spPr bwMode="auto">
        <a:xfrm>
          <a:off x="7002780" y="403860"/>
          <a:ext cx="310515" cy="318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11</xdr:row>
      <xdr:rowOff>175260</xdr:rowOff>
    </xdr:from>
    <xdr:ext cx="65" cy="172227"/>
    <xdr:sp macro="" textlink="">
      <xdr:nvSpPr>
        <xdr:cNvPr id="5" name="CuadroTexto 5">
          <a:extLst>
            <a:ext uri="{FF2B5EF4-FFF2-40B4-BE49-F238E27FC236}">
              <a16:creationId xmlns:a16="http://schemas.microsoft.com/office/drawing/2014/main" id="{1709FEF6-C90C-42FE-A6B9-C75FDFE49844}"/>
            </a:ext>
          </a:extLst>
        </xdr:cNvPr>
        <xdr:cNvSpPr txBox="1"/>
      </xdr:nvSpPr>
      <xdr:spPr>
        <a:xfrm>
          <a:off x="6896100" y="23469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0" cy="4152900"/>
    <xdr:pic>
      <xdr:nvPicPr>
        <xdr:cNvPr id="6" name="Imagen 1">
          <a:extLst>
            <a:ext uri="{FF2B5EF4-FFF2-40B4-BE49-F238E27FC236}">
              <a16:creationId xmlns:a16="http://schemas.microsoft.com/office/drawing/2014/main" id="{84607E49-EB10-400B-B3CE-30519D502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78840" y="0"/>
          <a:ext cx="0" cy="415290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2</xdr:row>
      <xdr:rowOff>0</xdr:rowOff>
    </xdr:from>
    <xdr:to>
      <xdr:col>0</xdr:col>
      <xdr:colOff>307202</xdr:colOff>
      <xdr:row>3</xdr:row>
      <xdr:rowOff>104774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DAEB714A-8021-4F97-B08E-163A431DDA02}"/>
            </a:ext>
          </a:extLst>
        </xdr:cNvPr>
        <xdr:cNvSpPr>
          <a:spLocks noChangeAspect="1" noChangeArrowheads="1"/>
        </xdr:cNvSpPr>
      </xdr:nvSpPr>
      <xdr:spPr bwMode="auto">
        <a:xfrm>
          <a:off x="15659100" y="403860"/>
          <a:ext cx="310515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11</xdr:row>
      <xdr:rowOff>175260</xdr:rowOff>
    </xdr:from>
    <xdr:ext cx="65" cy="172227"/>
    <xdr:sp macro="" textlink="">
      <xdr:nvSpPr>
        <xdr:cNvPr id="8" name="CuadroTexto 5">
          <a:extLst>
            <a:ext uri="{FF2B5EF4-FFF2-40B4-BE49-F238E27FC236}">
              <a16:creationId xmlns:a16="http://schemas.microsoft.com/office/drawing/2014/main" id="{34CC225C-B33D-467B-B6F3-ED489B9BD931}"/>
            </a:ext>
          </a:extLst>
        </xdr:cNvPr>
        <xdr:cNvSpPr txBox="1"/>
      </xdr:nvSpPr>
      <xdr:spPr>
        <a:xfrm>
          <a:off x="15552420" y="23469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twoCellAnchor editAs="oneCell">
    <xdr:from>
      <xdr:col>12</xdr:col>
      <xdr:colOff>806174</xdr:colOff>
      <xdr:row>0</xdr:row>
      <xdr:rowOff>176696</xdr:rowOff>
    </xdr:from>
    <xdr:to>
      <xdr:col>19</xdr:col>
      <xdr:colOff>260467</xdr:colOff>
      <xdr:row>18</xdr:row>
      <xdr:rowOff>71305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32747A4-A6D1-D96F-AF9B-3DABF94DE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87565" y="176696"/>
          <a:ext cx="4534293" cy="3406435"/>
        </a:xfrm>
        <a:prstGeom prst="rect">
          <a:avLst/>
        </a:prstGeom>
      </xdr:spPr>
    </xdr:pic>
    <xdr:clientData/>
  </xdr:twoCellAnchor>
  <xdr:oneCellAnchor>
    <xdr:from>
      <xdr:col>9</xdr:col>
      <xdr:colOff>350520</xdr:colOff>
      <xdr:row>11</xdr:row>
      <xdr:rowOff>175260</xdr:rowOff>
    </xdr:from>
    <xdr:ext cx="65" cy="172227"/>
    <xdr:sp macro="" textlink="">
      <xdr:nvSpPr>
        <xdr:cNvPr id="11" name="CuadroTexto 5">
          <a:extLst>
            <a:ext uri="{FF2B5EF4-FFF2-40B4-BE49-F238E27FC236}">
              <a16:creationId xmlns:a16="http://schemas.microsoft.com/office/drawing/2014/main" id="{8780185F-D97B-4405-9C99-B29A9D59CACC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350520</xdr:colOff>
      <xdr:row>11</xdr:row>
      <xdr:rowOff>175260</xdr:rowOff>
    </xdr:from>
    <xdr:ext cx="65" cy="172227"/>
    <xdr:sp macro="" textlink="">
      <xdr:nvSpPr>
        <xdr:cNvPr id="13" name="CuadroTexto 5">
          <a:extLst>
            <a:ext uri="{FF2B5EF4-FFF2-40B4-BE49-F238E27FC236}">
              <a16:creationId xmlns:a16="http://schemas.microsoft.com/office/drawing/2014/main" id="{B00D07C4-4E05-4537-8E92-D463A02813B8}"/>
            </a:ext>
            <a:ext uri="{147F2762-F138-4A5C-976F-8EAC2B608ADB}">
              <a16:predDERef xmlns:a16="http://schemas.microsoft.com/office/drawing/2014/main" pred="{0F6C5E67-E0D6-4304-809E-4F56F2E12D90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350520</xdr:colOff>
      <xdr:row>42</xdr:row>
      <xdr:rowOff>175260</xdr:rowOff>
    </xdr:from>
    <xdr:ext cx="65" cy="172227"/>
    <xdr:sp macro="" textlink="">
      <xdr:nvSpPr>
        <xdr:cNvPr id="15" name="CuadroTexto 5">
          <a:extLst>
            <a:ext uri="{FF2B5EF4-FFF2-40B4-BE49-F238E27FC236}">
              <a16:creationId xmlns:a16="http://schemas.microsoft.com/office/drawing/2014/main" id="{4EE59C40-B31E-4046-BDA8-ED6849B29D1A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350520</xdr:colOff>
      <xdr:row>42</xdr:row>
      <xdr:rowOff>175260</xdr:rowOff>
    </xdr:from>
    <xdr:ext cx="65" cy="172227"/>
    <xdr:sp macro="" textlink="">
      <xdr:nvSpPr>
        <xdr:cNvPr id="17" name="CuadroTexto 5">
          <a:extLst>
            <a:ext uri="{FF2B5EF4-FFF2-40B4-BE49-F238E27FC236}">
              <a16:creationId xmlns:a16="http://schemas.microsoft.com/office/drawing/2014/main" id="{89A1B3B2-DC0B-413F-8785-437B46C8ADD7}"/>
            </a:ext>
            <a:ext uri="{147F2762-F138-4A5C-976F-8EAC2B608ADB}">
              <a16:predDERef xmlns:a16="http://schemas.microsoft.com/office/drawing/2014/main" pred="{0F6C5E67-E0D6-4304-809E-4F56F2E12D90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0</xdr:colOff>
      <xdr:row>63</xdr:row>
      <xdr:rowOff>0</xdr:rowOff>
    </xdr:from>
    <xdr:ext cx="0" cy="4152900"/>
    <xdr:pic>
      <xdr:nvPicPr>
        <xdr:cNvPr id="18" name="Imagen 1">
          <a:extLst>
            <a:ext uri="{FF2B5EF4-FFF2-40B4-BE49-F238E27FC236}">
              <a16:creationId xmlns:a16="http://schemas.microsoft.com/office/drawing/2014/main" id="{25CDE6F3-6229-45BB-96EB-DC6808899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3520" y="0"/>
          <a:ext cx="0" cy="4152900"/>
        </a:xfrm>
        <a:prstGeom prst="rect">
          <a:avLst/>
        </a:prstGeom>
      </xdr:spPr>
    </xdr:pic>
    <xdr:clientData/>
  </xdr:oneCellAnchor>
  <xdr:oneCellAnchor>
    <xdr:from>
      <xdr:col>9</xdr:col>
      <xdr:colOff>350520</xdr:colOff>
      <xdr:row>74</xdr:row>
      <xdr:rowOff>175260</xdr:rowOff>
    </xdr:from>
    <xdr:ext cx="65" cy="172227"/>
    <xdr:sp macro="" textlink="">
      <xdr:nvSpPr>
        <xdr:cNvPr id="19" name="CuadroTexto 5">
          <a:extLst>
            <a:ext uri="{FF2B5EF4-FFF2-40B4-BE49-F238E27FC236}">
              <a16:creationId xmlns:a16="http://schemas.microsoft.com/office/drawing/2014/main" id="{9C6FA04C-14D1-450C-AB27-7DF00E47E101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0</xdr:colOff>
      <xdr:row>63</xdr:row>
      <xdr:rowOff>0</xdr:rowOff>
    </xdr:from>
    <xdr:ext cx="0" cy="4152900"/>
    <xdr:pic>
      <xdr:nvPicPr>
        <xdr:cNvPr id="20" name="Imagen 1">
          <a:extLst>
            <a:ext uri="{FF2B5EF4-FFF2-40B4-BE49-F238E27FC236}">
              <a16:creationId xmlns:a16="http://schemas.microsoft.com/office/drawing/2014/main" id="{C2237BA0-2819-49C3-89F9-0667B775CB1C}"/>
            </a:ext>
            <a:ext uri="{147F2762-F138-4A5C-976F-8EAC2B608ADB}">
              <a16:predDERef xmlns:a16="http://schemas.microsoft.com/office/drawing/2014/main" pred="{B1D15AB4-0326-46F4-B123-FAB0A984B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3520" y="0"/>
          <a:ext cx="0" cy="4152900"/>
        </a:xfrm>
        <a:prstGeom prst="rect">
          <a:avLst/>
        </a:prstGeom>
      </xdr:spPr>
    </xdr:pic>
    <xdr:clientData/>
  </xdr:oneCellAnchor>
  <xdr:oneCellAnchor>
    <xdr:from>
      <xdr:col>9</xdr:col>
      <xdr:colOff>350520</xdr:colOff>
      <xdr:row>74</xdr:row>
      <xdr:rowOff>175260</xdr:rowOff>
    </xdr:from>
    <xdr:ext cx="65" cy="172227"/>
    <xdr:sp macro="" textlink="">
      <xdr:nvSpPr>
        <xdr:cNvPr id="21" name="CuadroTexto 5">
          <a:extLst>
            <a:ext uri="{FF2B5EF4-FFF2-40B4-BE49-F238E27FC236}">
              <a16:creationId xmlns:a16="http://schemas.microsoft.com/office/drawing/2014/main" id="{81A9E6A6-E680-4265-BB86-978F253BFC71}"/>
            </a:ext>
            <a:ext uri="{147F2762-F138-4A5C-976F-8EAC2B608ADB}">
              <a16:predDERef xmlns:a16="http://schemas.microsoft.com/office/drawing/2014/main" pred="{0F6C5E67-E0D6-4304-809E-4F56F2E12D90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0" cy="4152900"/>
    <xdr:pic>
      <xdr:nvPicPr>
        <xdr:cNvPr id="3" name="Imagen 1">
          <a:extLst>
            <a:ext uri="{FF2B5EF4-FFF2-40B4-BE49-F238E27FC236}">
              <a16:creationId xmlns:a16="http://schemas.microsoft.com/office/drawing/2014/main" id="{8F14DC7D-CBF8-4E6B-A795-8AFB36290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2520" y="0"/>
          <a:ext cx="0" cy="415290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2</xdr:row>
      <xdr:rowOff>0</xdr:rowOff>
    </xdr:from>
    <xdr:to>
      <xdr:col>0</xdr:col>
      <xdr:colOff>306282</xdr:colOff>
      <xdr:row>3</xdr:row>
      <xdr:rowOff>120015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22C4598-D90F-4653-A8FC-B8CCA79A989B}"/>
            </a:ext>
          </a:extLst>
        </xdr:cNvPr>
        <xdr:cNvSpPr>
          <a:spLocks noChangeAspect="1" noChangeArrowheads="1"/>
        </xdr:cNvSpPr>
      </xdr:nvSpPr>
      <xdr:spPr bwMode="auto">
        <a:xfrm>
          <a:off x="7002780" y="403860"/>
          <a:ext cx="310515" cy="318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11</xdr:row>
      <xdr:rowOff>175260</xdr:rowOff>
    </xdr:from>
    <xdr:ext cx="65" cy="172227"/>
    <xdr:sp macro="" textlink="">
      <xdr:nvSpPr>
        <xdr:cNvPr id="5" name="CuadroTexto 5">
          <a:extLst>
            <a:ext uri="{FF2B5EF4-FFF2-40B4-BE49-F238E27FC236}">
              <a16:creationId xmlns:a16="http://schemas.microsoft.com/office/drawing/2014/main" id="{3EEF9DA1-0CFD-4423-96DE-4F09A00DA27C}"/>
            </a:ext>
          </a:extLst>
        </xdr:cNvPr>
        <xdr:cNvSpPr txBox="1"/>
      </xdr:nvSpPr>
      <xdr:spPr>
        <a:xfrm>
          <a:off x="6896100" y="23469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0" cy="4152900"/>
    <xdr:pic>
      <xdr:nvPicPr>
        <xdr:cNvPr id="6" name="Imagen 1">
          <a:extLst>
            <a:ext uri="{FF2B5EF4-FFF2-40B4-BE49-F238E27FC236}">
              <a16:creationId xmlns:a16="http://schemas.microsoft.com/office/drawing/2014/main" id="{D8DDDA8C-F7FC-441A-B1E2-3C0471ECF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78840" y="0"/>
          <a:ext cx="0" cy="415290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2</xdr:row>
      <xdr:rowOff>0</xdr:rowOff>
    </xdr:from>
    <xdr:to>
      <xdr:col>0</xdr:col>
      <xdr:colOff>306282</xdr:colOff>
      <xdr:row>3</xdr:row>
      <xdr:rowOff>104775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3A53AF5F-5434-40E8-A48B-9A515EF0DD14}"/>
            </a:ext>
          </a:extLst>
        </xdr:cNvPr>
        <xdr:cNvSpPr>
          <a:spLocks noChangeAspect="1" noChangeArrowheads="1"/>
        </xdr:cNvSpPr>
      </xdr:nvSpPr>
      <xdr:spPr bwMode="auto">
        <a:xfrm>
          <a:off x="15659100" y="403860"/>
          <a:ext cx="310515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11</xdr:row>
      <xdr:rowOff>175260</xdr:rowOff>
    </xdr:from>
    <xdr:ext cx="65" cy="172227"/>
    <xdr:sp macro="" textlink="">
      <xdr:nvSpPr>
        <xdr:cNvPr id="8" name="CuadroTexto 5">
          <a:extLst>
            <a:ext uri="{FF2B5EF4-FFF2-40B4-BE49-F238E27FC236}">
              <a16:creationId xmlns:a16="http://schemas.microsoft.com/office/drawing/2014/main" id="{2C455F16-ADC6-4F5B-951B-288FF8677CDA}"/>
            </a:ext>
          </a:extLst>
        </xdr:cNvPr>
        <xdr:cNvSpPr txBox="1"/>
      </xdr:nvSpPr>
      <xdr:spPr>
        <a:xfrm>
          <a:off x="15552420" y="23469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350520</xdr:colOff>
      <xdr:row>11</xdr:row>
      <xdr:rowOff>175260</xdr:rowOff>
    </xdr:from>
    <xdr:ext cx="65" cy="172227"/>
    <xdr:sp macro="" textlink="">
      <xdr:nvSpPr>
        <xdr:cNvPr id="10" name="CuadroTexto 5">
          <a:extLst>
            <a:ext uri="{FF2B5EF4-FFF2-40B4-BE49-F238E27FC236}">
              <a16:creationId xmlns:a16="http://schemas.microsoft.com/office/drawing/2014/main" id="{50F7CD66-CA1D-43E9-B231-54DBCD16663C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350520</xdr:colOff>
      <xdr:row>11</xdr:row>
      <xdr:rowOff>175260</xdr:rowOff>
    </xdr:from>
    <xdr:ext cx="65" cy="172227"/>
    <xdr:sp macro="" textlink="">
      <xdr:nvSpPr>
        <xdr:cNvPr id="12" name="CuadroTexto 5">
          <a:extLst>
            <a:ext uri="{FF2B5EF4-FFF2-40B4-BE49-F238E27FC236}">
              <a16:creationId xmlns:a16="http://schemas.microsoft.com/office/drawing/2014/main" id="{FCA5A119-13CD-4B44-9FDA-7B542AAF0E62}"/>
            </a:ext>
            <a:ext uri="{147F2762-F138-4A5C-976F-8EAC2B608ADB}">
              <a16:predDERef xmlns:a16="http://schemas.microsoft.com/office/drawing/2014/main" pred="{0F6C5E67-E0D6-4304-809E-4F56F2E12D90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350520</xdr:colOff>
      <xdr:row>49</xdr:row>
      <xdr:rowOff>175260</xdr:rowOff>
    </xdr:from>
    <xdr:ext cx="65" cy="172227"/>
    <xdr:sp macro="" textlink="">
      <xdr:nvSpPr>
        <xdr:cNvPr id="14" name="CuadroTexto 5">
          <a:extLst>
            <a:ext uri="{FF2B5EF4-FFF2-40B4-BE49-F238E27FC236}">
              <a16:creationId xmlns:a16="http://schemas.microsoft.com/office/drawing/2014/main" id="{A4924249-775D-4467-B9F3-E7B34598A5E0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350520</xdr:colOff>
      <xdr:row>49</xdr:row>
      <xdr:rowOff>175260</xdr:rowOff>
    </xdr:from>
    <xdr:ext cx="65" cy="172227"/>
    <xdr:sp macro="" textlink="">
      <xdr:nvSpPr>
        <xdr:cNvPr id="16" name="CuadroTexto 5">
          <a:extLst>
            <a:ext uri="{FF2B5EF4-FFF2-40B4-BE49-F238E27FC236}">
              <a16:creationId xmlns:a16="http://schemas.microsoft.com/office/drawing/2014/main" id="{F7A79FCE-64F9-44A8-BB6D-7ACDB6A41EBB}"/>
            </a:ext>
            <a:ext uri="{147F2762-F138-4A5C-976F-8EAC2B608ADB}">
              <a16:predDERef xmlns:a16="http://schemas.microsoft.com/office/drawing/2014/main" pred="{0F6C5E67-E0D6-4304-809E-4F56F2E12D90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twoCellAnchor editAs="oneCell">
    <xdr:from>
      <xdr:col>12</xdr:col>
      <xdr:colOff>84667</xdr:colOff>
      <xdr:row>0</xdr:row>
      <xdr:rowOff>0</xdr:rowOff>
    </xdr:from>
    <xdr:to>
      <xdr:col>17</xdr:col>
      <xdr:colOff>442312</xdr:colOff>
      <xdr:row>17</xdr:row>
      <xdr:rowOff>54482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C6CCAAB1-3461-57B0-FE05-B03581BAD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40750" y="0"/>
          <a:ext cx="4061812" cy="339881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0" cy="4152900"/>
    <xdr:pic>
      <xdr:nvPicPr>
        <xdr:cNvPr id="3" name="Imagen 1">
          <a:extLst>
            <a:ext uri="{FF2B5EF4-FFF2-40B4-BE49-F238E27FC236}">
              <a16:creationId xmlns:a16="http://schemas.microsoft.com/office/drawing/2014/main" id="{22E62DF4-7DD9-4331-BDC5-5527DD249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2520" y="0"/>
          <a:ext cx="0" cy="415290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2</xdr:row>
      <xdr:rowOff>0</xdr:rowOff>
    </xdr:from>
    <xdr:to>
      <xdr:col>0</xdr:col>
      <xdr:colOff>307202</xdr:colOff>
      <xdr:row>3</xdr:row>
      <xdr:rowOff>124291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9DC00F7C-D2CA-4368-AA67-D3B82B3A0FB6}"/>
            </a:ext>
          </a:extLst>
        </xdr:cNvPr>
        <xdr:cNvSpPr>
          <a:spLocks noChangeAspect="1" noChangeArrowheads="1"/>
        </xdr:cNvSpPr>
      </xdr:nvSpPr>
      <xdr:spPr bwMode="auto">
        <a:xfrm>
          <a:off x="7002780" y="403860"/>
          <a:ext cx="310515" cy="318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11</xdr:row>
      <xdr:rowOff>175260</xdr:rowOff>
    </xdr:from>
    <xdr:ext cx="65" cy="172227"/>
    <xdr:sp macro="" textlink="">
      <xdr:nvSpPr>
        <xdr:cNvPr id="5" name="CuadroTexto 5">
          <a:extLst>
            <a:ext uri="{FF2B5EF4-FFF2-40B4-BE49-F238E27FC236}">
              <a16:creationId xmlns:a16="http://schemas.microsoft.com/office/drawing/2014/main" id="{CD16D343-3E83-40A6-ABA9-D9B1D62D4479}"/>
            </a:ext>
          </a:extLst>
        </xdr:cNvPr>
        <xdr:cNvSpPr txBox="1"/>
      </xdr:nvSpPr>
      <xdr:spPr>
        <a:xfrm>
          <a:off x="6896100" y="23469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0" cy="4152900"/>
    <xdr:pic>
      <xdr:nvPicPr>
        <xdr:cNvPr id="6" name="Imagen 1">
          <a:extLst>
            <a:ext uri="{FF2B5EF4-FFF2-40B4-BE49-F238E27FC236}">
              <a16:creationId xmlns:a16="http://schemas.microsoft.com/office/drawing/2014/main" id="{2907A2F3-A14C-4CA1-BBB3-20C29FB03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78840" y="0"/>
          <a:ext cx="0" cy="415290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2</xdr:row>
      <xdr:rowOff>0</xdr:rowOff>
    </xdr:from>
    <xdr:to>
      <xdr:col>0</xdr:col>
      <xdr:colOff>307202</xdr:colOff>
      <xdr:row>3</xdr:row>
      <xdr:rowOff>109051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6BAF6C5C-608D-4A57-A301-1832A1B7ABBD}"/>
            </a:ext>
          </a:extLst>
        </xdr:cNvPr>
        <xdr:cNvSpPr>
          <a:spLocks noChangeAspect="1" noChangeArrowheads="1"/>
        </xdr:cNvSpPr>
      </xdr:nvSpPr>
      <xdr:spPr bwMode="auto">
        <a:xfrm>
          <a:off x="15659100" y="403860"/>
          <a:ext cx="310515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11</xdr:row>
      <xdr:rowOff>175260</xdr:rowOff>
    </xdr:from>
    <xdr:ext cx="65" cy="172227"/>
    <xdr:sp macro="" textlink="">
      <xdr:nvSpPr>
        <xdr:cNvPr id="8" name="CuadroTexto 5">
          <a:extLst>
            <a:ext uri="{FF2B5EF4-FFF2-40B4-BE49-F238E27FC236}">
              <a16:creationId xmlns:a16="http://schemas.microsoft.com/office/drawing/2014/main" id="{1BD3EDFA-73A4-4511-83AB-5B2B540C1DF2}"/>
            </a:ext>
          </a:extLst>
        </xdr:cNvPr>
        <xdr:cNvSpPr txBox="1"/>
      </xdr:nvSpPr>
      <xdr:spPr>
        <a:xfrm>
          <a:off x="15552420" y="23469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twoCellAnchor editAs="oneCell">
    <xdr:from>
      <xdr:col>12</xdr:col>
      <xdr:colOff>1056968</xdr:colOff>
      <xdr:row>1</xdr:row>
      <xdr:rowOff>122904</xdr:rowOff>
    </xdr:from>
    <xdr:to>
      <xdr:col>18</xdr:col>
      <xdr:colOff>98620</xdr:colOff>
      <xdr:row>18</xdr:row>
      <xdr:rowOff>84351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7B02F2F-FE5A-D77E-6012-FF47DB1E9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37291" y="319549"/>
          <a:ext cx="3429297" cy="3292125"/>
        </a:xfrm>
        <a:prstGeom prst="rect">
          <a:avLst/>
        </a:prstGeom>
      </xdr:spPr>
    </xdr:pic>
    <xdr:clientData/>
  </xdr:twoCellAnchor>
  <xdr:oneCellAnchor>
    <xdr:from>
      <xdr:col>9</xdr:col>
      <xdr:colOff>350520</xdr:colOff>
      <xdr:row>11</xdr:row>
      <xdr:rowOff>175260</xdr:rowOff>
    </xdr:from>
    <xdr:ext cx="65" cy="172227"/>
    <xdr:sp macro="" textlink="">
      <xdr:nvSpPr>
        <xdr:cNvPr id="11" name="CuadroTexto 5">
          <a:extLst>
            <a:ext uri="{FF2B5EF4-FFF2-40B4-BE49-F238E27FC236}">
              <a16:creationId xmlns:a16="http://schemas.microsoft.com/office/drawing/2014/main" id="{D0AF2BE5-3CBC-46BB-AF17-9BA577306AD6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350520</xdr:colOff>
      <xdr:row>11</xdr:row>
      <xdr:rowOff>175260</xdr:rowOff>
    </xdr:from>
    <xdr:ext cx="65" cy="172227"/>
    <xdr:sp macro="" textlink="">
      <xdr:nvSpPr>
        <xdr:cNvPr id="13" name="CuadroTexto 5">
          <a:extLst>
            <a:ext uri="{FF2B5EF4-FFF2-40B4-BE49-F238E27FC236}">
              <a16:creationId xmlns:a16="http://schemas.microsoft.com/office/drawing/2014/main" id="{71AAE90B-ED86-4ECE-9F60-926FC7275C25}"/>
            </a:ext>
            <a:ext uri="{147F2762-F138-4A5C-976F-8EAC2B608ADB}">
              <a16:predDERef xmlns:a16="http://schemas.microsoft.com/office/drawing/2014/main" pred="{0F6C5E67-E0D6-4304-809E-4F56F2E12D90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0" cy="4152900"/>
    <xdr:pic>
      <xdr:nvPicPr>
        <xdr:cNvPr id="3" name="Imagen 1">
          <a:extLst>
            <a:ext uri="{FF2B5EF4-FFF2-40B4-BE49-F238E27FC236}">
              <a16:creationId xmlns:a16="http://schemas.microsoft.com/office/drawing/2014/main" id="{2291A22B-77DE-400D-A79F-99B7C145D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2520" y="0"/>
          <a:ext cx="0" cy="415290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2</xdr:row>
      <xdr:rowOff>0</xdr:rowOff>
    </xdr:from>
    <xdr:to>
      <xdr:col>0</xdr:col>
      <xdr:colOff>313337</xdr:colOff>
      <xdr:row>3</xdr:row>
      <xdr:rowOff>120014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C2C9817E-05B5-4558-9D0A-84628A32445F}"/>
            </a:ext>
          </a:extLst>
        </xdr:cNvPr>
        <xdr:cNvSpPr>
          <a:spLocks noChangeAspect="1" noChangeArrowheads="1"/>
        </xdr:cNvSpPr>
      </xdr:nvSpPr>
      <xdr:spPr bwMode="auto">
        <a:xfrm>
          <a:off x="7002780" y="403860"/>
          <a:ext cx="310515" cy="318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11</xdr:row>
      <xdr:rowOff>175260</xdr:rowOff>
    </xdr:from>
    <xdr:ext cx="65" cy="172227"/>
    <xdr:sp macro="" textlink="">
      <xdr:nvSpPr>
        <xdr:cNvPr id="5" name="CuadroTexto 5">
          <a:extLst>
            <a:ext uri="{FF2B5EF4-FFF2-40B4-BE49-F238E27FC236}">
              <a16:creationId xmlns:a16="http://schemas.microsoft.com/office/drawing/2014/main" id="{F4F0976F-64B5-4AF2-840D-C79DC8A61B5F}"/>
            </a:ext>
          </a:extLst>
        </xdr:cNvPr>
        <xdr:cNvSpPr txBox="1"/>
      </xdr:nvSpPr>
      <xdr:spPr>
        <a:xfrm>
          <a:off x="6896100" y="23469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0" cy="4152900"/>
    <xdr:pic>
      <xdr:nvPicPr>
        <xdr:cNvPr id="6" name="Imagen 1">
          <a:extLst>
            <a:ext uri="{FF2B5EF4-FFF2-40B4-BE49-F238E27FC236}">
              <a16:creationId xmlns:a16="http://schemas.microsoft.com/office/drawing/2014/main" id="{57034B96-F37A-41EE-B495-7E82603DE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78840" y="0"/>
          <a:ext cx="0" cy="415290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2</xdr:row>
      <xdr:rowOff>0</xdr:rowOff>
    </xdr:from>
    <xdr:to>
      <xdr:col>0</xdr:col>
      <xdr:colOff>313337</xdr:colOff>
      <xdr:row>3</xdr:row>
      <xdr:rowOff>104774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721C5AD8-18A3-4E79-8420-823E336337D4}"/>
            </a:ext>
          </a:extLst>
        </xdr:cNvPr>
        <xdr:cNvSpPr>
          <a:spLocks noChangeAspect="1" noChangeArrowheads="1"/>
        </xdr:cNvSpPr>
      </xdr:nvSpPr>
      <xdr:spPr bwMode="auto">
        <a:xfrm>
          <a:off x="15659100" y="403860"/>
          <a:ext cx="310515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11</xdr:row>
      <xdr:rowOff>175260</xdr:rowOff>
    </xdr:from>
    <xdr:ext cx="65" cy="172227"/>
    <xdr:sp macro="" textlink="">
      <xdr:nvSpPr>
        <xdr:cNvPr id="8" name="CuadroTexto 5">
          <a:extLst>
            <a:ext uri="{FF2B5EF4-FFF2-40B4-BE49-F238E27FC236}">
              <a16:creationId xmlns:a16="http://schemas.microsoft.com/office/drawing/2014/main" id="{2352FEB8-D432-45F5-BA13-684974FA9957}"/>
            </a:ext>
          </a:extLst>
        </xdr:cNvPr>
        <xdr:cNvSpPr txBox="1"/>
      </xdr:nvSpPr>
      <xdr:spPr>
        <a:xfrm>
          <a:off x="15552420" y="23469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twoCellAnchor editAs="oneCell">
    <xdr:from>
      <xdr:col>11</xdr:col>
      <xdr:colOff>630296</xdr:colOff>
      <xdr:row>1</xdr:row>
      <xdr:rowOff>112889</xdr:rowOff>
    </xdr:from>
    <xdr:to>
      <xdr:col>15</xdr:col>
      <xdr:colOff>345238</xdr:colOff>
      <xdr:row>19</xdr:row>
      <xdr:rowOff>147060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4BC405B-712F-2E0F-B595-B86D941C0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25555" y="291630"/>
          <a:ext cx="3101609" cy="3505504"/>
        </a:xfrm>
        <a:prstGeom prst="rect">
          <a:avLst/>
        </a:prstGeom>
      </xdr:spPr>
    </xdr:pic>
    <xdr:clientData/>
  </xdr:twoCellAnchor>
  <xdr:oneCellAnchor>
    <xdr:from>
      <xdr:col>9</xdr:col>
      <xdr:colOff>350520</xdr:colOff>
      <xdr:row>11</xdr:row>
      <xdr:rowOff>175260</xdr:rowOff>
    </xdr:from>
    <xdr:ext cx="65" cy="172227"/>
    <xdr:sp macro="" textlink="">
      <xdr:nvSpPr>
        <xdr:cNvPr id="11" name="CuadroTexto 5">
          <a:extLst>
            <a:ext uri="{FF2B5EF4-FFF2-40B4-BE49-F238E27FC236}">
              <a16:creationId xmlns:a16="http://schemas.microsoft.com/office/drawing/2014/main" id="{6D82A807-DFAC-4317-9A9F-AF28487DE3E8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350520</xdr:colOff>
      <xdr:row>11</xdr:row>
      <xdr:rowOff>175260</xdr:rowOff>
    </xdr:from>
    <xdr:ext cx="65" cy="172227"/>
    <xdr:sp macro="" textlink="">
      <xdr:nvSpPr>
        <xdr:cNvPr id="13" name="CuadroTexto 5">
          <a:extLst>
            <a:ext uri="{FF2B5EF4-FFF2-40B4-BE49-F238E27FC236}">
              <a16:creationId xmlns:a16="http://schemas.microsoft.com/office/drawing/2014/main" id="{B0A8FA9A-EE85-4924-8B4A-28CFAD43C41D}"/>
            </a:ext>
            <a:ext uri="{147F2762-F138-4A5C-976F-8EAC2B608ADB}">
              <a16:predDERef xmlns:a16="http://schemas.microsoft.com/office/drawing/2014/main" pred="{0F6C5E67-E0D6-4304-809E-4F56F2E12D90}"/>
            </a:ext>
          </a:extLst>
        </xdr:cNvPr>
        <xdr:cNvSpPr txBox="1"/>
      </xdr:nvSpPr>
      <xdr:spPr>
        <a:xfrm>
          <a:off x="7277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F6E12-57B1-40DA-9972-C55787E67E2E}">
  <dimension ref="A1:K73"/>
  <sheetViews>
    <sheetView zoomScaleNormal="100" workbookViewId="0">
      <selection activeCell="F16" sqref="F16:H16"/>
    </sheetView>
  </sheetViews>
  <sheetFormatPr defaultColWidth="11.42578125" defaultRowHeight="14.45"/>
  <cols>
    <col min="1" max="1" width="20.42578125" bestFit="1" customWidth="1"/>
    <col min="2" max="2" width="10.5703125" bestFit="1" customWidth="1"/>
    <col min="3" max="3" width="8.42578125" bestFit="1" customWidth="1"/>
    <col min="4" max="4" width="8.85546875" bestFit="1" customWidth="1"/>
    <col min="5" max="5" width="8.42578125" bestFit="1" customWidth="1"/>
    <col min="6" max="6" width="10.28515625" bestFit="1" customWidth="1"/>
    <col min="7" max="7" width="10.7109375" bestFit="1" customWidth="1"/>
    <col min="8" max="8" width="12.140625" bestFit="1" customWidth="1"/>
    <col min="9" max="9" width="11.5703125" bestFit="1" customWidth="1"/>
    <col min="10" max="10" width="8.28515625" bestFit="1" customWidth="1"/>
    <col min="11" max="11" width="9.5703125" bestFit="1" customWidth="1"/>
    <col min="13" max="13" width="20.42578125" bestFit="1" customWidth="1"/>
    <col min="14" max="14" width="9.7109375" bestFit="1" customWidth="1"/>
    <col min="15" max="15" width="8.28515625" bestFit="1" customWidth="1"/>
    <col min="16" max="17" width="9.5703125" bestFit="1" customWidth="1"/>
    <col min="18" max="18" width="10.28515625" bestFit="1" customWidth="1"/>
    <col min="19" max="19" width="10.85546875" bestFit="1" customWidth="1"/>
    <col min="20" max="20" width="12.28515625" bestFit="1" customWidth="1"/>
    <col min="21" max="21" width="11.5703125" bestFit="1" customWidth="1"/>
    <col min="22" max="22" width="8.28515625" bestFit="1" customWidth="1"/>
    <col min="23" max="23" width="9.5703125" bestFit="1" customWidth="1"/>
  </cols>
  <sheetData>
    <row r="1" spans="1:11" ht="15.6">
      <c r="A1" s="16" t="s">
        <v>0</v>
      </c>
      <c r="B1" s="29"/>
      <c r="C1" s="30" t="s">
        <v>1</v>
      </c>
      <c r="D1" s="30" t="s">
        <v>2</v>
      </c>
      <c r="E1" s="30" t="s">
        <v>3</v>
      </c>
      <c r="F1" s="30" t="s">
        <v>4</v>
      </c>
      <c r="G1" s="30" t="s">
        <v>5</v>
      </c>
      <c r="H1" s="30" t="s">
        <v>6</v>
      </c>
      <c r="I1" s="30" t="s">
        <v>7</v>
      </c>
      <c r="J1" s="32">
        <v>0.02</v>
      </c>
      <c r="K1" s="33"/>
    </row>
    <row r="2" spans="1:11" ht="15.6">
      <c r="A2" s="17"/>
      <c r="B2" s="25" t="s">
        <v>8</v>
      </c>
      <c r="C2" s="36">
        <v>0</v>
      </c>
      <c r="D2" s="31">
        <v>0</v>
      </c>
      <c r="E2" s="31">
        <v>0</v>
      </c>
      <c r="F2" s="31">
        <v>0.02</v>
      </c>
      <c r="G2" s="31">
        <v>-0.10000001589007274</v>
      </c>
      <c r="H2" s="31">
        <v>1.0157972550723358</v>
      </c>
      <c r="I2" s="31">
        <v>-10.118518177450868</v>
      </c>
      <c r="J2" s="18" t="s">
        <v>9</v>
      </c>
      <c r="K2" s="19" t="s">
        <v>10</v>
      </c>
    </row>
    <row r="3" spans="1:11" ht="15.6">
      <c r="A3" s="17"/>
      <c r="B3" s="37">
        <v>7.2</v>
      </c>
      <c r="C3" s="34"/>
      <c r="D3" s="2">
        <f t="shared" ref="D3:I3" si="0">$B3*C4</f>
        <v>0</v>
      </c>
      <c r="E3" s="2">
        <f t="shared" si="0"/>
        <v>0</v>
      </c>
      <c r="F3" s="2">
        <f t="shared" si="0"/>
        <v>0</v>
      </c>
      <c r="G3" s="2">
        <f t="shared" si="0"/>
        <v>0.14400000000000002</v>
      </c>
      <c r="H3" s="2">
        <f t="shared" si="0"/>
        <v>0.31679988559147643</v>
      </c>
      <c r="I3" s="3">
        <f t="shared" si="0"/>
        <v>9.5946994127794483</v>
      </c>
      <c r="J3" s="5"/>
      <c r="K3" s="6"/>
    </row>
    <row r="4" spans="1:11" ht="15.6">
      <c r="B4" s="4"/>
      <c r="C4" s="20">
        <f>SUM(C2:C3)</f>
        <v>0</v>
      </c>
      <c r="D4" s="5">
        <f t="shared" ref="D4:I4" si="1">SUM(D2:D3)</f>
        <v>0</v>
      </c>
      <c r="E4" s="6">
        <f t="shared" si="1"/>
        <v>0</v>
      </c>
      <c r="F4" s="6">
        <f t="shared" si="1"/>
        <v>0.02</v>
      </c>
      <c r="G4" s="6">
        <f t="shared" si="1"/>
        <v>4.3999984109927281E-2</v>
      </c>
      <c r="H4" s="6">
        <f t="shared" si="1"/>
        <v>1.3325971406638122</v>
      </c>
      <c r="I4" s="7">
        <f t="shared" si="1"/>
        <v>-0.52381876467141986</v>
      </c>
      <c r="J4" s="5"/>
      <c r="K4" s="6"/>
    </row>
    <row r="5" spans="1:11" ht="15.6" thickBot="1">
      <c r="C5" s="21"/>
      <c r="D5" s="22">
        <f>$B3*C6</f>
        <v>0</v>
      </c>
      <c r="E5" s="23">
        <f>$B3*D6</f>
        <v>0</v>
      </c>
      <c r="F5" s="23">
        <f>$B3*E6</f>
        <v>0</v>
      </c>
      <c r="G5" s="23">
        <f>$B3*F6</f>
        <v>0.14400000000000002</v>
      </c>
      <c r="H5" s="24">
        <f>$B3*G6</f>
        <v>1.3535998855914766</v>
      </c>
      <c r="I5" s="1"/>
      <c r="J5" s="6"/>
      <c r="K5" s="6"/>
    </row>
    <row r="6" spans="1:11" ht="15.6">
      <c r="C6" s="13">
        <f>SUM(C4:C5)</f>
        <v>0</v>
      </c>
      <c r="D6" s="13">
        <f t="shared" ref="D6:H6" si="2">SUM(D4:D5)</f>
        <v>0</v>
      </c>
      <c r="E6" s="13">
        <f t="shared" si="2"/>
        <v>0</v>
      </c>
      <c r="F6" s="13">
        <f t="shared" si="2"/>
        <v>0.02</v>
      </c>
      <c r="G6" s="13">
        <f t="shared" si="2"/>
        <v>0.1879999841099273</v>
      </c>
      <c r="H6" s="8">
        <f t="shared" si="2"/>
        <v>2.6861970262552886</v>
      </c>
      <c r="I6" s="9"/>
      <c r="J6" s="6"/>
      <c r="K6" s="5"/>
    </row>
    <row r="7" spans="1:11" ht="15">
      <c r="C7" s="9"/>
      <c r="D7" s="9"/>
      <c r="E7" s="9"/>
      <c r="F7" s="9"/>
      <c r="G7" s="9"/>
      <c r="H7" s="9"/>
      <c r="I7" s="9"/>
      <c r="J7" s="6"/>
      <c r="K7" s="5"/>
    </row>
    <row r="8" spans="1:11" ht="15">
      <c r="B8" s="25" t="s">
        <v>11</v>
      </c>
      <c r="C8" s="10">
        <f t="shared" ref="C8:I8" si="3">C2</f>
        <v>0</v>
      </c>
      <c r="D8" s="11">
        <f t="shared" si="3"/>
        <v>0</v>
      </c>
      <c r="E8" s="11">
        <f t="shared" si="3"/>
        <v>0</v>
      </c>
      <c r="F8" s="11">
        <f t="shared" si="3"/>
        <v>0.02</v>
      </c>
      <c r="G8" s="11">
        <f t="shared" si="3"/>
        <v>-0.10000001589007274</v>
      </c>
      <c r="H8" s="11">
        <f t="shared" si="3"/>
        <v>1.0157972550723358</v>
      </c>
      <c r="I8" s="12">
        <f t="shared" si="3"/>
        <v>-10.118518177450868</v>
      </c>
      <c r="J8" s="6"/>
      <c r="K8" s="5"/>
    </row>
    <row r="9" spans="1:11" ht="15">
      <c r="B9" s="12">
        <f>B3-I4/H6</f>
        <v>7.3950038510025653</v>
      </c>
      <c r="C9" s="40"/>
      <c r="D9" s="6">
        <f t="shared" ref="D9:I9" si="4">$B9*C10</f>
        <v>0</v>
      </c>
      <c r="E9" s="6">
        <f>$B9*D10</f>
        <v>0</v>
      </c>
      <c r="F9" s="6">
        <f t="shared" si="4"/>
        <v>0</v>
      </c>
      <c r="G9" s="6">
        <f t="shared" si="4"/>
        <v>0.14790007702005131</v>
      </c>
      <c r="H9" s="6">
        <f t="shared" si="4"/>
        <v>0.35422113651944986</v>
      </c>
      <c r="I9" s="6">
        <f t="shared" si="4"/>
        <v>10.131291281765595</v>
      </c>
      <c r="J9" s="26">
        <f>ABS(B9-B3)</f>
        <v>0.19500385100256512</v>
      </c>
      <c r="K9" s="6">
        <f xml:space="preserve"> ABS(J9/B9)*100</f>
        <v>2.6369675382404001</v>
      </c>
    </row>
    <row r="10" spans="1:11" ht="15.6">
      <c r="B10" s="35"/>
      <c r="C10" s="26">
        <f t="shared" ref="C10:I10" si="5">SUM(C8:C9)</f>
        <v>0</v>
      </c>
      <c r="D10" s="13">
        <f t="shared" si="5"/>
        <v>0</v>
      </c>
      <c r="E10" s="13">
        <f t="shared" si="5"/>
        <v>0</v>
      </c>
      <c r="F10" s="13">
        <f>SUM(F8:F9)</f>
        <v>0.02</v>
      </c>
      <c r="G10" s="13">
        <f t="shared" si="5"/>
        <v>4.7900061129978577E-2</v>
      </c>
      <c r="H10" s="13">
        <f t="shared" si="5"/>
        <v>1.3700183915917856</v>
      </c>
      <c r="I10" s="14">
        <f t="shared" si="5"/>
        <v>1.277310431472678E-2</v>
      </c>
    </row>
    <row r="11" spans="1:11" ht="15.6" thickBot="1">
      <c r="B11" s="38"/>
      <c r="C11" s="42"/>
      <c r="D11" s="23">
        <f>$B9*C12</f>
        <v>0</v>
      </c>
      <c r="E11" s="23">
        <f>$B9*D12</f>
        <v>0</v>
      </c>
      <c r="F11" s="23">
        <f>$B9*E12</f>
        <v>0</v>
      </c>
      <c r="G11" s="23">
        <f>$B9*F12</f>
        <v>0.14790007702005131</v>
      </c>
      <c r="H11" s="23">
        <f>$B9*G12</f>
        <v>1.4479427756463052</v>
      </c>
      <c r="I11" s="39"/>
    </row>
    <row r="12" spans="1:11" ht="15.6">
      <c r="C12" s="13">
        <f t="shared" ref="C12:H12" si="6">SUM(C10:C11)</f>
        <v>0</v>
      </c>
      <c r="D12" s="13">
        <f t="shared" si="6"/>
        <v>0</v>
      </c>
      <c r="E12" s="13">
        <f t="shared" si="6"/>
        <v>0</v>
      </c>
      <c r="F12" s="13">
        <f t="shared" si="6"/>
        <v>0.02</v>
      </c>
      <c r="G12" s="13">
        <f t="shared" si="6"/>
        <v>0.19580013815002989</v>
      </c>
      <c r="H12" s="8">
        <f t="shared" si="6"/>
        <v>2.8179611672380909</v>
      </c>
    </row>
    <row r="14" spans="1:11" ht="15">
      <c r="B14" s="25" t="s">
        <v>12</v>
      </c>
      <c r="C14" s="27">
        <f t="shared" ref="C14:I14" si="7">C8</f>
        <v>0</v>
      </c>
      <c r="D14" s="28">
        <f t="shared" si="7"/>
        <v>0</v>
      </c>
      <c r="E14" s="28">
        <f t="shared" si="7"/>
        <v>0</v>
      </c>
      <c r="F14" s="28">
        <f t="shared" si="7"/>
        <v>0.02</v>
      </c>
      <c r="G14" s="28">
        <f t="shared" si="7"/>
        <v>-0.10000001589007274</v>
      </c>
      <c r="H14" s="28">
        <f t="shared" si="7"/>
        <v>1.0157972550723358</v>
      </c>
      <c r="I14" s="28">
        <f t="shared" si="7"/>
        <v>-10.118518177450868</v>
      </c>
    </row>
    <row r="15" spans="1:11" ht="15">
      <c r="B15" s="41">
        <f>B9-I10/H12</f>
        <v>7.3904711042552966</v>
      </c>
      <c r="C15" s="5"/>
      <c r="D15" s="6">
        <f t="shared" ref="D15:I15" si="8">$B15*C16</f>
        <v>0</v>
      </c>
      <c r="E15" s="6">
        <f t="shared" si="8"/>
        <v>0</v>
      </c>
      <c r="F15" s="6">
        <f t="shared" si="8"/>
        <v>0</v>
      </c>
      <c r="G15" s="6">
        <f t="shared" si="8"/>
        <v>0.14780942208510595</v>
      </c>
      <c r="H15" s="6">
        <f t="shared" si="8"/>
        <v>0.35333403499599714</v>
      </c>
      <c r="I15" s="6">
        <f t="shared" si="8"/>
        <v>10.118525237181791</v>
      </c>
      <c r="J15" s="5">
        <f>ABS(B15-B9)</f>
        <v>4.5327467472686678E-3</v>
      </c>
      <c r="K15" s="6">
        <f xml:space="preserve"> ABS(J15/B15)*100</f>
        <v>6.1332311341543516E-2</v>
      </c>
    </row>
    <row r="16" spans="1:11" ht="15.6">
      <c r="B16" s="35"/>
      <c r="C16" s="26">
        <f t="shared" ref="C16:I16" si="9">SUM(C14:C15)</f>
        <v>0</v>
      </c>
      <c r="D16" s="13">
        <f t="shared" si="9"/>
        <v>0</v>
      </c>
      <c r="E16" s="13">
        <f t="shared" si="9"/>
        <v>0</v>
      </c>
      <c r="F16" s="13">
        <f t="shared" si="9"/>
        <v>0.02</v>
      </c>
      <c r="G16" s="13">
        <f t="shared" si="9"/>
        <v>4.7809406195033211E-2</v>
      </c>
      <c r="H16" s="13">
        <f t="shared" si="9"/>
        <v>1.3691312900683328</v>
      </c>
      <c r="I16" s="14">
        <f t="shared" si="9"/>
        <v>7.0597309225206573E-6</v>
      </c>
    </row>
    <row r="17" spans="1:11" ht="15.6" thickBot="1">
      <c r="B17" s="38"/>
      <c r="C17" s="22"/>
      <c r="D17" s="23">
        <f>$B15*C18</f>
        <v>0</v>
      </c>
      <c r="E17" s="23">
        <f>$B15*D18</f>
        <v>0</v>
      </c>
      <c r="F17" s="23">
        <f>$B15*E18</f>
        <v>0</v>
      </c>
      <c r="G17" s="23">
        <f>$B15*F18</f>
        <v>0.14780942208510595</v>
      </c>
      <c r="H17" s="23">
        <f>$B15*G18</f>
        <v>1.4457152978526473</v>
      </c>
      <c r="I17" s="24"/>
    </row>
    <row r="18" spans="1:11" ht="15.6">
      <c r="C18" s="13">
        <f t="shared" ref="C18:H18" si="10">SUM(C16:C17)</f>
        <v>0</v>
      </c>
      <c r="D18" s="13">
        <f t="shared" si="10"/>
        <v>0</v>
      </c>
      <c r="E18" s="13">
        <f t="shared" si="10"/>
        <v>0</v>
      </c>
      <c r="F18" s="13">
        <f t="shared" si="10"/>
        <v>0.02</v>
      </c>
      <c r="G18" s="13">
        <f t="shared" si="10"/>
        <v>0.19561882828013916</v>
      </c>
      <c r="H18" s="8">
        <f t="shared" si="10"/>
        <v>2.8148465879209801</v>
      </c>
      <c r="I18" s="15"/>
    </row>
    <row r="20" spans="1:11" ht="15">
      <c r="B20" s="25" t="s">
        <v>13</v>
      </c>
      <c r="C20" s="27">
        <f t="shared" ref="C20:I20" si="11">C14</f>
        <v>0</v>
      </c>
      <c r="D20" s="28">
        <f t="shared" si="11"/>
        <v>0</v>
      </c>
      <c r="E20" s="28">
        <f t="shared" si="11"/>
        <v>0</v>
      </c>
      <c r="F20" s="28">
        <f t="shared" si="11"/>
        <v>0.02</v>
      </c>
      <c r="G20" s="28">
        <f t="shared" si="11"/>
        <v>-0.10000001589007274</v>
      </c>
      <c r="H20" s="28">
        <f t="shared" si="11"/>
        <v>1.0157972550723358</v>
      </c>
      <c r="I20" s="28">
        <f t="shared" si="11"/>
        <v>-10.118518177450868</v>
      </c>
      <c r="J20" s="15"/>
      <c r="K20" s="15"/>
    </row>
    <row r="21" spans="1:11" ht="15">
      <c r="B21" s="12">
        <f>B15-I16/H18</f>
        <v>7.3904685962213055</v>
      </c>
      <c r="C21" s="20"/>
      <c r="D21" s="6">
        <f t="shared" ref="D21:I21" si="12">$B21*C22</f>
        <v>0</v>
      </c>
      <c r="E21" s="6">
        <f t="shared" si="12"/>
        <v>0</v>
      </c>
      <c r="F21" s="6">
        <f t="shared" si="12"/>
        <v>0</v>
      </c>
      <c r="G21" s="6">
        <f t="shared" si="12"/>
        <v>0.14780937192442611</v>
      </c>
      <c r="H21" s="6">
        <f t="shared" si="12"/>
        <v>0.35333354437745224</v>
      </c>
      <c r="I21" s="6">
        <f t="shared" si="12"/>
        <v>10.118518177453028</v>
      </c>
      <c r="J21" s="5">
        <f>ABS(B21-B15)</f>
        <v>2.5080339911554006E-6</v>
      </c>
      <c r="K21" s="6">
        <f xml:space="preserve"> ABS(J21/B21)*100</f>
        <v>3.3936061813965908E-5</v>
      </c>
    </row>
    <row r="22" spans="1:11" ht="15.6">
      <c r="B22" s="35"/>
      <c r="C22" s="26">
        <f t="shared" ref="C22:I22" si="13">SUM(C20:C21)</f>
        <v>0</v>
      </c>
      <c r="D22" s="13">
        <f t="shared" si="13"/>
        <v>0</v>
      </c>
      <c r="E22" s="13">
        <f t="shared" si="13"/>
        <v>0</v>
      </c>
      <c r="F22" s="13">
        <f t="shared" si="13"/>
        <v>0.02</v>
      </c>
      <c r="G22" s="13">
        <f t="shared" si="13"/>
        <v>4.7809356034353379E-2</v>
      </c>
      <c r="H22" s="13">
        <f t="shared" si="13"/>
        <v>1.3691307994497879</v>
      </c>
      <c r="I22" s="14">
        <f t="shared" si="13"/>
        <v>2.1600499167107046E-12</v>
      </c>
      <c r="J22" s="15"/>
      <c r="K22" s="15"/>
    </row>
    <row r="23" spans="1:11" ht="15.6" thickBot="1">
      <c r="B23" s="38"/>
      <c r="C23" s="22"/>
      <c r="D23" s="23">
        <f>$B21*C24</f>
        <v>0</v>
      </c>
      <c r="E23" s="23">
        <f>$B21*D24</f>
        <v>0</v>
      </c>
      <c r="F23" s="23">
        <f>$B21*E24</f>
        <v>0</v>
      </c>
      <c r="G23" s="23">
        <f>$B21*F24</f>
        <v>0.14780937192442611</v>
      </c>
      <c r="H23" s="23">
        <f>$B21*G24</f>
        <v>1.4457140658121186</v>
      </c>
      <c r="I23" s="24"/>
      <c r="J23" s="15"/>
      <c r="K23" s="15"/>
    </row>
    <row r="24" spans="1:11" ht="15.6">
      <c r="C24" s="13">
        <f t="shared" ref="C24:H24" si="14">SUM(C22:C23)</f>
        <v>0</v>
      </c>
      <c r="D24" s="13">
        <f t="shared" si="14"/>
        <v>0</v>
      </c>
      <c r="E24" s="13">
        <f t="shared" si="14"/>
        <v>0</v>
      </c>
      <c r="F24" s="13">
        <f t="shared" si="14"/>
        <v>0.02</v>
      </c>
      <c r="G24" s="13">
        <f t="shared" si="14"/>
        <v>0.19561872795877949</v>
      </c>
      <c r="H24" s="8">
        <f t="shared" si="14"/>
        <v>2.8148448652619065</v>
      </c>
      <c r="I24" s="15"/>
      <c r="J24" s="15"/>
      <c r="K24" s="15"/>
    </row>
    <row r="26" spans="1:11" ht="15">
      <c r="B26" s="25" t="s">
        <v>14</v>
      </c>
      <c r="C26" s="27">
        <f t="shared" ref="C26:I26" si="15">C20</f>
        <v>0</v>
      </c>
      <c r="D26" s="28">
        <f t="shared" si="15"/>
        <v>0</v>
      </c>
      <c r="E26" s="28">
        <f t="shared" si="15"/>
        <v>0</v>
      </c>
      <c r="F26" s="28">
        <f t="shared" si="15"/>
        <v>0.02</v>
      </c>
      <c r="G26" s="28">
        <f t="shared" si="15"/>
        <v>-0.10000001589007274</v>
      </c>
      <c r="H26" s="28">
        <f t="shared" si="15"/>
        <v>1.0157972550723358</v>
      </c>
      <c r="I26" s="28">
        <f t="shared" si="15"/>
        <v>-10.118518177450868</v>
      </c>
      <c r="J26" s="15"/>
      <c r="K26" s="15"/>
    </row>
    <row r="27" spans="1:11" ht="15">
      <c r="B27" s="12">
        <f>B21-I22/H24</f>
        <v>7.3904685962205381</v>
      </c>
      <c r="C27" s="20"/>
      <c r="D27" s="6">
        <f t="shared" ref="D27:I27" si="16">$B27*C28</f>
        <v>0</v>
      </c>
      <c r="E27" s="6">
        <f t="shared" si="16"/>
        <v>0</v>
      </c>
      <c r="F27" s="6">
        <f t="shared" si="16"/>
        <v>0</v>
      </c>
      <c r="G27" s="6">
        <f t="shared" si="16"/>
        <v>0.14780937192441077</v>
      </c>
      <c r="H27" s="6">
        <f t="shared" si="16"/>
        <v>0.35333354437730208</v>
      </c>
      <c r="I27" s="6">
        <f t="shared" si="16"/>
        <v>10.118518177450868</v>
      </c>
      <c r="J27" s="5">
        <f>ABS(B27-B21)</f>
        <v>7.673861546209082E-13</v>
      </c>
      <c r="K27" s="6">
        <f xml:space="preserve"> ABS(J27/B27)*100</f>
        <v>1.0383457349556251E-11</v>
      </c>
    </row>
    <row r="28" spans="1:11" ht="15.6">
      <c r="B28" s="35"/>
      <c r="C28" s="26">
        <f t="shared" ref="C28:I28" si="17">SUM(C26:C27)</f>
        <v>0</v>
      </c>
      <c r="D28" s="13">
        <f t="shared" si="17"/>
        <v>0</v>
      </c>
      <c r="E28" s="13">
        <f t="shared" si="17"/>
        <v>0</v>
      </c>
      <c r="F28" s="13">
        <f t="shared" si="17"/>
        <v>0.02</v>
      </c>
      <c r="G28" s="13">
        <f t="shared" si="17"/>
        <v>4.780935603433803E-2</v>
      </c>
      <c r="H28" s="13">
        <f t="shared" si="17"/>
        <v>1.3691307994496378</v>
      </c>
      <c r="I28" s="14">
        <f t="shared" si="17"/>
        <v>0</v>
      </c>
      <c r="J28" s="15"/>
      <c r="K28" s="15"/>
    </row>
    <row r="29" spans="1:11" ht="15.6" thickBot="1">
      <c r="B29" s="38"/>
      <c r="C29" s="22"/>
      <c r="D29" s="23">
        <f>$B27*C30</f>
        <v>0</v>
      </c>
      <c r="E29" s="23">
        <f>$B27*D30</f>
        <v>0</v>
      </c>
      <c r="F29" s="23">
        <f>$B27*E30</f>
        <v>0</v>
      </c>
      <c r="G29" s="23">
        <f>$B27*F30</f>
        <v>0.14780937192441077</v>
      </c>
      <c r="H29" s="23">
        <f>$B27*G30</f>
        <v>1.4457140658117416</v>
      </c>
      <c r="I29" s="24"/>
      <c r="J29" s="15"/>
      <c r="K29" s="15"/>
    </row>
    <row r="30" spans="1:11" ht="15.6">
      <c r="C30" s="13">
        <f t="shared" ref="C30:H30" si="18">SUM(C28:C29)</f>
        <v>0</v>
      </c>
      <c r="D30" s="13">
        <f t="shared" si="18"/>
        <v>0</v>
      </c>
      <c r="E30" s="13">
        <f t="shared" si="18"/>
        <v>0</v>
      </c>
      <c r="F30" s="13">
        <f t="shared" si="18"/>
        <v>0.02</v>
      </c>
      <c r="G30" s="13">
        <f t="shared" si="18"/>
        <v>0.19561872795874879</v>
      </c>
      <c r="H30" s="8">
        <f t="shared" si="18"/>
        <v>2.8148448652613793</v>
      </c>
      <c r="I30" s="15"/>
      <c r="J30" s="15"/>
      <c r="K30" s="15"/>
    </row>
    <row r="32" spans="1:11" ht="15.6">
      <c r="A32" s="16" t="s">
        <v>0</v>
      </c>
      <c r="B32" s="29"/>
      <c r="C32" s="30" t="s">
        <v>1</v>
      </c>
      <c r="D32" s="30" t="s">
        <v>2</v>
      </c>
      <c r="E32" s="30" t="s">
        <v>3</v>
      </c>
      <c r="F32" s="30" t="s">
        <v>4</v>
      </c>
      <c r="G32" s="30" t="s">
        <v>5</v>
      </c>
      <c r="H32" s="30" t="s">
        <v>6</v>
      </c>
      <c r="I32" s="30" t="s">
        <v>7</v>
      </c>
      <c r="J32" s="32">
        <v>0.02</v>
      </c>
      <c r="K32" s="33"/>
    </row>
    <row r="33" spans="1:11" ht="15.6">
      <c r="A33" s="17"/>
      <c r="B33" s="25" t="s">
        <v>8</v>
      </c>
      <c r="C33" s="36">
        <v>0</v>
      </c>
      <c r="D33" s="31">
        <v>0</v>
      </c>
      <c r="E33" s="31">
        <v>0</v>
      </c>
      <c r="F33" s="31">
        <v>0.02</v>
      </c>
      <c r="G33" s="31">
        <v>-0.10000001222826266</v>
      </c>
      <c r="H33" s="31">
        <v>1.0157972387197429</v>
      </c>
      <c r="I33" s="31">
        <v>-10.118518003334559</v>
      </c>
      <c r="J33" s="18" t="s">
        <v>9</v>
      </c>
      <c r="K33" s="19" t="s">
        <v>10</v>
      </c>
    </row>
    <row r="34" spans="1:11" ht="15.6">
      <c r="A34" s="17"/>
      <c r="B34" s="37">
        <v>-1</v>
      </c>
      <c r="C34" s="34"/>
      <c r="D34" s="2">
        <f t="shared" ref="D34" si="19">$B34*C35</f>
        <v>0</v>
      </c>
      <c r="E34" s="2">
        <f t="shared" ref="E34" si="20">$B34*D35</f>
        <v>0</v>
      </c>
      <c r="F34" s="2">
        <f t="shared" ref="F34" si="21">$B34*E35</f>
        <v>0</v>
      </c>
      <c r="G34" s="2">
        <f t="shared" ref="G34" si="22">$B34*F35</f>
        <v>-0.02</v>
      </c>
      <c r="H34" s="2">
        <f t="shared" ref="H34" si="23">$B34*G35</f>
        <v>0.12000001222826266</v>
      </c>
      <c r="I34" s="3">
        <f t="shared" ref="I34" si="24">$B34*H35</f>
        <v>-1.1357972509480057</v>
      </c>
      <c r="J34" s="5"/>
      <c r="K34" s="6"/>
    </row>
    <row r="35" spans="1:11" ht="15.6">
      <c r="B35" s="4"/>
      <c r="C35" s="20">
        <f>SUM(C33:C34)</f>
        <v>0</v>
      </c>
      <c r="D35" s="5">
        <f t="shared" ref="D35:I35" si="25">SUM(D33:D34)</f>
        <v>0</v>
      </c>
      <c r="E35" s="6">
        <f t="shared" si="25"/>
        <v>0</v>
      </c>
      <c r="F35" s="6">
        <f t="shared" si="25"/>
        <v>0.02</v>
      </c>
      <c r="G35" s="6">
        <f t="shared" si="25"/>
        <v>-0.12000001222826266</v>
      </c>
      <c r="H35" s="6">
        <f t="shared" si="25"/>
        <v>1.1357972509480057</v>
      </c>
      <c r="I35" s="7">
        <f t="shared" si="25"/>
        <v>-11.254315254282565</v>
      </c>
      <c r="J35" s="5"/>
      <c r="K35" s="6"/>
    </row>
    <row r="36" spans="1:11" ht="15.6" thickBot="1">
      <c r="C36" s="21"/>
      <c r="D36" s="22">
        <f>$B34*C37</f>
        <v>0</v>
      </c>
      <c r="E36" s="23">
        <f>$B34*D37</f>
        <v>0</v>
      </c>
      <c r="F36" s="23">
        <f>$B34*E37</f>
        <v>0</v>
      </c>
      <c r="G36" s="23">
        <f>$B34*F37</f>
        <v>-0.02</v>
      </c>
      <c r="H36" s="24">
        <f>$B34*G37</f>
        <v>0.14000001222826267</v>
      </c>
      <c r="I36" s="1"/>
      <c r="J36" s="6"/>
      <c r="K36" s="6"/>
    </row>
    <row r="37" spans="1:11" ht="15.6">
      <c r="C37" s="13">
        <f>SUM(C35:C36)</f>
        <v>0</v>
      </c>
      <c r="D37" s="13">
        <f t="shared" ref="D37:H37" si="26">SUM(D35:D36)</f>
        <v>0</v>
      </c>
      <c r="E37" s="13">
        <f t="shared" si="26"/>
        <v>0</v>
      </c>
      <c r="F37" s="13">
        <f t="shared" si="26"/>
        <v>0.02</v>
      </c>
      <c r="G37" s="13">
        <f t="shared" si="26"/>
        <v>-0.14000001222826267</v>
      </c>
      <c r="H37" s="8">
        <f t="shared" si="26"/>
        <v>1.2757972631762684</v>
      </c>
      <c r="I37" s="9"/>
      <c r="J37" s="6"/>
      <c r="K37" s="5"/>
    </row>
    <row r="38" spans="1:11" ht="15">
      <c r="C38" s="9"/>
      <c r="D38" s="9"/>
      <c r="E38" s="9"/>
      <c r="F38" s="9"/>
      <c r="G38" s="9"/>
      <c r="H38" s="9"/>
      <c r="I38" s="9"/>
      <c r="J38" s="6"/>
      <c r="K38" s="5"/>
    </row>
    <row r="39" spans="1:11" ht="15">
      <c r="B39" s="25" t="s">
        <v>11</v>
      </c>
      <c r="C39" s="10">
        <f t="shared" ref="C39:I39" si="27">C33</f>
        <v>0</v>
      </c>
      <c r="D39" s="11">
        <f t="shared" si="27"/>
        <v>0</v>
      </c>
      <c r="E39" s="11">
        <f t="shared" si="27"/>
        <v>0</v>
      </c>
      <c r="F39" s="11">
        <f t="shared" si="27"/>
        <v>0.02</v>
      </c>
      <c r="G39" s="11">
        <f t="shared" si="27"/>
        <v>-0.10000001222826266</v>
      </c>
      <c r="H39" s="11">
        <f t="shared" si="27"/>
        <v>1.0157972387197429</v>
      </c>
      <c r="I39" s="12">
        <f t="shared" si="27"/>
        <v>-10.118518003334559</v>
      </c>
      <c r="J39" s="6"/>
      <c r="K39" s="5"/>
    </row>
    <row r="40" spans="1:11" ht="15">
      <c r="B40" s="12">
        <f>B34-I35/H37</f>
        <v>7.8213978655695158</v>
      </c>
      <c r="C40" s="40"/>
      <c r="D40" s="6">
        <f t="shared" ref="D40" si="28">$B40*C41</f>
        <v>0</v>
      </c>
      <c r="E40" s="6">
        <f>$B40*D41</f>
        <v>0</v>
      </c>
      <c r="F40" s="6">
        <f t="shared" ref="F40" si="29">$B40*E41</f>
        <v>0</v>
      </c>
      <c r="G40" s="6">
        <f t="shared" ref="G40" si="30">$B40*F41</f>
        <v>0.15642795731139031</v>
      </c>
      <c r="H40" s="6">
        <f t="shared" ref="H40" si="31">$B40*G41</f>
        <v>0.44134540923164844</v>
      </c>
      <c r="I40" s="6">
        <f t="shared" ref="I40" si="32">$B40*H41</f>
        <v>11.396892396517325</v>
      </c>
      <c r="J40" s="26">
        <f>ABS(B40-B34)</f>
        <v>8.8213978655695158</v>
      </c>
      <c r="K40" s="6">
        <f xml:space="preserve"> ABS(J40/B40)*100</f>
        <v>112.78543832173642</v>
      </c>
    </row>
    <row r="41" spans="1:11" ht="15.6">
      <c r="B41" s="35"/>
      <c r="C41" s="26">
        <f t="shared" ref="C41:E41" si="33">SUM(C39:C40)</f>
        <v>0</v>
      </c>
      <c r="D41" s="13">
        <f t="shared" si="33"/>
        <v>0</v>
      </c>
      <c r="E41" s="13">
        <f t="shared" si="33"/>
        <v>0</v>
      </c>
      <c r="F41" s="13">
        <f>SUM(F39:F40)</f>
        <v>0.02</v>
      </c>
      <c r="G41" s="13">
        <f t="shared" ref="G41:I41" si="34">SUM(G39:G40)</f>
        <v>5.6427945083127651E-2</v>
      </c>
      <c r="H41" s="13">
        <f t="shared" si="34"/>
        <v>1.4571426479513914</v>
      </c>
      <c r="I41" s="14">
        <f t="shared" si="34"/>
        <v>1.2783743931827658</v>
      </c>
    </row>
    <row r="42" spans="1:11" ht="15.6" thickBot="1">
      <c r="B42" s="38"/>
      <c r="C42" s="42"/>
      <c r="D42" s="23">
        <f>$B40*C43</f>
        <v>0</v>
      </c>
      <c r="E42" s="23">
        <f>$B40*D43</f>
        <v>0</v>
      </c>
      <c r="F42" s="23">
        <f>$B40*E43</f>
        <v>0</v>
      </c>
      <c r="G42" s="23">
        <f>$B40*F43</f>
        <v>0.15642795731139031</v>
      </c>
      <c r="H42" s="23">
        <f>$B40*G43</f>
        <v>1.6648307006623559</v>
      </c>
      <c r="I42" s="39"/>
    </row>
    <row r="43" spans="1:11" ht="15.6">
      <c r="C43" s="13">
        <f t="shared" ref="C43:H43" si="35">SUM(C41:C42)</f>
        <v>0</v>
      </c>
      <c r="D43" s="13">
        <f t="shared" si="35"/>
        <v>0</v>
      </c>
      <c r="E43" s="13">
        <f t="shared" si="35"/>
        <v>0</v>
      </c>
      <c r="F43" s="13">
        <f t="shared" si="35"/>
        <v>0.02</v>
      </c>
      <c r="G43" s="13">
        <f t="shared" si="35"/>
        <v>0.21285590239451796</v>
      </c>
      <c r="H43" s="8">
        <f t="shared" si="35"/>
        <v>3.1219733486137473</v>
      </c>
    </row>
    <row r="45" spans="1:11" ht="15">
      <c r="B45" s="25" t="s">
        <v>12</v>
      </c>
      <c r="C45" s="27">
        <f t="shared" ref="C45:I45" si="36">C39</f>
        <v>0</v>
      </c>
      <c r="D45" s="28">
        <f t="shared" si="36"/>
        <v>0</v>
      </c>
      <c r="E45" s="28">
        <f t="shared" si="36"/>
        <v>0</v>
      </c>
      <c r="F45" s="28">
        <f t="shared" si="36"/>
        <v>0.02</v>
      </c>
      <c r="G45" s="28">
        <f t="shared" si="36"/>
        <v>-0.10000001222826266</v>
      </c>
      <c r="H45" s="28">
        <f t="shared" si="36"/>
        <v>1.0157972387197429</v>
      </c>
      <c r="I45" s="28">
        <f t="shared" si="36"/>
        <v>-10.118518003334559</v>
      </c>
    </row>
    <row r="46" spans="1:11" ht="15">
      <c r="B46" s="41">
        <f>B40-I41/H43</f>
        <v>7.4119214702151472</v>
      </c>
      <c r="C46" s="5"/>
      <c r="D46" s="6">
        <f t="shared" ref="D46" si="37">$B46*C47</f>
        <v>0</v>
      </c>
      <c r="E46" s="6">
        <f t="shared" ref="E46" si="38">$B46*D47</f>
        <v>0</v>
      </c>
      <c r="F46" s="6">
        <f t="shared" ref="F46" si="39">$B46*E47</f>
        <v>0</v>
      </c>
      <c r="G46" s="6">
        <f t="shared" ref="G46" si="40">$B46*F47</f>
        <v>0.14823842940430296</v>
      </c>
      <c r="H46" s="6">
        <f t="shared" ref="H46" si="41">$B46*G47</f>
        <v>0.35753935995628822</v>
      </c>
      <c r="I46" s="6">
        <f t="shared" ref="I46" si="42">$B46*H47</f>
        <v>10.179063021559118</v>
      </c>
      <c r="J46" s="5">
        <f>ABS(B46-B40)</f>
        <v>0.40947639535436853</v>
      </c>
      <c r="K46" s="6">
        <f xml:space="preserve"> ABS(J46/B46)*100</f>
        <v>5.5245646759730525</v>
      </c>
    </row>
    <row r="47" spans="1:11" ht="15.6">
      <c r="B47" s="35"/>
      <c r="C47" s="26">
        <f t="shared" ref="C47:I47" si="43">SUM(C45:C46)</f>
        <v>0</v>
      </c>
      <c r="D47" s="13">
        <f t="shared" si="43"/>
        <v>0</v>
      </c>
      <c r="E47" s="13">
        <f t="shared" si="43"/>
        <v>0</v>
      </c>
      <c r="F47" s="13">
        <f t="shared" si="43"/>
        <v>0.02</v>
      </c>
      <c r="G47" s="13">
        <f t="shared" si="43"/>
        <v>4.8238417176040299E-2</v>
      </c>
      <c r="H47" s="13">
        <f t="shared" si="43"/>
        <v>1.3733365986760311</v>
      </c>
      <c r="I47" s="14">
        <f t="shared" si="43"/>
        <v>6.0545018224559044E-2</v>
      </c>
    </row>
    <row r="48" spans="1:11" ht="15.6" thickBot="1">
      <c r="B48" s="38"/>
      <c r="C48" s="22"/>
      <c r="D48" s="23">
        <f>$B46*C49</f>
        <v>0</v>
      </c>
      <c r="E48" s="23">
        <f>$B46*D49</f>
        <v>0</v>
      </c>
      <c r="F48" s="23">
        <f>$B46*E49</f>
        <v>0</v>
      </c>
      <c r="G48" s="23">
        <f>$B46*F49</f>
        <v>0.14823842940430296</v>
      </c>
      <c r="H48" s="23">
        <f>$B46*G49</f>
        <v>1.4562709575690138</v>
      </c>
      <c r="I48" s="24"/>
    </row>
    <row r="49" spans="2:11" ht="15.6">
      <c r="C49" s="13">
        <f t="shared" ref="C49:H49" si="44">SUM(C47:C48)</f>
        <v>0</v>
      </c>
      <c r="D49" s="13">
        <f t="shared" si="44"/>
        <v>0</v>
      </c>
      <c r="E49" s="13">
        <f t="shared" si="44"/>
        <v>0</v>
      </c>
      <c r="F49" s="13">
        <f t="shared" si="44"/>
        <v>0.02</v>
      </c>
      <c r="G49" s="13">
        <f t="shared" si="44"/>
        <v>0.19647684658034326</v>
      </c>
      <c r="H49" s="8">
        <f t="shared" si="44"/>
        <v>2.8296075562450449</v>
      </c>
      <c r="I49" s="15"/>
    </row>
    <row r="51" spans="2:11" ht="15">
      <c r="B51" s="25" t="s">
        <v>13</v>
      </c>
      <c r="C51" s="27">
        <f t="shared" ref="C51:I51" si="45">C45</f>
        <v>0</v>
      </c>
      <c r="D51" s="28">
        <f t="shared" si="45"/>
        <v>0</v>
      </c>
      <c r="E51" s="28">
        <f t="shared" si="45"/>
        <v>0</v>
      </c>
      <c r="F51" s="28">
        <f t="shared" si="45"/>
        <v>0.02</v>
      </c>
      <c r="G51" s="28">
        <f t="shared" si="45"/>
        <v>-0.10000001222826266</v>
      </c>
      <c r="H51" s="28">
        <f t="shared" si="45"/>
        <v>1.0157972387197429</v>
      </c>
      <c r="I51" s="28">
        <f t="shared" si="45"/>
        <v>-10.118518003334559</v>
      </c>
      <c r="J51" s="15"/>
      <c r="K51" s="15"/>
    </row>
    <row r="52" spans="2:11" ht="15">
      <c r="B52" s="12">
        <f>B46-I47/H49</f>
        <v>7.3905245036672831</v>
      </c>
      <c r="C52" s="20"/>
      <c r="D52" s="6">
        <f t="shared" ref="D52" si="46">$B52*C53</f>
        <v>0</v>
      </c>
      <c r="E52" s="6">
        <f t="shared" ref="E52" si="47">$B52*D53</f>
        <v>0</v>
      </c>
      <c r="F52" s="6">
        <f t="shared" ref="F52" si="48">$B52*E53</f>
        <v>0</v>
      </c>
      <c r="G52" s="6">
        <f t="shared" ref="G52" si="49">$B52*F53</f>
        <v>0.14781049007334565</v>
      </c>
      <c r="H52" s="6">
        <f t="shared" ref="H52" si="50">$B52*G53</f>
        <v>0.3533445080461276</v>
      </c>
      <c r="I52" s="6">
        <f t="shared" ref="I52" si="51">$B52*H53</f>
        <v>10.118675628466992</v>
      </c>
      <c r="J52" s="5">
        <f>ABS(B52-B46)</f>
        <v>2.139696654786416E-2</v>
      </c>
      <c r="K52" s="6">
        <f xml:space="preserve"> ABS(J52/B52)*100</f>
        <v>0.28951891759842863</v>
      </c>
    </row>
    <row r="53" spans="2:11" ht="15.6">
      <c r="B53" s="35"/>
      <c r="C53" s="26">
        <f t="shared" ref="C53:I53" si="52">SUM(C51:C52)</f>
        <v>0</v>
      </c>
      <c r="D53" s="13">
        <f t="shared" si="52"/>
        <v>0</v>
      </c>
      <c r="E53" s="13">
        <f t="shared" si="52"/>
        <v>0</v>
      </c>
      <c r="F53" s="13">
        <f t="shared" si="52"/>
        <v>0.02</v>
      </c>
      <c r="G53" s="13">
        <f t="shared" si="52"/>
        <v>4.7810477845082994E-2</v>
      </c>
      <c r="H53" s="13">
        <f t="shared" si="52"/>
        <v>1.3691417467658704</v>
      </c>
      <c r="I53" s="14">
        <f t="shared" si="52"/>
        <v>1.5762513243267051E-4</v>
      </c>
      <c r="J53" s="15"/>
      <c r="K53" s="15"/>
    </row>
    <row r="54" spans="2:11" ht="15.6" thickBot="1">
      <c r="B54" s="38"/>
      <c r="C54" s="22"/>
      <c r="D54" s="23">
        <f>$B52*C55</f>
        <v>0</v>
      </c>
      <c r="E54" s="23">
        <f>$B52*D55</f>
        <v>0</v>
      </c>
      <c r="F54" s="23">
        <f>$B52*E55</f>
        <v>0</v>
      </c>
      <c r="G54" s="23">
        <f>$B52*F55</f>
        <v>0.14781049007334565</v>
      </c>
      <c r="H54" s="23">
        <f>$B52*G55</f>
        <v>1.4457415568322585</v>
      </c>
      <c r="I54" s="24"/>
      <c r="J54" s="15"/>
      <c r="K54" s="15"/>
    </row>
    <row r="55" spans="2:11" ht="15.6">
      <c r="C55" s="13">
        <f t="shared" ref="C55:H55" si="53">SUM(C53:C54)</f>
        <v>0</v>
      </c>
      <c r="D55" s="13">
        <f t="shared" si="53"/>
        <v>0</v>
      </c>
      <c r="E55" s="13">
        <f t="shared" si="53"/>
        <v>0</v>
      </c>
      <c r="F55" s="13">
        <f t="shared" si="53"/>
        <v>0.02</v>
      </c>
      <c r="G55" s="13">
        <f t="shared" si="53"/>
        <v>0.19562096791842865</v>
      </c>
      <c r="H55" s="8">
        <f t="shared" si="53"/>
        <v>2.8148833035981289</v>
      </c>
      <c r="I55" s="15"/>
      <c r="J55" s="15"/>
      <c r="K55" s="15"/>
    </row>
    <row r="57" spans="2:11" ht="15">
      <c r="B57" s="25" t="s">
        <v>14</v>
      </c>
      <c r="C57" s="27">
        <f t="shared" ref="C57:I57" si="54">C51</f>
        <v>0</v>
      </c>
      <c r="D57" s="28">
        <f t="shared" si="54"/>
        <v>0</v>
      </c>
      <c r="E57" s="28">
        <f t="shared" si="54"/>
        <v>0</v>
      </c>
      <c r="F57" s="28">
        <f t="shared" si="54"/>
        <v>0.02</v>
      </c>
      <c r="G57" s="28">
        <f t="shared" si="54"/>
        <v>-0.10000001222826266</v>
      </c>
      <c r="H57" s="28">
        <f t="shared" si="54"/>
        <v>1.0157972387197429</v>
      </c>
      <c r="I57" s="28">
        <f t="shared" si="54"/>
        <v>-10.118518003334559</v>
      </c>
      <c r="J57" s="15"/>
      <c r="K57" s="15"/>
    </row>
    <row r="58" spans="2:11" ht="15">
      <c r="B58" s="12">
        <f>B52-I53/H55</f>
        <v>7.3904685066274656</v>
      </c>
      <c r="C58" s="20"/>
      <c r="D58" s="6">
        <f t="shared" ref="D58" si="55">$B58*C59</f>
        <v>0</v>
      </c>
      <c r="E58" s="6">
        <f t="shared" ref="E58" si="56">$B58*D59</f>
        <v>0</v>
      </c>
      <c r="F58" s="6">
        <f t="shared" ref="F58" si="57">$B58*E59</f>
        <v>0</v>
      </c>
      <c r="G58" s="6">
        <f t="shared" ref="G58" si="58">$B58*F59</f>
        <v>0.14780937013254933</v>
      </c>
      <c r="H58" s="6">
        <f t="shared" ref="H58" si="59">$B58*G59</f>
        <v>0.35333355391371152</v>
      </c>
      <c r="I58" s="6">
        <f t="shared" ref="I58" si="60">$B58*H59</f>
        <v>10.118518004411444</v>
      </c>
      <c r="J58" s="5">
        <f>ABS(B58-B52)</f>
        <v>5.5997039817512473E-5</v>
      </c>
      <c r="K58" s="6">
        <f xml:space="preserve"> ABS(J58/B58)*100</f>
        <v>7.5769269251735056E-4</v>
      </c>
    </row>
    <row r="59" spans="2:11" ht="15.6">
      <c r="B59" s="35"/>
      <c r="C59" s="26">
        <f t="shared" ref="C59:I59" si="61">SUM(C57:C58)</f>
        <v>0</v>
      </c>
      <c r="D59" s="13">
        <f t="shared" si="61"/>
        <v>0</v>
      </c>
      <c r="E59" s="13">
        <f t="shared" si="61"/>
        <v>0</v>
      </c>
      <c r="F59" s="13">
        <f t="shared" si="61"/>
        <v>0.02</v>
      </c>
      <c r="G59" s="13">
        <f t="shared" si="61"/>
        <v>4.780935790428667E-2</v>
      </c>
      <c r="H59" s="13">
        <f t="shared" si="61"/>
        <v>1.3691307926334544</v>
      </c>
      <c r="I59" s="14">
        <f t="shared" si="61"/>
        <v>1.0768843594632926E-9</v>
      </c>
      <c r="J59" s="15"/>
      <c r="K59" s="15"/>
    </row>
    <row r="60" spans="2:11" ht="15.6" thickBot="1">
      <c r="B60" s="38"/>
      <c r="C60" s="22"/>
      <c r="D60" s="23">
        <f>$B58*C61</f>
        <v>0</v>
      </c>
      <c r="E60" s="23">
        <f>$B58*D61</f>
        <v>0</v>
      </c>
      <c r="F60" s="23">
        <f>$B58*E61</f>
        <v>0</v>
      </c>
      <c r="G60" s="23">
        <f>$B58*F61</f>
        <v>0.14780937013254933</v>
      </c>
      <c r="H60" s="23">
        <f>$B58*G61</f>
        <v>1.4457140488627596</v>
      </c>
      <c r="I60" s="24"/>
      <c r="J60" s="15"/>
      <c r="K60" s="15"/>
    </row>
    <row r="61" spans="2:11" ht="15.6">
      <c r="C61" s="13">
        <f t="shared" ref="C61:H61" si="62">SUM(C59:C60)</f>
        <v>0</v>
      </c>
      <c r="D61" s="13">
        <f t="shared" si="62"/>
        <v>0</v>
      </c>
      <c r="E61" s="13">
        <f t="shared" si="62"/>
        <v>0</v>
      </c>
      <c r="F61" s="13">
        <f t="shared" si="62"/>
        <v>0.02</v>
      </c>
      <c r="G61" s="13">
        <f t="shared" si="62"/>
        <v>0.195618728036836</v>
      </c>
      <c r="H61" s="8">
        <f t="shared" si="62"/>
        <v>2.8148448414962139</v>
      </c>
      <c r="I61" s="15"/>
      <c r="J61" s="15"/>
      <c r="K61" s="15"/>
    </row>
    <row r="63" spans="2:11" ht="15">
      <c r="B63" s="25" t="s">
        <v>15</v>
      </c>
      <c r="C63" s="27">
        <f t="shared" ref="C63:I63" si="63">C57</f>
        <v>0</v>
      </c>
      <c r="D63" s="28">
        <f t="shared" si="63"/>
        <v>0</v>
      </c>
      <c r="E63" s="28">
        <f t="shared" si="63"/>
        <v>0</v>
      </c>
      <c r="F63" s="28">
        <f t="shared" si="63"/>
        <v>0.02</v>
      </c>
      <c r="G63" s="28">
        <f t="shared" si="63"/>
        <v>-0.10000001222826266</v>
      </c>
      <c r="H63" s="28">
        <f t="shared" si="63"/>
        <v>1.0157972387197429</v>
      </c>
      <c r="I63" s="28">
        <f t="shared" si="63"/>
        <v>-10.118518003334559</v>
      </c>
      <c r="J63" s="15"/>
      <c r="K63" s="15"/>
    </row>
    <row r="64" spans="2:11" ht="15">
      <c r="B64" s="12">
        <f>B58-I59/H61</f>
        <v>7.3904685062448925</v>
      </c>
      <c r="C64" s="20"/>
      <c r="D64" s="6">
        <f t="shared" ref="D64" si="64">$B64*C65</f>
        <v>0</v>
      </c>
      <c r="E64" s="6">
        <f t="shared" ref="E64" si="65">$B64*D65</f>
        <v>0</v>
      </c>
      <c r="F64" s="6">
        <f t="shared" ref="F64" si="66">$B64*E65</f>
        <v>0</v>
      </c>
      <c r="G64" s="6">
        <f t="shared" ref="G64" si="67">$B64*F65</f>
        <v>0.14780937012489787</v>
      </c>
      <c r="H64" s="6">
        <f t="shared" ref="H64" si="68">$B64*G65</f>
        <v>0.35333355383887305</v>
      </c>
      <c r="I64" s="6">
        <f t="shared" ref="I64" si="69">$B64*H65</f>
        <v>10.118518003334561</v>
      </c>
      <c r="J64" s="5">
        <f>ABS(B64-B58)</f>
        <v>3.8257308432321224E-10</v>
      </c>
      <c r="K64" s="6">
        <f xml:space="preserve"> ABS(J64/B64)*100</f>
        <v>5.176574177942045E-9</v>
      </c>
    </row>
    <row r="65" spans="2:11" ht="15.6">
      <c r="B65" s="35"/>
      <c r="C65" s="26">
        <f t="shared" ref="C65:I65" si="70">SUM(C63:C64)</f>
        <v>0</v>
      </c>
      <c r="D65" s="13">
        <f t="shared" si="70"/>
        <v>0</v>
      </c>
      <c r="E65" s="13">
        <f t="shared" si="70"/>
        <v>0</v>
      </c>
      <c r="F65" s="13">
        <f t="shared" si="70"/>
        <v>0.02</v>
      </c>
      <c r="G65" s="13">
        <f t="shared" si="70"/>
        <v>4.7809357896635207E-2</v>
      </c>
      <c r="H65" s="13">
        <f t="shared" si="70"/>
        <v>1.369130792558616</v>
      </c>
      <c r="I65" s="14">
        <f t="shared" si="70"/>
        <v>0</v>
      </c>
      <c r="J65" s="15"/>
      <c r="K65" s="15"/>
    </row>
    <row r="66" spans="2:11" ht="15.6" thickBot="1">
      <c r="B66" s="38"/>
      <c r="C66" s="22"/>
      <c r="D66" s="23">
        <f>$B64*C67</f>
        <v>0</v>
      </c>
      <c r="E66" s="23">
        <f>$B64*D67</f>
        <v>0</v>
      </c>
      <c r="F66" s="23">
        <f>$B64*E67</f>
        <v>0</v>
      </c>
      <c r="G66" s="23">
        <f>$B64*F67</f>
        <v>0.14780937012489787</v>
      </c>
      <c r="H66" s="23">
        <f>$B64*G67</f>
        <v>1.4457140486748254</v>
      </c>
      <c r="I66" s="24"/>
      <c r="J66" s="15"/>
      <c r="K66" s="15"/>
    </row>
    <row r="67" spans="2:11" ht="15.6">
      <c r="C67" s="13">
        <f t="shared" ref="C67:H67" si="71">SUM(C65:C66)</f>
        <v>0</v>
      </c>
      <c r="D67" s="13">
        <f t="shared" si="71"/>
        <v>0</v>
      </c>
      <c r="E67" s="13">
        <f t="shared" si="71"/>
        <v>0</v>
      </c>
      <c r="F67" s="13">
        <f t="shared" si="71"/>
        <v>0.02</v>
      </c>
      <c r="G67" s="13">
        <f t="shared" si="71"/>
        <v>0.19561872802153307</v>
      </c>
      <c r="H67" s="8">
        <f t="shared" si="71"/>
        <v>2.8148448412334415</v>
      </c>
      <c r="I67" s="15"/>
      <c r="J67" s="15"/>
      <c r="K67" s="15"/>
    </row>
    <row r="69" spans="2:11" ht="15">
      <c r="B69" s="25" t="s">
        <v>16</v>
      </c>
      <c r="C69" s="27">
        <f t="shared" ref="C69:I69" si="72">C63</f>
        <v>0</v>
      </c>
      <c r="D69" s="28">
        <f t="shared" si="72"/>
        <v>0</v>
      </c>
      <c r="E69" s="28">
        <f t="shared" si="72"/>
        <v>0</v>
      </c>
      <c r="F69" s="28">
        <f t="shared" si="72"/>
        <v>0.02</v>
      </c>
      <c r="G69" s="28">
        <f t="shared" si="72"/>
        <v>-0.10000001222826266</v>
      </c>
      <c r="H69" s="28">
        <f t="shared" si="72"/>
        <v>1.0157972387197429</v>
      </c>
      <c r="I69" s="28">
        <f t="shared" si="72"/>
        <v>-10.118518003334559</v>
      </c>
      <c r="J69" s="15"/>
      <c r="K69" s="15"/>
    </row>
    <row r="70" spans="2:11" ht="15">
      <c r="B70" s="12">
        <f>B64-I65/H67</f>
        <v>7.3904685062448925</v>
      </c>
      <c r="C70" s="20"/>
      <c r="D70" s="6">
        <f t="shared" ref="D70" si="73">$B70*C71</f>
        <v>0</v>
      </c>
      <c r="E70" s="6">
        <f t="shared" ref="E70" si="74">$B70*D71</f>
        <v>0</v>
      </c>
      <c r="F70" s="6">
        <f t="shared" ref="F70" si="75">$B70*E71</f>
        <v>0</v>
      </c>
      <c r="G70" s="6">
        <f t="shared" ref="G70" si="76">$B70*F71</f>
        <v>0.14780937012489787</v>
      </c>
      <c r="H70" s="6">
        <f t="shared" ref="H70" si="77">$B70*G71</f>
        <v>0.35333355383887305</v>
      </c>
      <c r="I70" s="6">
        <f t="shared" ref="I70" si="78">$B70*H71</f>
        <v>10.118518003334561</v>
      </c>
      <c r="J70" s="5">
        <f>ABS(B70-B64)</f>
        <v>0</v>
      </c>
      <c r="K70" s="6">
        <f xml:space="preserve"> ABS(J70/B70)*100</f>
        <v>0</v>
      </c>
    </row>
    <row r="71" spans="2:11" ht="15.6">
      <c r="B71" s="35"/>
      <c r="C71" s="26">
        <f t="shared" ref="C71:I71" si="79">SUM(C69:C70)</f>
        <v>0</v>
      </c>
      <c r="D71" s="13">
        <f t="shared" si="79"/>
        <v>0</v>
      </c>
      <c r="E71" s="13">
        <f t="shared" si="79"/>
        <v>0</v>
      </c>
      <c r="F71" s="13">
        <f t="shared" si="79"/>
        <v>0.02</v>
      </c>
      <c r="G71" s="13">
        <f t="shared" si="79"/>
        <v>4.7809357896635207E-2</v>
      </c>
      <c r="H71" s="13">
        <f t="shared" si="79"/>
        <v>1.369130792558616</v>
      </c>
      <c r="I71" s="14">
        <f t="shared" si="79"/>
        <v>0</v>
      </c>
      <c r="J71" s="15"/>
      <c r="K71" s="15"/>
    </row>
    <row r="72" spans="2:11" ht="15.6" thickBot="1">
      <c r="B72" s="38"/>
      <c r="C72" s="22"/>
      <c r="D72" s="23">
        <f>$B70*C73</f>
        <v>0</v>
      </c>
      <c r="E72" s="23">
        <f>$B70*D73</f>
        <v>0</v>
      </c>
      <c r="F72" s="23">
        <f>$B70*E73</f>
        <v>0</v>
      </c>
      <c r="G72" s="23">
        <f>$B70*F73</f>
        <v>0.14780937012489787</v>
      </c>
      <c r="H72" s="23">
        <f>$B70*G73</f>
        <v>1.4457140486748254</v>
      </c>
      <c r="I72" s="24"/>
      <c r="J72" s="15"/>
      <c r="K72" s="15"/>
    </row>
    <row r="73" spans="2:11" ht="15.6">
      <c r="C73" s="13">
        <f t="shared" ref="C73:H73" si="80">SUM(C71:C72)</f>
        <v>0</v>
      </c>
      <c r="D73" s="13">
        <f t="shared" si="80"/>
        <v>0</v>
      </c>
      <c r="E73" s="13">
        <f t="shared" si="80"/>
        <v>0</v>
      </c>
      <c r="F73" s="13">
        <f t="shared" si="80"/>
        <v>0.02</v>
      </c>
      <c r="G73" s="13">
        <f t="shared" si="80"/>
        <v>0.19561872802153307</v>
      </c>
      <c r="H73" s="8">
        <f t="shared" si="80"/>
        <v>2.8148448412334415</v>
      </c>
      <c r="I73" s="15"/>
      <c r="J73" s="15"/>
      <c r="K73" s="15"/>
    </row>
  </sheetData>
  <conditionalFormatting sqref="B9">
    <cfRule type="expression" dxfId="243" priority="24">
      <formula xml:space="preserve"> J9 &lt; $J$1</formula>
    </cfRule>
  </conditionalFormatting>
  <conditionalFormatting sqref="B15">
    <cfRule type="expression" dxfId="242" priority="22">
      <formula>J15&lt;$J$1</formula>
    </cfRule>
  </conditionalFormatting>
  <conditionalFormatting sqref="B21">
    <cfRule type="expression" dxfId="241" priority="21">
      <formula>J21&lt;$J$1</formula>
    </cfRule>
  </conditionalFormatting>
  <conditionalFormatting sqref="B27">
    <cfRule type="expression" dxfId="240" priority="20">
      <formula>J27&lt;$J$1</formula>
    </cfRule>
  </conditionalFormatting>
  <conditionalFormatting sqref="B40">
    <cfRule type="expression" dxfId="239" priority="7">
      <formula>J40&lt;$J$32</formula>
    </cfRule>
    <cfRule type="expression" dxfId="238" priority="11">
      <formula xml:space="preserve"> J40 &lt; $J$1</formula>
    </cfRule>
  </conditionalFormatting>
  <conditionalFormatting sqref="B46">
    <cfRule type="expression" dxfId="237" priority="10">
      <formula>J46&lt;$J$1</formula>
    </cfRule>
  </conditionalFormatting>
  <conditionalFormatting sqref="B52">
    <cfRule type="expression" dxfId="236" priority="9">
      <formula>J52&lt;$J$1</formula>
    </cfRule>
  </conditionalFormatting>
  <conditionalFormatting sqref="B58">
    <cfRule type="expression" dxfId="235" priority="8">
      <formula>J58&lt;$J$1</formula>
    </cfRule>
  </conditionalFormatting>
  <conditionalFormatting sqref="B64">
    <cfRule type="expression" dxfId="234" priority="6">
      <formula>J64&lt;$J$1</formula>
    </cfRule>
  </conditionalFormatting>
  <conditionalFormatting sqref="B70">
    <cfRule type="expression" dxfId="233" priority="5">
      <formula>J70&lt;$J$1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43A0B-1FFA-4CE6-98BB-8FC588020BB9}">
  <dimension ref="A1:Q81"/>
  <sheetViews>
    <sheetView tabSelected="1" workbookViewId="0">
      <selection activeCell="E3" sqref="E3"/>
    </sheetView>
  </sheetViews>
  <sheetFormatPr defaultColWidth="11.42578125" defaultRowHeight="14.45"/>
  <cols>
    <col min="1" max="1" width="7.7109375" bestFit="1" customWidth="1"/>
    <col min="2" max="2" width="12" bestFit="1" customWidth="1"/>
    <col min="3" max="4" width="9.140625" bestFit="1" customWidth="1"/>
    <col min="5" max="5" width="10" bestFit="1" customWidth="1"/>
    <col min="6" max="6" width="9.140625" bestFit="1" customWidth="1"/>
    <col min="7" max="7" width="11.42578125" bestFit="1" customWidth="1"/>
    <col min="8" max="8" width="10.5703125" bestFit="1" customWidth="1"/>
    <col min="9" max="9" width="11.7109375" bestFit="1" customWidth="1"/>
    <col min="10" max="11" width="10.85546875" bestFit="1" customWidth="1"/>
    <col min="12" max="12" width="11.28515625" bestFit="1" customWidth="1"/>
    <col min="13" max="13" width="15.140625" bestFit="1" customWidth="1"/>
    <col min="14" max="14" width="2.5703125" bestFit="1" customWidth="1"/>
    <col min="15" max="15" width="9" bestFit="1" customWidth="1"/>
    <col min="16" max="16" width="1.5703125" bestFit="1" customWidth="1"/>
  </cols>
  <sheetData>
    <row r="1" spans="1:17" ht="15.6">
      <c r="A1" s="46" t="s">
        <v>17</v>
      </c>
      <c r="B1" s="47"/>
      <c r="C1" s="48" t="s">
        <v>1</v>
      </c>
      <c r="D1" s="49" t="s">
        <v>2</v>
      </c>
      <c r="E1" s="49" t="s">
        <v>3</v>
      </c>
      <c r="F1" s="49" t="s">
        <v>4</v>
      </c>
      <c r="G1" s="49" t="s">
        <v>5</v>
      </c>
      <c r="H1" s="49" t="s">
        <v>6</v>
      </c>
      <c r="I1" s="49" t="s">
        <v>7</v>
      </c>
      <c r="J1" s="50" t="s">
        <v>9</v>
      </c>
      <c r="K1" s="51" t="s">
        <v>10</v>
      </c>
      <c r="L1" s="91"/>
      <c r="M1" s="91"/>
      <c r="N1" s="91"/>
      <c r="O1" s="91"/>
      <c r="P1" s="91"/>
      <c r="Q1" s="47"/>
    </row>
    <row r="2" spans="1:17" ht="15.6">
      <c r="A2" s="47"/>
      <c r="B2" s="53" t="s">
        <v>18</v>
      </c>
      <c r="C2" s="92">
        <v>0</v>
      </c>
      <c r="D2" s="93">
        <v>0.02</v>
      </c>
      <c r="E2" s="57">
        <v>0</v>
      </c>
      <c r="F2" s="57">
        <v>0</v>
      </c>
      <c r="G2" s="57">
        <v>0</v>
      </c>
      <c r="H2" s="57">
        <v>-3</v>
      </c>
      <c r="I2" s="57">
        <v>-13.669248670171918</v>
      </c>
      <c r="J2" s="94">
        <v>2E-3</v>
      </c>
      <c r="K2" s="95"/>
      <c r="L2" s="47"/>
      <c r="M2" s="47"/>
      <c r="N2" s="91"/>
      <c r="O2" s="91"/>
      <c r="P2" s="91"/>
      <c r="Q2" s="15"/>
    </row>
    <row r="3" spans="1:17" ht="15.6">
      <c r="A3" s="48" t="s">
        <v>19</v>
      </c>
      <c r="B3" s="90">
        <v>1.4625825543604922</v>
      </c>
      <c r="C3" s="47"/>
      <c r="D3" s="49">
        <f t="shared" ref="D3:I3" si="0">$B3*C5</f>
        <v>0</v>
      </c>
      <c r="E3" s="96">
        <f t="shared" si="0"/>
        <v>2.9251651087209844E-2</v>
      </c>
      <c r="F3" s="96">
        <f t="shared" si="0"/>
        <v>4.2782954566393243E-2</v>
      </c>
      <c r="G3" s="96">
        <f t="shared" si="0"/>
        <v>2.3072219429634961E-2</v>
      </c>
      <c r="H3" s="96">
        <f t="shared" si="0"/>
        <v>-2.4029008815180861E-2</v>
      </c>
      <c r="I3" s="96">
        <f t="shared" si="0"/>
        <v>-4.4540487609414035</v>
      </c>
      <c r="J3" s="47"/>
      <c r="K3" s="47"/>
      <c r="L3" s="49" t="s">
        <v>20</v>
      </c>
      <c r="M3" s="64">
        <f>B3^2+4*B4</f>
        <v>-3.2624459698140007</v>
      </c>
      <c r="N3" s="91"/>
      <c r="O3" s="91"/>
      <c r="P3" s="91"/>
      <c r="Q3" s="15"/>
    </row>
    <row r="4" spans="1:17" ht="16.149999999999999" thickBot="1">
      <c r="A4" s="48" t="s">
        <v>21</v>
      </c>
      <c r="B4" s="74">
        <v>-1.3503984245334157</v>
      </c>
      <c r="C4" s="97"/>
      <c r="D4" s="97"/>
      <c r="E4" s="98">
        <f>$B4*C5</f>
        <v>0</v>
      </c>
      <c r="F4" s="98">
        <f>$B4*D5</f>
        <v>-2.7007968490668315E-2</v>
      </c>
      <c r="G4" s="98">
        <f>$B4*E5</f>
        <v>-3.9501383543169351E-2</v>
      </c>
      <c r="H4" s="98">
        <f>$B4*F5</f>
        <v>-2.1302516343695514E-2</v>
      </c>
      <c r="I4" s="98">
        <f>$B4*G5</f>
        <v>2.2185917335317773E-2</v>
      </c>
      <c r="J4" s="47"/>
      <c r="K4" s="47"/>
      <c r="L4" s="49" t="s">
        <v>22</v>
      </c>
      <c r="M4" s="49">
        <f>IF(M3&lt;0,B3/2,(B3+SQRT(M3))/2)</f>
        <v>0.73129127718024611</v>
      </c>
      <c r="N4" s="49" t="str">
        <f>IF(M3&lt;0,"+","")</f>
        <v>+</v>
      </c>
      <c r="O4" s="49">
        <f>IF(M3&lt;0,SQRT(ABS(M3))/2,"")</f>
        <v>0.9031121151072552</v>
      </c>
      <c r="P4" s="49" t="str">
        <f>IF(M3&lt;0,"i","")</f>
        <v>i</v>
      </c>
      <c r="Q4" s="15"/>
    </row>
    <row r="5" spans="1:17" ht="15.6">
      <c r="A5" s="48" t="s">
        <v>23</v>
      </c>
      <c r="B5" s="67">
        <f>SQRT(SUMSQ(B3:B4))</f>
        <v>1.990659095199877</v>
      </c>
      <c r="C5" s="99">
        <f t="shared" ref="C5:I5" si="1">SUM(C2:C4)</f>
        <v>0</v>
      </c>
      <c r="D5" s="67">
        <f t="shared" si="1"/>
        <v>0.02</v>
      </c>
      <c r="E5" s="99">
        <f t="shared" si="1"/>
        <v>2.9251651087209844E-2</v>
      </c>
      <c r="F5" s="67">
        <f t="shared" si="1"/>
        <v>1.5774986075724928E-2</v>
      </c>
      <c r="G5" s="67">
        <f t="shared" si="1"/>
        <v>-1.642916411353439E-2</v>
      </c>
      <c r="H5" s="100">
        <f t="shared" si="1"/>
        <v>-3.0453315251588764</v>
      </c>
      <c r="I5" s="100">
        <f t="shared" si="1"/>
        <v>-18.101111513778005</v>
      </c>
      <c r="J5" s="47"/>
      <c r="K5" s="47"/>
      <c r="L5" s="49" t="s">
        <v>24</v>
      </c>
      <c r="M5" s="49">
        <f>IF(M3&lt;0,M4,(B3-SQRT(M3))/2)</f>
        <v>0.73129127718024611</v>
      </c>
      <c r="N5" s="104" t="str">
        <f>IF(M3&lt;0,"+","")</f>
        <v>+</v>
      </c>
      <c r="O5" s="49">
        <f>IF(M3&lt;0,-O4,"")</f>
        <v>-0.9031121151072552</v>
      </c>
      <c r="P5" s="104" t="s">
        <v>25</v>
      </c>
      <c r="Q5" s="15"/>
    </row>
    <row r="6" spans="1:17" ht="15.6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91"/>
      <c r="M6" s="91"/>
      <c r="N6" s="91"/>
      <c r="O6" s="91"/>
      <c r="P6" s="91"/>
      <c r="Q6" s="15"/>
    </row>
    <row r="7" spans="1:17" ht="15.6">
      <c r="A7" s="47"/>
      <c r="B7" s="53" t="s">
        <v>26</v>
      </c>
      <c r="C7" s="102">
        <f t="shared" ref="C7:I7" si="2">C2</f>
        <v>0</v>
      </c>
      <c r="D7" s="93">
        <f t="shared" si="2"/>
        <v>0.02</v>
      </c>
      <c r="E7" s="93">
        <f t="shared" si="2"/>
        <v>0</v>
      </c>
      <c r="F7" s="93">
        <f t="shared" si="2"/>
        <v>0</v>
      </c>
      <c r="G7" s="93">
        <f t="shared" si="2"/>
        <v>0</v>
      </c>
      <c r="H7" s="93">
        <f t="shared" si="2"/>
        <v>-3</v>
      </c>
      <c r="I7" s="93">
        <f t="shared" si="2"/>
        <v>-13.669248670171918</v>
      </c>
      <c r="J7" s="47"/>
      <c r="K7" s="47"/>
      <c r="L7" s="47"/>
      <c r="M7" s="49" t="s">
        <v>27</v>
      </c>
      <c r="N7" s="91"/>
      <c r="O7" s="91"/>
      <c r="P7" s="91"/>
      <c r="Q7" s="15"/>
    </row>
    <row r="8" spans="1:17" ht="15.6">
      <c r="A8" s="48" t="s">
        <v>28</v>
      </c>
      <c r="B8" s="74">
        <f>-(H2+B9*F5)/G5</f>
        <v>-981.48421305352497</v>
      </c>
      <c r="C8" s="47"/>
      <c r="D8" s="49">
        <f t="shared" ref="D8:I8" si="3">$B8*C10</f>
        <v>0</v>
      </c>
      <c r="E8" s="49">
        <f t="shared" si="3"/>
        <v>-19.629684261070501</v>
      </c>
      <c r="F8" s="49">
        <f t="shared" si="3"/>
        <v>19266.225209465945</v>
      </c>
      <c r="G8" s="49">
        <f t="shared" si="3"/>
        <v>-18893163.770922333</v>
      </c>
      <c r="H8" s="49">
        <f t="shared" si="3"/>
        <v>18527312260.497097</v>
      </c>
      <c r="I8" s="49">
        <f t="shared" si="3"/>
        <v>-18168545167046.391</v>
      </c>
      <c r="J8" s="47"/>
      <c r="K8" s="47"/>
      <c r="L8" s="49" t="s">
        <v>20</v>
      </c>
      <c r="M8" s="64">
        <f>B8^2+4*B9</f>
        <v>959983.21564381954</v>
      </c>
      <c r="N8" s="91"/>
      <c r="O8" s="91"/>
      <c r="P8" s="91"/>
      <c r="Q8" s="15"/>
    </row>
    <row r="9" spans="1:17" ht="16.149999999999999" thickBot="1">
      <c r="A9" s="48" t="s">
        <v>29</v>
      </c>
      <c r="B9" s="75">
        <f>-I2/G5</f>
        <v>-832.01120736940925</v>
      </c>
      <c r="C9" s="103"/>
      <c r="D9" s="97"/>
      <c r="E9" s="98">
        <f>$B9*C10</f>
        <v>0</v>
      </c>
      <c r="F9" s="98">
        <f>$B9*D10</f>
        <v>-16.640224147388185</v>
      </c>
      <c r="G9" s="98">
        <f>$B9*E10</f>
        <v>16332.117302333558</v>
      </c>
      <c r="H9" s="98">
        <f>$B9*F10</f>
        <v>-16015870.444994945</v>
      </c>
      <c r="I9" s="98">
        <f>$B9*G10</f>
        <v>15705735495.43746</v>
      </c>
      <c r="J9" s="47"/>
      <c r="K9" s="47"/>
      <c r="L9" s="49" t="s">
        <v>22</v>
      </c>
      <c r="M9" s="48">
        <f>IF(M8&lt;0,B8/2,(B8+SQRT(M8))/2)</f>
        <v>-0.84844060429429646</v>
      </c>
      <c r="N9" s="49" t="s">
        <v>30</v>
      </c>
      <c r="O9" s="49" t="str">
        <f>IF(M8&lt;0,SQRT(ABS(M8))/2,"")</f>
        <v/>
      </c>
      <c r="P9" s="49" t="str">
        <f>IF(M8&lt;0,"i","")</f>
        <v/>
      </c>
      <c r="Q9" s="15"/>
    </row>
    <row r="10" spans="1:17" ht="15.6">
      <c r="A10" s="49" t="s">
        <v>23</v>
      </c>
      <c r="B10" s="67">
        <f>SQRT(SUMSQ(B8:B9))</f>
        <v>1286.6832981202481</v>
      </c>
      <c r="C10" s="67">
        <f t="shared" ref="C10:I10" si="4">SUM(C7:C9)</f>
        <v>0</v>
      </c>
      <c r="D10" s="67">
        <f t="shared" si="4"/>
        <v>0.02</v>
      </c>
      <c r="E10" s="67">
        <f t="shared" si="4"/>
        <v>-19.629684261070501</v>
      </c>
      <c r="F10" s="67">
        <f t="shared" si="4"/>
        <v>19249.584985318557</v>
      </c>
      <c r="G10" s="67">
        <f t="shared" si="4"/>
        <v>-18876831.653620001</v>
      </c>
      <c r="H10" s="100">
        <f t="shared" si="4"/>
        <v>18511296387.052101</v>
      </c>
      <c r="I10" s="100">
        <f t="shared" si="4"/>
        <v>-18152839431564.621</v>
      </c>
      <c r="J10" s="49">
        <f>ABS(B10-B5)</f>
        <v>1284.6926390250483</v>
      </c>
      <c r="K10" s="48">
        <f>ABS(J10/B10)*100</f>
        <v>99.845287562362245</v>
      </c>
      <c r="L10" s="49" t="s">
        <v>24</v>
      </c>
      <c r="M10" s="48">
        <f>IF(M8&lt;0,M9,(B8-SQRT(M8))/2)</f>
        <v>-980.63577244923067</v>
      </c>
      <c r="N10" s="104" t="s">
        <v>30</v>
      </c>
      <c r="O10" s="49" t="str">
        <f>IF(M8&lt;0,-O9,"")</f>
        <v/>
      </c>
      <c r="P10" s="104" t="s">
        <v>25</v>
      </c>
      <c r="Q10" s="15"/>
    </row>
    <row r="11" spans="1:17" ht="15.6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91"/>
      <c r="M11" s="91"/>
      <c r="N11" s="91"/>
      <c r="O11" s="91"/>
      <c r="P11" s="91"/>
      <c r="Q11" s="15"/>
    </row>
    <row r="12" spans="1:17" ht="15.6">
      <c r="A12" s="47"/>
      <c r="B12" s="53" t="s">
        <v>31</v>
      </c>
      <c r="C12" s="92">
        <f t="shared" ref="C12:I12" si="5">C7</f>
        <v>0</v>
      </c>
      <c r="D12" s="75">
        <f t="shared" si="5"/>
        <v>0.02</v>
      </c>
      <c r="E12" s="93">
        <f t="shared" si="5"/>
        <v>0</v>
      </c>
      <c r="F12" s="93">
        <f t="shared" si="5"/>
        <v>0</v>
      </c>
      <c r="G12" s="93">
        <f t="shared" si="5"/>
        <v>0</v>
      </c>
      <c r="H12" s="93">
        <f t="shared" si="5"/>
        <v>-3</v>
      </c>
      <c r="I12" s="93">
        <f t="shared" si="5"/>
        <v>-13.669248670171918</v>
      </c>
      <c r="J12" s="47"/>
      <c r="K12" s="47"/>
      <c r="L12" s="91"/>
      <c r="M12" s="91"/>
      <c r="N12" s="91"/>
      <c r="O12" s="91"/>
      <c r="P12" s="91"/>
      <c r="Q12" s="15"/>
    </row>
    <row r="13" spans="1:17" ht="15.6">
      <c r="A13" s="48" t="s">
        <v>19</v>
      </c>
      <c r="B13" s="80">
        <f>-(H7+B14*F10)/G10</f>
        <v>-1.5966340248319878E-7</v>
      </c>
      <c r="C13" s="47"/>
      <c r="D13" s="48">
        <f t="shared" ref="D13:I13" si="6">$B13*C15</f>
        <v>0</v>
      </c>
      <c r="E13" s="49">
        <f t="shared" si="6"/>
        <v>-3.1932680496639755E-9</v>
      </c>
      <c r="F13" s="49">
        <f t="shared" si="6"/>
        <v>5.0984804185023849E-16</v>
      </c>
      <c r="G13" s="49">
        <f t="shared" si="6"/>
        <v>2.3123357937215132E-15</v>
      </c>
      <c r="H13" s="49">
        <f t="shared" si="6"/>
        <v>-7.3839081401578098E-22</v>
      </c>
      <c r="I13" s="49">
        <f t="shared" si="6"/>
        <v>4.7899020744959465E-7</v>
      </c>
      <c r="J13" s="47"/>
      <c r="K13" s="47"/>
      <c r="L13" s="49" t="s">
        <v>20</v>
      </c>
      <c r="M13" s="64">
        <f>B13^2+4*B14</f>
        <v>-2.896513313397405E-6</v>
      </c>
      <c r="N13" s="91"/>
      <c r="O13" s="91"/>
      <c r="P13" s="91"/>
      <c r="Q13" s="15"/>
    </row>
    <row r="14" spans="1:17" ht="16.149999999999999" thickBot="1">
      <c r="A14" s="48" t="s">
        <v>21</v>
      </c>
      <c r="B14" s="75">
        <f>-I7/G10</f>
        <v>-7.2412833472245182E-7</v>
      </c>
      <c r="C14" s="103"/>
      <c r="D14" s="97"/>
      <c r="E14" s="98">
        <f>$B14*C15</f>
        <v>0</v>
      </c>
      <c r="F14" s="98">
        <f>$B14*D15</f>
        <v>-1.4482566694449036E-8</v>
      </c>
      <c r="G14" s="98">
        <f>$B14*E15</f>
        <v>2.3123358751255862E-15</v>
      </c>
      <c r="H14" s="98">
        <f>$B14*F15</f>
        <v>1.0487236533762812E-14</v>
      </c>
      <c r="I14" s="98">
        <f>$B14*G15</f>
        <v>-3.3488557942003523E-21</v>
      </c>
      <c r="J14" s="47"/>
      <c r="K14" s="47"/>
      <c r="L14" s="49" t="s">
        <v>22</v>
      </c>
      <c r="M14" s="48">
        <f>IF(M13&lt;0,B13/2,(B13+SQRT(M13))/2)</f>
        <v>-7.983170124159939E-8</v>
      </c>
      <c r="N14" s="49" t="s">
        <v>30</v>
      </c>
      <c r="O14" s="49">
        <f>IF(M13&lt;0,SQRT(ABS(M13))/2,"")</f>
        <v>8.5095730113170264E-4</v>
      </c>
      <c r="P14" s="49" t="str">
        <f>IF(M13&lt;0,"i","")</f>
        <v>i</v>
      </c>
      <c r="Q14" s="15"/>
    </row>
    <row r="15" spans="1:17" ht="15.6">
      <c r="A15" s="48" t="s">
        <v>23</v>
      </c>
      <c r="B15" s="67">
        <f>SQRT(SUMSQ(B13:B14))</f>
        <v>7.4152157570796489E-7</v>
      </c>
      <c r="C15" s="67">
        <f t="shared" ref="C15:I15" si="7">SUM(C12:C14)</f>
        <v>0</v>
      </c>
      <c r="D15" s="84">
        <f t="shared" si="7"/>
        <v>0.02</v>
      </c>
      <c r="E15" s="67">
        <f t="shared" si="7"/>
        <v>-3.1932680496639755E-9</v>
      </c>
      <c r="F15" s="67">
        <f t="shared" si="7"/>
        <v>-1.4482566184600994E-8</v>
      </c>
      <c r="G15" s="67">
        <f t="shared" si="7"/>
        <v>4.6246716688470995E-15</v>
      </c>
      <c r="H15" s="100">
        <f t="shared" si="7"/>
        <v>-2.9999999999999893</v>
      </c>
      <c r="I15" s="100">
        <f t="shared" si="7"/>
        <v>-13.66924819118171</v>
      </c>
      <c r="J15" s="105">
        <f>ABS(B15-B10)</f>
        <v>1286.6832973787266</v>
      </c>
      <c r="K15" s="48">
        <f>ABS(J15/B15)*100</f>
        <v>173519333695.75534</v>
      </c>
      <c r="L15" s="49" t="s">
        <v>24</v>
      </c>
      <c r="M15" s="48">
        <f>IF(M13&lt;0,M14,(B13-SQRT(M13))/2)</f>
        <v>-7.983170124159939E-8</v>
      </c>
      <c r="N15" s="104" t="s">
        <v>30</v>
      </c>
      <c r="O15" s="49">
        <f>IF(M13&lt;0,-O14,"")</f>
        <v>-8.5095730113170264E-4</v>
      </c>
      <c r="P15" s="104" t="s">
        <v>25</v>
      </c>
      <c r="Q15" s="15"/>
    </row>
    <row r="16" spans="1:17" ht="15.6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91"/>
      <c r="M16" s="91"/>
      <c r="N16" s="91"/>
      <c r="O16" s="91"/>
      <c r="P16" s="91"/>
      <c r="Q16" s="15"/>
    </row>
    <row r="17" spans="1:17" ht="15.6">
      <c r="A17" s="47"/>
      <c r="B17" s="53" t="s">
        <v>32</v>
      </c>
      <c r="C17" s="92">
        <f t="shared" ref="C17:I17" si="8">C12</f>
        <v>0</v>
      </c>
      <c r="D17" s="106">
        <f t="shared" si="8"/>
        <v>0.02</v>
      </c>
      <c r="E17" s="106">
        <f t="shared" si="8"/>
        <v>0</v>
      </c>
      <c r="F17" s="106">
        <f t="shared" si="8"/>
        <v>0</v>
      </c>
      <c r="G17" s="106">
        <f t="shared" si="8"/>
        <v>0</v>
      </c>
      <c r="H17" s="106">
        <f t="shared" si="8"/>
        <v>-3</v>
      </c>
      <c r="I17" s="106">
        <f t="shared" si="8"/>
        <v>-13.669248670171918</v>
      </c>
      <c r="J17" s="47"/>
      <c r="K17" s="47"/>
      <c r="L17" s="91"/>
      <c r="M17" s="91"/>
      <c r="N17" s="91"/>
      <c r="O17" s="91"/>
      <c r="P17" s="91"/>
      <c r="Q17" s="15"/>
    </row>
    <row r="18" spans="1:17" ht="15.6">
      <c r="A18" s="49" t="s">
        <v>28</v>
      </c>
      <c r="B18" s="74">
        <f>-(H12+B19*F15)/G15</f>
        <v>9.2561074217618128E+21</v>
      </c>
      <c r="C18" s="47"/>
      <c r="D18" s="49">
        <f t="shared" ref="D18:I18" si="9">$B18*C20</f>
        <v>0</v>
      </c>
      <c r="E18" s="96">
        <f t="shared" si="9"/>
        <v>1.8512214843523626E+20</v>
      </c>
      <c r="F18" s="96">
        <f t="shared" si="9"/>
        <v>1.7135104920638823E+42</v>
      </c>
      <c r="G18" s="96">
        <f t="shared" si="9"/>
        <v>1.5860437182859237E+64</v>
      </c>
      <c r="H18" s="96">
        <f t="shared" si="9"/>
        <v>1.4680591032065042E+86</v>
      </c>
      <c r="I18" s="96">
        <f t="shared" si="9"/>
        <v>1.3588512760774714E+108</v>
      </c>
      <c r="J18" s="47"/>
      <c r="K18" s="47"/>
      <c r="L18" s="49" t="s">
        <v>20</v>
      </c>
      <c r="M18" s="64">
        <f>B18^2+4*B19</f>
        <v>8.5675524603194109E+43</v>
      </c>
      <c r="N18" s="91"/>
      <c r="O18" s="91"/>
      <c r="P18" s="91"/>
      <c r="Q18" s="15"/>
    </row>
    <row r="19" spans="1:17" ht="16.149999999999999" thickBot="1">
      <c r="A19" s="49" t="s">
        <v>29</v>
      </c>
      <c r="B19" s="75">
        <f>-I12/G15</f>
        <v>2955723054298376</v>
      </c>
      <c r="C19" s="103"/>
      <c r="D19" s="97"/>
      <c r="E19" s="98">
        <f>$B19*C20</f>
        <v>0</v>
      </c>
      <c r="F19" s="98">
        <f>$B19*D20</f>
        <v>59114461085967.523</v>
      </c>
      <c r="G19" s="98">
        <f>$B19*E20</f>
        <v>5.4716980199127385E+35</v>
      </c>
      <c r="H19" s="98">
        <f>$B19*F20</f>
        <v>5.0646624651753712E+57</v>
      </c>
      <c r="I19" s="98">
        <f>$B19*G20</f>
        <v>4.6879059832628237E+79</v>
      </c>
      <c r="J19" s="47"/>
      <c r="K19" s="47"/>
      <c r="L19" s="49" t="s">
        <v>22</v>
      </c>
      <c r="M19" s="48">
        <f>IF(M18&lt;0,B18/2,(B18+SQRT(M18))/2)</f>
        <v>9.2561074217618128E+21</v>
      </c>
      <c r="N19" s="49" t="s">
        <v>30</v>
      </c>
      <c r="O19" s="49" t="str">
        <f>IF(M18&lt;0,SQRT(ABS(M18))/2,"")</f>
        <v/>
      </c>
      <c r="P19" s="49" t="str">
        <f>IF(M18&lt;0,"i","")</f>
        <v/>
      </c>
      <c r="Q19" s="15"/>
    </row>
    <row r="20" spans="1:17" ht="15.6">
      <c r="A20" s="49" t="s">
        <v>23</v>
      </c>
      <c r="B20" s="84">
        <f>SQRT(SUMSQ(B18:B19))</f>
        <v>9.2561074217622847E+21</v>
      </c>
      <c r="C20" s="67">
        <f t="shared" ref="C20:I20" si="10">SUM(C17:C19)</f>
        <v>0</v>
      </c>
      <c r="D20" s="67">
        <f t="shared" si="10"/>
        <v>0.02</v>
      </c>
      <c r="E20" s="99">
        <f t="shared" si="10"/>
        <v>1.8512214843523626E+20</v>
      </c>
      <c r="F20" s="67">
        <f t="shared" si="10"/>
        <v>1.7135104920638823E+42</v>
      </c>
      <c r="G20" s="67">
        <f t="shared" si="10"/>
        <v>1.5860437182859237E+64</v>
      </c>
      <c r="H20" s="100">
        <f t="shared" si="10"/>
        <v>1.4680591032065042E+86</v>
      </c>
      <c r="I20" s="107">
        <f t="shared" si="10"/>
        <v>1.3588512760774714E+108</v>
      </c>
      <c r="J20" s="49">
        <f>ABS(B20-B15)</f>
        <v>9.2561074217622847E+21</v>
      </c>
      <c r="K20" s="49">
        <f>ABS(J20/B20)*100</f>
        <v>100</v>
      </c>
      <c r="L20" s="105" t="s">
        <v>24</v>
      </c>
      <c r="M20" s="48">
        <f>IF(M18&lt;0,M19,(B18-SQRT(M18))/2)</f>
        <v>0</v>
      </c>
      <c r="N20" s="104" t="s">
        <v>30</v>
      </c>
      <c r="O20" s="49" t="str">
        <f>IF(M18&lt;0,-O19,"")</f>
        <v/>
      </c>
      <c r="P20" s="104" t="s">
        <v>25</v>
      </c>
      <c r="Q20" s="15"/>
    </row>
    <row r="21" spans="1:17" ht="15.6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91"/>
      <c r="M21" s="91"/>
      <c r="N21" s="91"/>
      <c r="O21" s="91"/>
      <c r="P21" s="91"/>
      <c r="Q21" s="15"/>
    </row>
    <row r="22" spans="1:17" ht="15.6">
      <c r="A22" s="47"/>
      <c r="B22" s="53" t="s">
        <v>33</v>
      </c>
      <c r="C22" s="92">
        <f t="shared" ref="C22:I22" si="11">C17</f>
        <v>0</v>
      </c>
      <c r="D22" s="106">
        <f t="shared" si="11"/>
        <v>0.02</v>
      </c>
      <c r="E22" s="106">
        <f t="shared" si="11"/>
        <v>0</v>
      </c>
      <c r="F22" s="106">
        <f t="shared" si="11"/>
        <v>0</v>
      </c>
      <c r="G22" s="106">
        <f t="shared" si="11"/>
        <v>0</v>
      </c>
      <c r="H22" s="106">
        <f t="shared" si="11"/>
        <v>-3</v>
      </c>
      <c r="I22" s="106">
        <f t="shared" si="11"/>
        <v>-13.669248670171918</v>
      </c>
      <c r="J22" s="47"/>
      <c r="K22" s="47"/>
      <c r="L22" s="91"/>
      <c r="M22" s="91"/>
      <c r="N22" s="91"/>
      <c r="O22" s="91"/>
      <c r="P22" s="91"/>
      <c r="Q22" s="15"/>
    </row>
    <row r="23" spans="1:17" ht="15.6">
      <c r="A23" s="49" t="s">
        <v>28</v>
      </c>
      <c r="B23" s="74">
        <f>-(H17+B24*F20)/G20</f>
        <v>1.8914989324772039E-64</v>
      </c>
      <c r="C23" s="47"/>
      <c r="D23" s="49">
        <f t="shared" ref="D23:I23" si="12">$B23*C25</f>
        <v>0</v>
      </c>
      <c r="E23" s="96">
        <f t="shared" si="12"/>
        <v>3.7829978649544079E-66</v>
      </c>
      <c r="F23" s="96">
        <f t="shared" si="12"/>
        <v>7.1555364231248041E-130</v>
      </c>
      <c r="G23" s="96">
        <f t="shared" si="12"/>
        <v>3.2603602245388481E-129</v>
      </c>
      <c r="H23" s="96">
        <f t="shared" si="12"/>
        <v>1.2333935768412737E-192</v>
      </c>
      <c r="I23" s="96">
        <f t="shared" si="12"/>
        <v>-5.6744967974316113E-64</v>
      </c>
      <c r="J23" s="47"/>
      <c r="K23" s="47"/>
      <c r="L23" s="48" t="s">
        <v>20</v>
      </c>
      <c r="M23" s="64">
        <f>B23^2+4*B24</f>
        <v>3.447382568986083E-63</v>
      </c>
      <c r="N23" s="91"/>
      <c r="O23" s="91"/>
      <c r="P23" s="91"/>
      <c r="Q23" s="15"/>
    </row>
    <row r="24" spans="1:17" ht="16.149999999999999" thickBot="1">
      <c r="A24" s="49" t="s">
        <v>29</v>
      </c>
      <c r="B24" s="75">
        <f>-I17/G20</f>
        <v>8.6184564224652074E-64</v>
      </c>
      <c r="C24" s="103"/>
      <c r="D24" s="97"/>
      <c r="E24" s="98">
        <f>$B24*C25</f>
        <v>0</v>
      </c>
      <c r="F24" s="98">
        <f>$B24*D25</f>
        <v>1.7236912844930415E-65</v>
      </c>
      <c r="G24" s="98">
        <f>$B24*E25</f>
        <v>3.2603602245388481E-129</v>
      </c>
      <c r="H24" s="98">
        <f>$B24*F25</f>
        <v>1.4855558221186356E-128</v>
      </c>
      <c r="I24" s="98">
        <f>$B24*G25</f>
        <v>5.6198545033453882E-192</v>
      </c>
      <c r="J24" s="47"/>
      <c r="K24" s="47"/>
      <c r="L24" s="49" t="s">
        <v>22</v>
      </c>
      <c r="M24" s="84">
        <f>IF(M23&lt;0,B23/2,(B23+SQRT(M23))/2)</f>
        <v>2.9357207671141354E-32</v>
      </c>
      <c r="N24" s="49" t="s">
        <v>30</v>
      </c>
      <c r="O24" s="49" t="str">
        <f>IF(M23&lt;0,SQRT(ABS(M23))/2,"")</f>
        <v/>
      </c>
      <c r="P24" s="49" t="str">
        <f>IF(M23&lt;0,"i","")</f>
        <v/>
      </c>
      <c r="Q24" s="15"/>
    </row>
    <row r="25" spans="1:17" ht="15.6">
      <c r="A25" s="49" t="s">
        <v>23</v>
      </c>
      <c r="B25" s="84">
        <f>SQRT(SUMSQ(B23:B24))</f>
        <v>8.8235797337301936E-64</v>
      </c>
      <c r="C25" s="67">
        <f t="shared" ref="C25:I25" si="13">SUM(C22:C24)</f>
        <v>0</v>
      </c>
      <c r="D25" s="67">
        <f t="shared" si="13"/>
        <v>0.02</v>
      </c>
      <c r="E25" s="67">
        <f t="shared" si="13"/>
        <v>3.7829978649544079E-66</v>
      </c>
      <c r="F25" s="67">
        <f t="shared" si="13"/>
        <v>1.7236912844930415E-65</v>
      </c>
      <c r="G25" s="67">
        <f t="shared" si="13"/>
        <v>6.5207204490776962E-129</v>
      </c>
      <c r="H25" s="100">
        <f t="shared" si="13"/>
        <v>-3</v>
      </c>
      <c r="I25" s="100">
        <f t="shared" si="13"/>
        <v>-13.669248670171918</v>
      </c>
      <c r="J25" s="49">
        <f>ABS(B25-B20)</f>
        <v>9.2561074217622847E+21</v>
      </c>
      <c r="K25" s="49">
        <f>ABS(J25/B25)*100</f>
        <v>1.049019525077634E+87</v>
      </c>
      <c r="L25" s="105" t="s">
        <v>24</v>
      </c>
      <c r="M25" s="49">
        <f>IF(M23&lt;0,M24,(B23-SQRT(M23))/2)</f>
        <v>-2.9357207671141354E-32</v>
      </c>
      <c r="N25" s="108" t="s">
        <v>30</v>
      </c>
      <c r="O25" s="67" t="str">
        <f>IF(M23&lt;0,-O24,"")</f>
        <v/>
      </c>
      <c r="P25" s="108" t="s">
        <v>25</v>
      </c>
      <c r="Q25" s="15"/>
    </row>
    <row r="26" spans="1:17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</row>
    <row r="27" spans="1:17" ht="15.6">
      <c r="A27" s="46" t="s">
        <v>17</v>
      </c>
      <c r="B27" s="47"/>
      <c r="C27" s="48" t="s">
        <v>1</v>
      </c>
      <c r="D27" s="49" t="s">
        <v>2</v>
      </c>
      <c r="E27" s="49" t="s">
        <v>3</v>
      </c>
      <c r="F27" s="49" t="s">
        <v>4</v>
      </c>
      <c r="G27" s="49" t="s">
        <v>5</v>
      </c>
      <c r="H27" s="49" t="s">
        <v>6</v>
      </c>
      <c r="I27" s="49" t="s">
        <v>7</v>
      </c>
      <c r="J27" s="50" t="s">
        <v>9</v>
      </c>
      <c r="K27" s="51" t="s">
        <v>10</v>
      </c>
      <c r="L27" s="91"/>
      <c r="M27" s="91"/>
      <c r="N27" s="91"/>
      <c r="O27" s="91"/>
      <c r="P27" s="91"/>
    </row>
    <row r="28" spans="1:17" ht="15.6">
      <c r="A28" s="47"/>
      <c r="B28" s="53" t="s">
        <v>18</v>
      </c>
      <c r="C28" s="92">
        <v>0</v>
      </c>
      <c r="D28" s="93">
        <v>0</v>
      </c>
      <c r="E28" s="57">
        <v>0</v>
      </c>
      <c r="F28" s="57">
        <v>0</v>
      </c>
      <c r="G28" s="57">
        <v>0.02</v>
      </c>
      <c r="H28" s="57">
        <v>4.7809406195033211E-2</v>
      </c>
      <c r="I28" s="57">
        <v>1.3691312900683328</v>
      </c>
      <c r="J28" s="94">
        <v>0.02</v>
      </c>
      <c r="K28" s="95"/>
      <c r="L28" s="47"/>
      <c r="M28" s="47"/>
      <c r="N28" s="91"/>
      <c r="O28" s="91"/>
      <c r="P28" s="91"/>
    </row>
    <row r="29" spans="1:17" ht="15.6">
      <c r="A29" s="48" t="s">
        <v>19</v>
      </c>
      <c r="B29" s="90">
        <v>-1</v>
      </c>
      <c r="C29" s="47"/>
      <c r="D29" s="49">
        <f t="shared" ref="D29" si="14">$B29*C31</f>
        <v>0</v>
      </c>
      <c r="E29" s="96">
        <f t="shared" ref="E29" si="15">$B29*D31</f>
        <v>0</v>
      </c>
      <c r="F29" s="96">
        <f t="shared" ref="F29" si="16">$B29*E31</f>
        <v>0</v>
      </c>
      <c r="G29" s="96">
        <f t="shared" ref="G29" si="17">$B29*F31</f>
        <v>0</v>
      </c>
      <c r="H29" s="96">
        <f t="shared" ref="H29" si="18">$B29*G31</f>
        <v>-0.02</v>
      </c>
      <c r="I29" s="96">
        <f t="shared" ref="I29" si="19">$B29*H31</f>
        <v>-2.780940619503321E-2</v>
      </c>
      <c r="J29" s="47"/>
      <c r="K29" s="47"/>
      <c r="L29" s="49" t="s">
        <v>20</v>
      </c>
      <c r="M29" s="64">
        <f>B29^2+4*B30</f>
        <v>5</v>
      </c>
      <c r="N29" s="91"/>
      <c r="O29" s="91"/>
      <c r="P29" s="91"/>
    </row>
    <row r="30" spans="1:17" ht="16.149999999999999" thickBot="1">
      <c r="A30" s="48" t="s">
        <v>21</v>
      </c>
      <c r="B30" s="74">
        <v>1</v>
      </c>
      <c r="C30" s="97"/>
      <c r="D30" s="97"/>
      <c r="E30" s="98">
        <f>$B30*C31</f>
        <v>0</v>
      </c>
      <c r="F30" s="98">
        <f>$B30*D31</f>
        <v>0</v>
      </c>
      <c r="G30" s="98">
        <f>$B30*E31</f>
        <v>0</v>
      </c>
      <c r="H30" s="98">
        <f>$B30*F31</f>
        <v>0</v>
      </c>
      <c r="I30" s="98">
        <f>$B30*G31</f>
        <v>0.02</v>
      </c>
      <c r="J30" s="47"/>
      <c r="K30" s="47"/>
      <c r="L30" s="49" t="s">
        <v>22</v>
      </c>
      <c r="M30" s="49">
        <f>IF(M29&lt;0,B29/2,(B29+SQRT(M29))/2)</f>
        <v>0.6180339887498949</v>
      </c>
      <c r="N30" s="49" t="str">
        <f>IF(M29&lt;0,"+","")</f>
        <v/>
      </c>
      <c r="O30" s="49" t="str">
        <f>IF(M29&lt;0,SQRT(ABS(M29))/2,"")</f>
        <v/>
      </c>
      <c r="P30" s="49" t="str">
        <f>IF(M29&lt;0,"i","")</f>
        <v/>
      </c>
    </row>
    <row r="31" spans="1:17" ht="15.6">
      <c r="A31" s="48" t="s">
        <v>23</v>
      </c>
      <c r="B31" s="67">
        <f>SQRT(SUMSQ(B29:B30))</f>
        <v>1.4142135623730951</v>
      </c>
      <c r="C31" s="99">
        <f t="shared" ref="C31:I31" si="20">SUM(C28:C30)</f>
        <v>0</v>
      </c>
      <c r="D31" s="67">
        <f t="shared" si="20"/>
        <v>0</v>
      </c>
      <c r="E31" s="99">
        <f t="shared" si="20"/>
        <v>0</v>
      </c>
      <c r="F31" s="67">
        <f t="shared" si="20"/>
        <v>0</v>
      </c>
      <c r="G31" s="67">
        <f t="shared" si="20"/>
        <v>0.02</v>
      </c>
      <c r="H31" s="100">
        <f t="shared" si="20"/>
        <v>2.780940619503321E-2</v>
      </c>
      <c r="I31" s="100">
        <f t="shared" si="20"/>
        <v>1.3613218838732997</v>
      </c>
      <c r="J31" s="47"/>
      <c r="K31" s="47"/>
      <c r="L31" s="49" t="s">
        <v>24</v>
      </c>
      <c r="M31" s="49">
        <f>IF(M29&lt;0,M30,(B29-SQRT(M29))/2)</f>
        <v>-1.6180339887498949</v>
      </c>
      <c r="N31" s="104" t="str">
        <f>IF(M29&lt;0,"+","")</f>
        <v/>
      </c>
      <c r="O31" s="49" t="str">
        <f>IF(M29&lt;0,-O30,"")</f>
        <v/>
      </c>
      <c r="P31" s="104" t="s">
        <v>25</v>
      </c>
    </row>
    <row r="32" spans="1:17" ht="15.6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91"/>
      <c r="M32" s="91"/>
      <c r="N32" s="91"/>
      <c r="O32" s="91"/>
      <c r="P32" s="91"/>
    </row>
    <row r="33" spans="1:16" ht="15.6">
      <c r="A33" s="47"/>
      <c r="B33" s="53" t="s">
        <v>26</v>
      </c>
      <c r="C33" s="102">
        <f t="shared" ref="C33:I33" si="21">C28</f>
        <v>0</v>
      </c>
      <c r="D33" s="93">
        <f t="shared" si="21"/>
        <v>0</v>
      </c>
      <c r="E33" s="93">
        <f t="shared" si="21"/>
        <v>0</v>
      </c>
      <c r="F33" s="93">
        <f t="shared" si="21"/>
        <v>0</v>
      </c>
      <c r="G33" s="93">
        <f t="shared" si="21"/>
        <v>0.02</v>
      </c>
      <c r="H33" s="93">
        <f t="shared" si="21"/>
        <v>4.7809406195033211E-2</v>
      </c>
      <c r="I33" s="93">
        <f t="shared" si="21"/>
        <v>1.3691312900683328</v>
      </c>
      <c r="J33" s="47"/>
      <c r="K33" s="47"/>
      <c r="L33" s="47"/>
      <c r="M33" s="49" t="s">
        <v>27</v>
      </c>
      <c r="N33" s="91"/>
      <c r="O33" s="91"/>
      <c r="P33" s="91"/>
    </row>
    <row r="34" spans="1:16" ht="15.6">
      <c r="A34" s="48" t="s">
        <v>28</v>
      </c>
      <c r="B34" s="74">
        <f>-(H28+B35*F31)/G31</f>
        <v>-2.3904703097516604</v>
      </c>
      <c r="C34" s="47"/>
      <c r="D34" s="49">
        <f t="shared" ref="D34" si="22">$B34*C36</f>
        <v>0</v>
      </c>
      <c r="E34" s="49">
        <f t="shared" ref="E34" si="23">$B34*D36</f>
        <v>0</v>
      </c>
      <c r="F34" s="49">
        <f t="shared" ref="F34" si="24">$B34*E36</f>
        <v>0</v>
      </c>
      <c r="G34" s="49">
        <f t="shared" ref="G34" si="25">$B34*F36</f>
        <v>0</v>
      </c>
      <c r="H34" s="49">
        <f t="shared" ref="H34" si="26">$B34*G36</f>
        <v>-4.7809406195033211E-2</v>
      </c>
      <c r="I34" s="49">
        <f t="shared" ref="I34" si="27">$B34*H36</f>
        <v>0</v>
      </c>
      <c r="J34" s="47"/>
      <c r="K34" s="47"/>
      <c r="L34" s="49" t="s">
        <v>20</v>
      </c>
      <c r="M34" s="64">
        <f>B34^2+4*B35</f>
        <v>-268.11190971186238</v>
      </c>
      <c r="N34" s="91"/>
      <c r="O34" s="91"/>
      <c r="P34" s="91"/>
    </row>
    <row r="35" spans="1:16" ht="16.149999999999999" thickBot="1">
      <c r="A35" s="48" t="s">
        <v>29</v>
      </c>
      <c r="B35" s="75">
        <f>-I28/G31</f>
        <v>-68.456564503416644</v>
      </c>
      <c r="C35" s="103"/>
      <c r="D35" s="97"/>
      <c r="E35" s="98">
        <f>$B35*C36</f>
        <v>0</v>
      </c>
      <c r="F35" s="98">
        <f>$B35*D36</f>
        <v>0</v>
      </c>
      <c r="G35" s="98">
        <f>$B35*E36</f>
        <v>0</v>
      </c>
      <c r="H35" s="98">
        <f>$B35*F36</f>
        <v>0</v>
      </c>
      <c r="I35" s="98">
        <f>$B35*G36</f>
        <v>-1.369131290068333</v>
      </c>
      <c r="J35" s="47"/>
      <c r="K35" s="47"/>
      <c r="L35" s="49" t="s">
        <v>22</v>
      </c>
      <c r="M35" s="48">
        <f>IF(M34&lt;0,B34/2,(B34+SQRT(M34))/2)</f>
        <v>-1.1952351548758302</v>
      </c>
      <c r="N35" s="49" t="s">
        <v>30</v>
      </c>
      <c r="O35" s="49">
        <f>IF(M34&lt;0,SQRT(ABS(M34))/2,"")</f>
        <v>8.1870615869166148</v>
      </c>
      <c r="P35" s="49" t="str">
        <f>IF(M34&lt;0,"i","")</f>
        <v>i</v>
      </c>
    </row>
    <row r="36" spans="1:16" ht="15.6">
      <c r="A36" s="49" t="s">
        <v>23</v>
      </c>
      <c r="B36" s="67">
        <f>SQRT(SUMSQ(B34:B35))</f>
        <v>68.49828882470166</v>
      </c>
      <c r="C36" s="67">
        <f t="shared" ref="C36:I36" si="28">SUM(C33:C35)</f>
        <v>0</v>
      </c>
      <c r="D36" s="67">
        <f t="shared" si="28"/>
        <v>0</v>
      </c>
      <c r="E36" s="67">
        <f t="shared" si="28"/>
        <v>0</v>
      </c>
      <c r="F36" s="67">
        <f t="shared" si="28"/>
        <v>0</v>
      </c>
      <c r="G36" s="67">
        <f t="shared" si="28"/>
        <v>0.02</v>
      </c>
      <c r="H36" s="100">
        <f t="shared" si="28"/>
        <v>0</v>
      </c>
      <c r="I36" s="100">
        <f t="shared" si="28"/>
        <v>0</v>
      </c>
      <c r="J36" s="49">
        <f>ABS(B36-B31)</f>
        <v>67.084075262328568</v>
      </c>
      <c r="K36" s="48">
        <f>ABS(J36/B36)*100</f>
        <v>97.935403078473541</v>
      </c>
      <c r="L36" s="49" t="s">
        <v>24</v>
      </c>
      <c r="M36" s="48">
        <f>IF(M34&lt;0,M35,(B34-SQRT(M34))/2)</f>
        <v>-1.1952351548758302</v>
      </c>
      <c r="N36" s="104" t="s">
        <v>30</v>
      </c>
      <c r="O36" s="49">
        <f>IF(M34&lt;0,-O35,"")</f>
        <v>-8.1870615869166148</v>
      </c>
      <c r="P36" s="104" t="s">
        <v>25</v>
      </c>
    </row>
    <row r="37" spans="1:16" ht="15.6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91"/>
      <c r="M37" s="91"/>
      <c r="N37" s="91"/>
      <c r="O37" s="91"/>
      <c r="P37" s="91"/>
    </row>
    <row r="38" spans="1:16" ht="15.6">
      <c r="A38" s="47"/>
      <c r="B38" s="53" t="s">
        <v>31</v>
      </c>
      <c r="C38" s="92">
        <f t="shared" ref="C38:I38" si="29">C33</f>
        <v>0</v>
      </c>
      <c r="D38" s="75">
        <f t="shared" si="29"/>
        <v>0</v>
      </c>
      <c r="E38" s="93">
        <f t="shared" si="29"/>
        <v>0</v>
      </c>
      <c r="F38" s="93">
        <f t="shared" si="29"/>
        <v>0</v>
      </c>
      <c r="G38" s="93">
        <f t="shared" si="29"/>
        <v>0.02</v>
      </c>
      <c r="H38" s="93">
        <f t="shared" si="29"/>
        <v>4.7809406195033211E-2</v>
      </c>
      <c r="I38" s="93">
        <f t="shared" si="29"/>
        <v>1.3691312900683328</v>
      </c>
      <c r="J38" s="47"/>
      <c r="K38" s="47"/>
      <c r="L38" s="91"/>
      <c r="M38" s="91"/>
      <c r="N38" s="91"/>
      <c r="O38" s="91"/>
      <c r="P38" s="91"/>
    </row>
    <row r="39" spans="1:16" ht="15.6">
      <c r="A39" s="48" t="s">
        <v>19</v>
      </c>
      <c r="B39" s="80">
        <f>-(H33+B40*F36)/G36</f>
        <v>-2.3904703097516604</v>
      </c>
      <c r="C39" s="47"/>
      <c r="D39" s="48">
        <f t="shared" ref="D39" si="30">$B39*C41</f>
        <v>0</v>
      </c>
      <c r="E39" s="49">
        <f t="shared" ref="E39" si="31">$B39*D41</f>
        <v>0</v>
      </c>
      <c r="F39" s="49">
        <f t="shared" ref="F39" si="32">$B39*E41</f>
        <v>0</v>
      </c>
      <c r="G39" s="49">
        <f t="shared" ref="G39" si="33">$B39*F41</f>
        <v>0</v>
      </c>
      <c r="H39" s="49">
        <f t="shared" ref="H39" si="34">$B39*G41</f>
        <v>-4.7809406195033211E-2</v>
      </c>
      <c r="I39" s="49">
        <f t="shared" ref="I39" si="35">$B39*H41</f>
        <v>0</v>
      </c>
      <c r="J39" s="47"/>
      <c r="K39" s="47"/>
      <c r="L39" s="49" t="s">
        <v>20</v>
      </c>
      <c r="M39" s="64">
        <f>B39^2+4*B40</f>
        <v>-268.11190971186238</v>
      </c>
      <c r="N39" s="91"/>
      <c r="O39" s="91"/>
      <c r="P39" s="91"/>
    </row>
    <row r="40" spans="1:16" ht="16.149999999999999" thickBot="1">
      <c r="A40" s="48" t="s">
        <v>21</v>
      </c>
      <c r="B40" s="75">
        <f>-I33/G36</f>
        <v>-68.456564503416644</v>
      </c>
      <c r="C40" s="103"/>
      <c r="D40" s="97"/>
      <c r="E40" s="98">
        <f>$B40*C41</f>
        <v>0</v>
      </c>
      <c r="F40" s="98">
        <f>$B40*D41</f>
        <v>0</v>
      </c>
      <c r="G40" s="98">
        <f>$B40*E41</f>
        <v>0</v>
      </c>
      <c r="H40" s="98">
        <f>$B40*F41</f>
        <v>0</v>
      </c>
      <c r="I40" s="98">
        <f>$B40*G41</f>
        <v>-1.369131290068333</v>
      </c>
      <c r="J40" s="47"/>
      <c r="K40" s="47"/>
      <c r="L40" s="49" t="s">
        <v>22</v>
      </c>
      <c r="M40" s="48">
        <f>IF(M39&lt;0,B39/2,(B39+SQRT(M39))/2)</f>
        <v>-1.1952351548758302</v>
      </c>
      <c r="N40" s="49" t="s">
        <v>30</v>
      </c>
      <c r="O40" s="49">
        <f>IF(M39&lt;0,SQRT(ABS(M39))/2,"")</f>
        <v>8.1870615869166148</v>
      </c>
      <c r="P40" s="49" t="str">
        <f>IF(M39&lt;0,"i","")</f>
        <v>i</v>
      </c>
    </row>
    <row r="41" spans="1:16" ht="15.6">
      <c r="A41" s="48" t="s">
        <v>23</v>
      </c>
      <c r="B41" s="67">
        <f>SQRT(SUMSQ(B39:B40))</f>
        <v>68.49828882470166</v>
      </c>
      <c r="C41" s="67">
        <f t="shared" ref="C41:I41" si="36">SUM(C38:C40)</f>
        <v>0</v>
      </c>
      <c r="D41" s="84">
        <f t="shared" si="36"/>
        <v>0</v>
      </c>
      <c r="E41" s="67">
        <f t="shared" si="36"/>
        <v>0</v>
      </c>
      <c r="F41" s="67">
        <f t="shared" si="36"/>
        <v>0</v>
      </c>
      <c r="G41" s="67">
        <f t="shared" si="36"/>
        <v>0.02</v>
      </c>
      <c r="H41" s="100">
        <f t="shared" si="36"/>
        <v>0</v>
      </c>
      <c r="I41" s="100">
        <f t="shared" si="36"/>
        <v>0</v>
      </c>
      <c r="J41" s="105">
        <f>ABS(B41-B36)</f>
        <v>0</v>
      </c>
      <c r="K41" s="48">
        <f>ABS(J41/B41)*100</f>
        <v>0</v>
      </c>
      <c r="L41" s="49" t="s">
        <v>24</v>
      </c>
      <c r="M41" s="48">
        <f>IF(M39&lt;0,M40,(B39-SQRT(M39))/2)</f>
        <v>-1.1952351548758302</v>
      </c>
      <c r="N41" s="104" t="s">
        <v>30</v>
      </c>
      <c r="O41" s="49">
        <f>IF(M39&lt;0,-O40,"")</f>
        <v>-8.1870615869166148</v>
      </c>
      <c r="P41" s="104" t="s">
        <v>25</v>
      </c>
    </row>
    <row r="42" spans="1:16" ht="15.6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91"/>
      <c r="M42" s="91"/>
      <c r="N42" s="91"/>
      <c r="O42" s="91"/>
      <c r="P42" s="91"/>
    </row>
    <row r="43" spans="1:16" ht="15.6">
      <c r="A43" s="47"/>
      <c r="B43" s="53" t="s">
        <v>32</v>
      </c>
      <c r="C43" s="92">
        <f t="shared" ref="C43:I43" si="37">C38</f>
        <v>0</v>
      </c>
      <c r="D43" s="106">
        <f t="shared" si="37"/>
        <v>0</v>
      </c>
      <c r="E43" s="106">
        <f t="shared" si="37"/>
        <v>0</v>
      </c>
      <c r="F43" s="106">
        <f t="shared" si="37"/>
        <v>0</v>
      </c>
      <c r="G43" s="106">
        <f t="shared" si="37"/>
        <v>0.02</v>
      </c>
      <c r="H43" s="106">
        <f t="shared" si="37"/>
        <v>4.7809406195033211E-2</v>
      </c>
      <c r="I43" s="106">
        <f t="shared" si="37"/>
        <v>1.3691312900683328</v>
      </c>
      <c r="J43" s="47"/>
      <c r="K43" s="47"/>
      <c r="L43" s="91"/>
      <c r="M43" s="91"/>
      <c r="N43" s="91"/>
      <c r="O43" s="91"/>
      <c r="P43" s="91"/>
    </row>
    <row r="44" spans="1:16" ht="15.6">
      <c r="A44" s="49" t="s">
        <v>28</v>
      </c>
      <c r="B44" s="74">
        <f>-(H38+B45*F41)/G41</f>
        <v>-2.3904703097516604</v>
      </c>
      <c r="C44" s="47"/>
      <c r="D44" s="49">
        <f t="shared" ref="D44" si="38">$B44*C46</f>
        <v>0</v>
      </c>
      <c r="E44" s="96">
        <f t="shared" ref="E44" si="39">$B44*D46</f>
        <v>0</v>
      </c>
      <c r="F44" s="96">
        <f t="shared" ref="F44" si="40">$B44*E46</f>
        <v>0</v>
      </c>
      <c r="G44" s="96">
        <f t="shared" ref="G44" si="41">$B44*F46</f>
        <v>0</v>
      </c>
      <c r="H44" s="96">
        <f t="shared" ref="H44" si="42">$B44*G46</f>
        <v>-4.7809406195033211E-2</v>
      </c>
      <c r="I44" s="96">
        <f t="shared" ref="I44" si="43">$B44*H46</f>
        <v>0</v>
      </c>
      <c r="J44" s="47"/>
      <c r="K44" s="47"/>
      <c r="L44" s="49" t="s">
        <v>20</v>
      </c>
      <c r="M44" s="64">
        <f>B44^2+4*B45</f>
        <v>-268.11190971186238</v>
      </c>
      <c r="N44" s="91"/>
      <c r="O44" s="91"/>
      <c r="P44" s="91"/>
    </row>
    <row r="45" spans="1:16" ht="16.149999999999999" thickBot="1">
      <c r="A45" s="49" t="s">
        <v>29</v>
      </c>
      <c r="B45" s="75">
        <f>-I38/G41</f>
        <v>-68.456564503416644</v>
      </c>
      <c r="C45" s="103"/>
      <c r="D45" s="97"/>
      <c r="E45" s="98">
        <f>$B45*C46</f>
        <v>0</v>
      </c>
      <c r="F45" s="98">
        <f>$B45*D46</f>
        <v>0</v>
      </c>
      <c r="G45" s="98">
        <f>$B45*E46</f>
        <v>0</v>
      </c>
      <c r="H45" s="98">
        <f>$B45*F46</f>
        <v>0</v>
      </c>
      <c r="I45" s="98">
        <f>$B45*G46</f>
        <v>-1.369131290068333</v>
      </c>
      <c r="J45" s="47"/>
      <c r="K45" s="47"/>
      <c r="L45" s="49" t="s">
        <v>22</v>
      </c>
      <c r="M45" s="48">
        <f>IF(M44&lt;0,B44/2,(B44+SQRT(M44))/2)</f>
        <v>-1.1952351548758302</v>
      </c>
      <c r="N45" s="49" t="s">
        <v>30</v>
      </c>
      <c r="O45" s="49">
        <f>IF(M44&lt;0,SQRT(ABS(M44))/2,"")</f>
        <v>8.1870615869166148</v>
      </c>
      <c r="P45" s="49" t="str">
        <f>IF(M44&lt;0,"i","")</f>
        <v>i</v>
      </c>
    </row>
    <row r="46" spans="1:16" ht="15.6">
      <c r="A46" s="49" t="s">
        <v>23</v>
      </c>
      <c r="B46" s="84">
        <f>SQRT(SUMSQ(B44:B45))</f>
        <v>68.49828882470166</v>
      </c>
      <c r="C46" s="67">
        <f t="shared" ref="C46:I46" si="44">SUM(C43:C45)</f>
        <v>0</v>
      </c>
      <c r="D46" s="67">
        <f t="shared" si="44"/>
        <v>0</v>
      </c>
      <c r="E46" s="99">
        <f t="shared" si="44"/>
        <v>0</v>
      </c>
      <c r="F46" s="67">
        <f t="shared" si="44"/>
        <v>0</v>
      </c>
      <c r="G46" s="67">
        <f t="shared" si="44"/>
        <v>0.02</v>
      </c>
      <c r="H46" s="100">
        <f t="shared" si="44"/>
        <v>0</v>
      </c>
      <c r="I46" s="107">
        <f t="shared" si="44"/>
        <v>0</v>
      </c>
      <c r="J46" s="49">
        <f>ABS(B46-B41)</f>
        <v>0</v>
      </c>
      <c r="K46" s="49">
        <f>ABS(J46/B46)*100</f>
        <v>0</v>
      </c>
      <c r="L46" s="105" t="s">
        <v>24</v>
      </c>
      <c r="M46" s="48">
        <f>IF(M44&lt;0,M45,(B44-SQRT(M44))/2)</f>
        <v>-1.1952351548758302</v>
      </c>
      <c r="N46" s="104" t="s">
        <v>30</v>
      </c>
      <c r="O46" s="49">
        <f>IF(M44&lt;0,-O45,"")</f>
        <v>-8.1870615869166148</v>
      </c>
      <c r="P46" s="104" t="s">
        <v>25</v>
      </c>
    </row>
    <row r="47" spans="1:16" ht="15.6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91"/>
      <c r="M47" s="91"/>
      <c r="N47" s="91"/>
      <c r="O47" s="91"/>
      <c r="P47" s="91"/>
    </row>
    <row r="48" spans="1:16" ht="15.6">
      <c r="A48" s="47"/>
      <c r="B48" s="53" t="s">
        <v>33</v>
      </c>
      <c r="C48" s="92">
        <f t="shared" ref="C48:I48" si="45">C43</f>
        <v>0</v>
      </c>
      <c r="D48" s="106">
        <f t="shared" si="45"/>
        <v>0</v>
      </c>
      <c r="E48" s="106">
        <f t="shared" si="45"/>
        <v>0</v>
      </c>
      <c r="F48" s="106">
        <f t="shared" si="45"/>
        <v>0</v>
      </c>
      <c r="G48" s="106">
        <f t="shared" si="45"/>
        <v>0.02</v>
      </c>
      <c r="H48" s="106">
        <f t="shared" si="45"/>
        <v>4.7809406195033211E-2</v>
      </c>
      <c r="I48" s="106">
        <f t="shared" si="45"/>
        <v>1.3691312900683328</v>
      </c>
      <c r="J48" s="47"/>
      <c r="K48" s="47"/>
      <c r="L48" s="91"/>
      <c r="M48" s="91"/>
      <c r="N48" s="91"/>
      <c r="O48" s="91"/>
      <c r="P48" s="91"/>
    </row>
    <row r="49" spans="1:17" ht="15.6">
      <c r="A49" s="49" t="s">
        <v>28</v>
      </c>
      <c r="B49" s="74">
        <f>-(H43+B50*F46)/G46</f>
        <v>-2.3904703097516604</v>
      </c>
      <c r="C49" s="47"/>
      <c r="D49" s="49">
        <f t="shared" ref="D49" si="46">$B49*C51</f>
        <v>0</v>
      </c>
      <c r="E49" s="96">
        <f t="shared" ref="E49" si="47">$B49*D51</f>
        <v>0</v>
      </c>
      <c r="F49" s="96">
        <f t="shared" ref="F49" si="48">$B49*E51</f>
        <v>0</v>
      </c>
      <c r="G49" s="96">
        <f t="shared" ref="G49" si="49">$B49*F51</f>
        <v>0</v>
      </c>
      <c r="H49" s="96">
        <f t="shared" ref="H49" si="50">$B49*G51</f>
        <v>-4.7809406195033211E-2</v>
      </c>
      <c r="I49" s="96">
        <f t="shared" ref="I49" si="51">$B49*H51</f>
        <v>0</v>
      </c>
      <c r="J49" s="47"/>
      <c r="K49" s="47"/>
      <c r="L49" s="48" t="s">
        <v>20</v>
      </c>
      <c r="M49" s="64">
        <f>B49^2+4*B50</f>
        <v>-268.11190971186238</v>
      </c>
      <c r="N49" s="91"/>
      <c r="O49" s="91"/>
      <c r="P49" s="91"/>
    </row>
    <row r="50" spans="1:17" ht="16.149999999999999" thickBot="1">
      <c r="A50" s="49" t="s">
        <v>29</v>
      </c>
      <c r="B50" s="75">
        <f>-I43/G46</f>
        <v>-68.456564503416644</v>
      </c>
      <c r="C50" s="103"/>
      <c r="D50" s="97"/>
      <c r="E50" s="98">
        <f>$B50*C51</f>
        <v>0</v>
      </c>
      <c r="F50" s="98">
        <f>$B50*D51</f>
        <v>0</v>
      </c>
      <c r="G50" s="98">
        <f>$B50*E51</f>
        <v>0</v>
      </c>
      <c r="H50" s="98">
        <f>$B50*F51</f>
        <v>0</v>
      </c>
      <c r="I50" s="98">
        <f>$B50*G51</f>
        <v>-1.369131290068333</v>
      </c>
      <c r="J50" s="47"/>
      <c r="K50" s="47"/>
      <c r="L50" s="49" t="s">
        <v>22</v>
      </c>
      <c r="M50" s="84">
        <f>IF(M49&lt;0,B49/2,(B49+SQRT(M49))/2)</f>
        <v>-1.1952351548758302</v>
      </c>
      <c r="N50" s="49" t="s">
        <v>30</v>
      </c>
      <c r="O50" s="49">
        <f>IF(M49&lt;0,SQRT(ABS(M49))/2,"")</f>
        <v>8.1870615869166148</v>
      </c>
      <c r="P50" s="49" t="str">
        <f>IF(M49&lt;0,"i","")</f>
        <v>i</v>
      </c>
    </row>
    <row r="51" spans="1:17" ht="15.6">
      <c r="A51" s="49" t="s">
        <v>23</v>
      </c>
      <c r="B51" s="84">
        <f>SQRT(SUMSQ(B49:B50))</f>
        <v>68.49828882470166</v>
      </c>
      <c r="C51" s="67">
        <f t="shared" ref="C51:I51" si="52">SUM(C48:C50)</f>
        <v>0</v>
      </c>
      <c r="D51" s="67">
        <f t="shared" si="52"/>
        <v>0</v>
      </c>
      <c r="E51" s="67">
        <f t="shared" si="52"/>
        <v>0</v>
      </c>
      <c r="F51" s="67">
        <f t="shared" si="52"/>
        <v>0</v>
      </c>
      <c r="G51" s="67">
        <f t="shared" si="52"/>
        <v>0.02</v>
      </c>
      <c r="H51" s="100">
        <f t="shared" si="52"/>
        <v>0</v>
      </c>
      <c r="I51" s="100">
        <f t="shared" si="52"/>
        <v>0</v>
      </c>
      <c r="J51" s="49">
        <f>ABS(B51-B46)</f>
        <v>0</v>
      </c>
      <c r="K51" s="49">
        <f>ABS(J51/B51)*100</f>
        <v>0</v>
      </c>
      <c r="L51" s="105" t="s">
        <v>24</v>
      </c>
      <c r="M51" s="49">
        <f>IF(M49&lt;0,M50,(B49-SQRT(M49))/2)</f>
        <v>-1.1952351548758302</v>
      </c>
      <c r="N51" s="108" t="s">
        <v>30</v>
      </c>
      <c r="O51" s="67">
        <f>IF(M49&lt;0,-O50,"")</f>
        <v>-8.1870615869166148</v>
      </c>
      <c r="P51" s="108" t="s">
        <v>25</v>
      </c>
    </row>
    <row r="52" spans="1:17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spans="1:17">
      <c r="A53" s="15"/>
    </row>
    <row r="54" spans="1:17">
      <c r="A54" s="15"/>
    </row>
    <row r="55" spans="1:17">
      <c r="A55" s="15"/>
    </row>
    <row r="56" spans="1:17">
      <c r="A56" s="15"/>
    </row>
    <row r="57" spans="1:17">
      <c r="A57" s="15"/>
    </row>
    <row r="58" spans="1:17">
      <c r="A58" s="15"/>
    </row>
    <row r="59" spans="1:17">
      <c r="A59" s="15"/>
    </row>
    <row r="60" spans="1:17">
      <c r="A60" s="15"/>
    </row>
    <row r="61" spans="1:17">
      <c r="A61" s="15"/>
    </row>
    <row r="62" spans="1:17">
      <c r="A62" s="15"/>
    </row>
    <row r="63" spans="1:17">
      <c r="A63" s="15"/>
    </row>
    <row r="64" spans="1:17">
      <c r="A64" s="15"/>
    </row>
    <row r="65" spans="1:17">
      <c r="A65" s="15"/>
    </row>
    <row r="66" spans="1:17">
      <c r="A66" s="15"/>
    </row>
    <row r="67" spans="1:17">
      <c r="A67" s="15"/>
    </row>
    <row r="68" spans="1:17">
      <c r="A68" s="15"/>
    </row>
    <row r="69" spans="1:17">
      <c r="A69" s="15"/>
    </row>
    <row r="70" spans="1:17">
      <c r="A70" s="15"/>
    </row>
    <row r="71" spans="1:17">
      <c r="A71" s="15"/>
    </row>
    <row r="72" spans="1:17">
      <c r="A72" s="15"/>
    </row>
    <row r="73" spans="1:17">
      <c r="A73" s="15"/>
    </row>
    <row r="74" spans="1:17">
      <c r="A74" s="15"/>
    </row>
    <row r="75" spans="1:17">
      <c r="A75" s="15"/>
    </row>
    <row r="76" spans="1:17">
      <c r="A76" s="15"/>
    </row>
    <row r="77" spans="1:17">
      <c r="A77" s="15"/>
    </row>
    <row r="78" spans="1:17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</row>
    <row r="79" spans="1:17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</row>
    <row r="80" spans="1:17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</row>
    <row r="81" spans="1:17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</row>
  </sheetData>
  <conditionalFormatting sqref="B10">
    <cfRule type="expression" dxfId="232" priority="29">
      <formula>K10&lt;$K$2</formula>
    </cfRule>
  </conditionalFormatting>
  <conditionalFormatting sqref="B15">
    <cfRule type="expression" dxfId="231" priority="34">
      <formula>K15&lt;$K$2</formula>
    </cfRule>
    <cfRule type="expression" dxfId="230" priority="35">
      <formula>J15&lt;$J$2</formula>
    </cfRule>
  </conditionalFormatting>
  <conditionalFormatting sqref="B20">
    <cfRule type="expression" dxfId="229" priority="32">
      <formula>K20&lt;$K$2</formula>
    </cfRule>
    <cfRule type="expression" dxfId="228" priority="33">
      <formula>J20&lt;$J$2</formula>
    </cfRule>
  </conditionalFormatting>
  <conditionalFormatting sqref="B25">
    <cfRule type="expression" dxfId="227" priority="30">
      <formula>K25&lt;$K$2</formula>
    </cfRule>
    <cfRule type="expression" dxfId="226" priority="31">
      <formula>J25&lt;$J$2</formula>
    </cfRule>
  </conditionalFormatting>
  <conditionalFormatting sqref="B36">
    <cfRule type="expression" dxfId="225" priority="1">
      <formula>K36&lt;$K$2</formula>
    </cfRule>
  </conditionalFormatting>
  <conditionalFormatting sqref="B41">
    <cfRule type="expression" dxfId="224" priority="6">
      <formula>K41&lt;$K$2</formula>
    </cfRule>
    <cfRule type="expression" dxfId="223" priority="7">
      <formula>J41&lt;$J$2</formula>
    </cfRule>
  </conditionalFormatting>
  <conditionalFormatting sqref="B46">
    <cfRule type="expression" dxfId="222" priority="4">
      <formula>K46&lt;$K$2</formula>
    </cfRule>
    <cfRule type="expression" dxfId="221" priority="5">
      <formula>J46&lt;$J$2</formula>
    </cfRule>
  </conditionalFormatting>
  <conditionalFormatting sqref="B51">
    <cfRule type="expression" dxfId="220" priority="2">
      <formula>K51&lt;$K$2</formula>
    </cfRule>
    <cfRule type="expression" dxfId="219" priority="3">
      <formula>J51&lt;$J$2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CD88A-CED5-4E77-8AD4-4EAA44360CF4}">
  <dimension ref="A1:K36"/>
  <sheetViews>
    <sheetView zoomScaleNormal="100" workbookViewId="0">
      <selection activeCell="L7" sqref="L7"/>
    </sheetView>
  </sheetViews>
  <sheetFormatPr defaultColWidth="11.42578125" defaultRowHeight="14.45"/>
  <cols>
    <col min="1" max="1" width="19.140625" bestFit="1" customWidth="1"/>
    <col min="2" max="2" width="10.42578125" bestFit="1" customWidth="1"/>
    <col min="3" max="4" width="9" bestFit="1" customWidth="1"/>
    <col min="5" max="6" width="9.7109375" bestFit="1" customWidth="1"/>
    <col min="7" max="7" width="10.28515625" bestFit="1" customWidth="1"/>
    <col min="8" max="8" width="12.7109375" bestFit="1" customWidth="1"/>
    <col min="9" max="9" width="13.85546875" bestFit="1" customWidth="1"/>
    <col min="10" max="10" width="9" bestFit="1" customWidth="1"/>
    <col min="11" max="11" width="10.28515625" bestFit="1" customWidth="1"/>
    <col min="13" max="13" width="19.140625" bestFit="1" customWidth="1"/>
    <col min="14" max="14" width="9.7109375" bestFit="1" customWidth="1"/>
    <col min="15" max="16" width="9" bestFit="1" customWidth="1"/>
    <col min="17" max="18" width="9.7109375" bestFit="1" customWidth="1"/>
    <col min="19" max="20" width="9" bestFit="1" customWidth="1"/>
    <col min="21" max="21" width="8.5703125" bestFit="1" customWidth="1"/>
    <col min="22" max="22" width="7.7109375" bestFit="1" customWidth="1"/>
    <col min="23" max="23" width="9" bestFit="1" customWidth="1"/>
  </cols>
  <sheetData>
    <row r="1" spans="1:11" ht="15.6">
      <c r="A1" s="16" t="s">
        <v>0</v>
      </c>
      <c r="B1" s="29"/>
      <c r="C1" s="30" t="s">
        <v>1</v>
      </c>
      <c r="D1" s="30" t="s">
        <v>2</v>
      </c>
      <c r="E1" s="30" t="s">
        <v>3</v>
      </c>
      <c r="F1" s="30" t="s">
        <v>4</v>
      </c>
      <c r="G1" s="30" t="s">
        <v>5</v>
      </c>
      <c r="H1" s="30" t="s">
        <v>6</v>
      </c>
      <c r="I1" s="30" t="s">
        <v>7</v>
      </c>
      <c r="J1" s="32"/>
      <c r="K1" s="33">
        <v>0.1</v>
      </c>
    </row>
    <row r="2" spans="1:11" ht="15.6">
      <c r="A2" s="17"/>
      <c r="B2" s="25" t="s">
        <v>8</v>
      </c>
      <c r="C2" s="43">
        <v>5.0000000000000002E-5</v>
      </c>
      <c r="D2" s="44">
        <v>2.1000000000000001E-4</v>
      </c>
      <c r="E2" s="44">
        <v>-7.92E-3</v>
      </c>
      <c r="F2" s="44">
        <v>-2.6669999999999999E-2</v>
      </c>
      <c r="G2" s="44">
        <v>0.29082999999999998</v>
      </c>
      <c r="H2" s="44">
        <v>0.58333000000000002</v>
      </c>
      <c r="I2" s="31">
        <v>-2</v>
      </c>
      <c r="J2" s="18" t="s">
        <v>9</v>
      </c>
      <c r="K2" s="19" t="s">
        <v>10</v>
      </c>
    </row>
    <row r="3" spans="1:11" ht="15.6">
      <c r="A3" s="17"/>
      <c r="B3" s="37">
        <v>10</v>
      </c>
      <c r="C3" s="34"/>
      <c r="D3" s="2">
        <f t="shared" ref="D3:I3" si="0">$B3*C4</f>
        <v>5.0000000000000001E-4</v>
      </c>
      <c r="E3" s="2">
        <f t="shared" si="0"/>
        <v>7.1000000000000004E-3</v>
      </c>
      <c r="F3" s="2">
        <f t="shared" si="0"/>
        <v>-8.1999999999999955E-3</v>
      </c>
      <c r="G3" s="2">
        <f t="shared" si="0"/>
        <v>-0.34870000000000001</v>
      </c>
      <c r="H3" s="2">
        <f t="shared" si="0"/>
        <v>-0.57870000000000033</v>
      </c>
      <c r="I3" s="2">
        <f t="shared" si="0"/>
        <v>4.6299999999996899E-2</v>
      </c>
      <c r="J3" s="5"/>
      <c r="K3" s="6"/>
    </row>
    <row r="4" spans="1:11" ht="15.6">
      <c r="B4" s="4"/>
      <c r="C4" s="20">
        <f>SUM(C2:C3)</f>
        <v>5.0000000000000002E-5</v>
      </c>
      <c r="D4" s="5">
        <f t="shared" ref="D4:I4" si="1">SUM(D2:D3)</f>
        <v>7.1000000000000002E-4</v>
      </c>
      <c r="E4" s="6">
        <f t="shared" si="1"/>
        <v>-8.1999999999999955E-4</v>
      </c>
      <c r="F4" s="6">
        <f t="shared" si="1"/>
        <v>-3.4869999999999998E-2</v>
      </c>
      <c r="G4" s="6">
        <f t="shared" si="1"/>
        <v>-5.7870000000000033E-2</v>
      </c>
      <c r="H4" s="6">
        <f t="shared" si="1"/>
        <v>4.6299999999996899E-3</v>
      </c>
      <c r="I4" s="7">
        <f t="shared" si="1"/>
        <v>-1.9537000000000031</v>
      </c>
      <c r="J4" s="5"/>
      <c r="K4" s="6"/>
    </row>
    <row r="5" spans="1:11" ht="15.6" thickBot="1">
      <c r="C5" s="21"/>
      <c r="D5" s="22">
        <f>$B3*C6</f>
        <v>5.0000000000000001E-4</v>
      </c>
      <c r="E5" s="23">
        <f>$B3*D6</f>
        <v>1.2100000000000001E-2</v>
      </c>
      <c r="F5" s="23">
        <f>$B3*E6</f>
        <v>0.11280000000000001</v>
      </c>
      <c r="G5" s="23">
        <f>$B3*F6</f>
        <v>0.7793000000000001</v>
      </c>
      <c r="H5" s="24">
        <f>$B3*G6</f>
        <v>7.2142999999999997</v>
      </c>
      <c r="I5" s="1"/>
      <c r="J5" s="6"/>
      <c r="K5" s="6"/>
    </row>
    <row r="6" spans="1:11" ht="15.6">
      <c r="C6" s="13">
        <f>SUM(C4:C5)</f>
        <v>5.0000000000000002E-5</v>
      </c>
      <c r="D6" s="13">
        <f t="shared" ref="D6:H6" si="2">SUM(D4:D5)</f>
        <v>1.2100000000000001E-3</v>
      </c>
      <c r="E6" s="13">
        <f t="shared" si="2"/>
        <v>1.1280000000000002E-2</v>
      </c>
      <c r="F6" s="13">
        <f t="shared" si="2"/>
        <v>7.7930000000000013E-2</v>
      </c>
      <c r="G6" s="13">
        <f t="shared" si="2"/>
        <v>0.72143000000000002</v>
      </c>
      <c r="H6" s="8">
        <f t="shared" si="2"/>
        <v>7.2189299999999994</v>
      </c>
      <c r="I6" s="9"/>
      <c r="J6" s="6"/>
      <c r="K6" s="5"/>
    </row>
    <row r="7" spans="1:11" ht="15">
      <c r="C7" s="9"/>
      <c r="D7" s="9"/>
      <c r="E7" s="9"/>
      <c r="F7" s="9"/>
      <c r="G7" s="9"/>
      <c r="H7" s="9"/>
      <c r="I7" s="9"/>
      <c r="J7" s="6"/>
      <c r="K7" s="5"/>
    </row>
    <row r="8" spans="1:11" ht="15">
      <c r="B8" s="25" t="s">
        <v>11</v>
      </c>
      <c r="C8" s="10">
        <f t="shared" ref="C8:I8" si="3">C2</f>
        <v>5.0000000000000002E-5</v>
      </c>
      <c r="D8" s="11">
        <f t="shared" si="3"/>
        <v>2.1000000000000001E-4</v>
      </c>
      <c r="E8" s="11">
        <f t="shared" si="3"/>
        <v>-7.92E-3</v>
      </c>
      <c r="F8" s="11">
        <f t="shared" si="3"/>
        <v>-2.6669999999999999E-2</v>
      </c>
      <c r="G8" s="11">
        <f t="shared" si="3"/>
        <v>0.29082999999999998</v>
      </c>
      <c r="H8" s="11">
        <f t="shared" si="3"/>
        <v>0.58333000000000002</v>
      </c>
      <c r="I8" s="12">
        <f t="shared" si="3"/>
        <v>-2</v>
      </c>
      <c r="J8" s="6"/>
      <c r="K8" s="5"/>
    </row>
    <row r="9" spans="1:11" ht="15">
      <c r="B9" s="12">
        <f>B3-I4/H6</f>
        <v>10.270635675924272</v>
      </c>
      <c r="C9" s="40"/>
      <c r="D9" s="6">
        <f t="shared" ref="D9:I9" si="4">$B9*C10</f>
        <v>5.135317837962136E-4</v>
      </c>
      <c r="E9" s="6">
        <f>$B9*D10</f>
        <v>7.4311313513225185E-3</v>
      </c>
      <c r="F9" s="6">
        <f t="shared" si="4"/>
        <v>-5.0209917839478301E-3</v>
      </c>
      <c r="G9" s="6">
        <f t="shared" si="4"/>
        <v>-0.32548663082163759</v>
      </c>
      <c r="H9" s="6">
        <f t="shared" si="4"/>
        <v>-0.35594562892404796</v>
      </c>
      <c r="I9" s="6">
        <f t="shared" si="4"/>
        <v>2.3353820337202764</v>
      </c>
      <c r="J9" s="26">
        <f>ABS(B9-B3)</f>
        <v>0.27063567592427162</v>
      </c>
      <c r="K9" s="6">
        <f xml:space="preserve"> ABS(J9/B9)*100</f>
        <v>2.6350430924025221</v>
      </c>
    </row>
    <row r="10" spans="1:11" ht="15.6">
      <c r="B10" s="35"/>
      <c r="C10" s="26">
        <f t="shared" ref="C10:I10" si="5">SUM(C8:C9)</f>
        <v>5.0000000000000002E-5</v>
      </c>
      <c r="D10" s="13">
        <f t="shared" si="5"/>
        <v>7.2353178379621361E-4</v>
      </c>
      <c r="E10" s="13">
        <f t="shared" si="5"/>
        <v>-4.8886864867748146E-4</v>
      </c>
      <c r="F10" s="13">
        <f>SUM(F8:F9)</f>
        <v>-3.1690991783947832E-2</v>
      </c>
      <c r="G10" s="13">
        <f t="shared" si="5"/>
        <v>-3.4656630821637613E-2</v>
      </c>
      <c r="H10" s="13">
        <f t="shared" si="5"/>
        <v>0.22738437107595205</v>
      </c>
      <c r="I10" s="14">
        <f t="shared" si="5"/>
        <v>0.33538203372027642</v>
      </c>
    </row>
    <row r="11" spans="1:11" ht="15.6" thickBot="1">
      <c r="B11" s="38"/>
      <c r="C11" s="42"/>
      <c r="D11" s="23">
        <f>$B9*C12</f>
        <v>5.135317837962136E-4</v>
      </c>
      <c r="E11" s="23">
        <f>$B9*D12</f>
        <v>1.2705429210700938E-2</v>
      </c>
      <c r="F11" s="23">
        <f>$B9*E12</f>
        <v>0.1254718427454076</v>
      </c>
      <c r="G11" s="23">
        <f>$B9*F12</f>
        <v>0.96318895360330581</v>
      </c>
      <c r="H11" s="23">
        <f>$B9*G12</f>
        <v>9.5366172006102321</v>
      </c>
      <c r="I11" s="39"/>
    </row>
    <row r="12" spans="1:11" ht="15.6">
      <c r="C12" s="13">
        <f t="shared" ref="C12:H12" si="6">SUM(C10:C11)</f>
        <v>5.0000000000000002E-5</v>
      </c>
      <c r="D12" s="13">
        <f t="shared" si="6"/>
        <v>1.2370635675924271E-3</v>
      </c>
      <c r="E12" s="13">
        <f t="shared" si="6"/>
        <v>1.2216560562023457E-2</v>
      </c>
      <c r="F12" s="13">
        <f t="shared" si="6"/>
        <v>9.3780850961459772E-2</v>
      </c>
      <c r="G12" s="13">
        <f t="shared" si="6"/>
        <v>0.9285323227816682</v>
      </c>
      <c r="H12" s="8">
        <f t="shared" si="6"/>
        <v>9.764001571686185</v>
      </c>
    </row>
    <row r="14" spans="1:11" ht="15">
      <c r="B14" s="25" t="s">
        <v>12</v>
      </c>
      <c r="C14" s="27">
        <f t="shared" ref="C14:I14" si="7">C8</f>
        <v>5.0000000000000002E-5</v>
      </c>
      <c r="D14" s="28">
        <f t="shared" si="7"/>
        <v>2.1000000000000001E-4</v>
      </c>
      <c r="E14" s="28">
        <f t="shared" si="7"/>
        <v>-7.92E-3</v>
      </c>
      <c r="F14" s="28">
        <f t="shared" si="7"/>
        <v>-2.6669999999999999E-2</v>
      </c>
      <c r="G14" s="28">
        <f t="shared" si="7"/>
        <v>0.29082999999999998</v>
      </c>
      <c r="H14" s="28">
        <f t="shared" si="7"/>
        <v>0.58333000000000002</v>
      </c>
      <c r="I14" s="28">
        <f t="shared" si="7"/>
        <v>-2</v>
      </c>
    </row>
    <row r="15" spans="1:11" ht="15">
      <c r="B15" s="41">
        <f>B9-I10/H12</f>
        <v>10.236286845554066</v>
      </c>
      <c r="C15" s="5"/>
      <c r="D15" s="6">
        <f t="shared" ref="D15:I15" si="8">$B15*C16</f>
        <v>5.1181434227770333E-4</v>
      </c>
      <c r="E15" s="6">
        <f t="shared" si="8"/>
        <v>7.3886986567895142E-3</v>
      </c>
      <c r="F15" s="6">
        <f t="shared" si="8"/>
        <v>-5.4385529505307012E-3</v>
      </c>
      <c r="G15" s="6">
        <f t="shared" si="8"/>
        <v>-0.32867235819729362</v>
      </c>
      <c r="H15" s="6">
        <f t="shared" si="8"/>
        <v>-0.38736523341970203</v>
      </c>
      <c r="I15" s="6">
        <f t="shared" si="8"/>
        <v>2.0059515623379771</v>
      </c>
      <c r="J15" s="5">
        <f>ABS(B15-B9)</f>
        <v>3.4348830370205974E-2</v>
      </c>
      <c r="K15" s="6">
        <f xml:space="preserve"> ABS(J15/B15)*100</f>
        <v>0.33555947472422315</v>
      </c>
    </row>
    <row r="16" spans="1:11" ht="15.6">
      <c r="B16" s="35"/>
      <c r="C16" s="26">
        <f t="shared" ref="C16:I16" si="9">SUM(C14:C15)</f>
        <v>5.0000000000000002E-5</v>
      </c>
      <c r="D16" s="13">
        <f t="shared" si="9"/>
        <v>7.2181434227770334E-4</v>
      </c>
      <c r="E16" s="13">
        <f t="shared" si="9"/>
        <v>-5.3130134321048572E-4</v>
      </c>
      <c r="F16" s="13">
        <f t="shared" si="9"/>
        <v>-3.2108552950530701E-2</v>
      </c>
      <c r="G16" s="13">
        <f t="shared" si="9"/>
        <v>-3.7842358197293646E-2</v>
      </c>
      <c r="H16" s="13">
        <f t="shared" si="9"/>
        <v>0.19596476658029799</v>
      </c>
      <c r="I16" s="14">
        <f t="shared" si="9"/>
        <v>5.9515623379771121E-3</v>
      </c>
    </row>
    <row r="17" spans="2:11" ht="15.6" thickBot="1">
      <c r="B17" s="38"/>
      <c r="C17" s="22"/>
      <c r="D17" s="23">
        <f>$B15*C18</f>
        <v>5.1181434227770333E-4</v>
      </c>
      <c r="E17" s="23">
        <f>$B15*D18</f>
        <v>1.2627777076012677E-2</v>
      </c>
      <c r="F17" s="23">
        <f>$B15*E18</f>
        <v>0.12382299542124704</v>
      </c>
      <c r="G17" s="23">
        <f>$B15*F18</f>
        <v>0.93881534101031872</v>
      </c>
      <c r="H17" s="23">
        <f>$B15*G18</f>
        <v>9.2226178921685786</v>
      </c>
      <c r="I17" s="24"/>
    </row>
    <row r="18" spans="2:11" ht="15.6">
      <c r="C18" s="13">
        <f t="shared" ref="C18:H18" si="10">SUM(C16:C17)</f>
        <v>5.0000000000000002E-5</v>
      </c>
      <c r="D18" s="13">
        <f t="shared" si="10"/>
        <v>1.2336286845554068E-3</v>
      </c>
      <c r="E18" s="13">
        <f t="shared" si="10"/>
        <v>1.2096475732802191E-2</v>
      </c>
      <c r="F18" s="13">
        <f t="shared" si="10"/>
        <v>9.1714442470716334E-2</v>
      </c>
      <c r="G18" s="13">
        <f t="shared" si="10"/>
        <v>0.90097298281302507</v>
      </c>
      <c r="H18" s="8">
        <f t="shared" si="10"/>
        <v>9.4185826587488766</v>
      </c>
      <c r="I18" s="15"/>
    </row>
    <row r="20" spans="2:11" ht="15">
      <c r="B20" s="25" t="s">
        <v>13</v>
      </c>
      <c r="C20" s="27">
        <f t="shared" ref="C20:I20" si="11">C14</f>
        <v>5.0000000000000002E-5</v>
      </c>
      <c r="D20" s="28">
        <f t="shared" si="11"/>
        <v>2.1000000000000001E-4</v>
      </c>
      <c r="E20" s="28">
        <f t="shared" si="11"/>
        <v>-7.92E-3</v>
      </c>
      <c r="F20" s="28">
        <f t="shared" si="11"/>
        <v>-2.6669999999999999E-2</v>
      </c>
      <c r="G20" s="28">
        <f t="shared" si="11"/>
        <v>0.29082999999999998</v>
      </c>
      <c r="H20" s="28">
        <f t="shared" si="11"/>
        <v>0.58333000000000002</v>
      </c>
      <c r="I20" s="28">
        <f t="shared" si="11"/>
        <v>-2</v>
      </c>
      <c r="J20" s="15"/>
      <c r="K20" s="15"/>
    </row>
    <row r="21" spans="2:11" ht="15">
      <c r="B21" s="12">
        <f>B15-I16/H18</f>
        <v>10.235654949805671</v>
      </c>
      <c r="C21" s="20"/>
      <c r="D21" s="6">
        <f t="shared" ref="D21:I21" si="12">$B21*C22</f>
        <v>5.1178274749028355E-4</v>
      </c>
      <c r="E21" s="6">
        <f t="shared" si="12"/>
        <v>7.3879191520332572E-3</v>
      </c>
      <c r="F21" s="6">
        <f t="shared" si="12"/>
        <v>-5.4461959651875887E-3</v>
      </c>
      <c r="G21" s="6">
        <f t="shared" si="12"/>
        <v>-0.32873030020000127</v>
      </c>
      <c r="H21" s="6">
        <f t="shared" si="12"/>
        <v>-0.38793439534126406</v>
      </c>
      <c r="I21" s="6">
        <f t="shared" si="12"/>
        <v>2.0000019879954625</v>
      </c>
      <c r="J21" s="5">
        <f>ABS(B21-B15)</f>
        <v>6.3189574839483953E-4</v>
      </c>
      <c r="K21" s="6">
        <f xml:space="preserve"> ABS(J21/B21)*100</f>
        <v>6.1734764555231164E-3</v>
      </c>
    </row>
    <row r="22" spans="2:11" ht="15.6">
      <c r="B22" s="35"/>
      <c r="C22" s="26">
        <f t="shared" ref="C22:I22" si="13">SUM(C20:C21)</f>
        <v>5.0000000000000002E-5</v>
      </c>
      <c r="D22" s="13">
        <f t="shared" si="13"/>
        <v>7.2178274749028356E-4</v>
      </c>
      <c r="E22" s="13">
        <f t="shared" si="13"/>
        <v>-5.3208084796674271E-4</v>
      </c>
      <c r="F22" s="13">
        <f t="shared" si="13"/>
        <v>-3.211619596518759E-2</v>
      </c>
      <c r="G22" s="13">
        <f t="shared" si="13"/>
        <v>-3.7900300200001291E-2</v>
      </c>
      <c r="H22" s="13">
        <f t="shared" si="13"/>
        <v>0.19539560465873596</v>
      </c>
      <c r="I22" s="14">
        <f t="shared" si="13"/>
        <v>1.9879954624713037E-6</v>
      </c>
      <c r="J22" s="15"/>
      <c r="K22" s="15"/>
    </row>
    <row r="23" spans="2:11" ht="15.6" thickBot="1">
      <c r="B23" s="38"/>
      <c r="C23" s="22"/>
      <c r="D23" s="23">
        <f>$B21*C24</f>
        <v>5.1178274749028355E-4</v>
      </c>
      <c r="E23" s="23">
        <f>$B21*D24</f>
        <v>1.2626350764607325E-2</v>
      </c>
      <c r="F23" s="23">
        <f>$B21*E24</f>
        <v>0.123792773736548</v>
      </c>
      <c r="G23" s="23">
        <f>$B21*F24</f>
        <v>0.93836981704666966</v>
      </c>
      <c r="H23" s="23">
        <f>$B21*G24</f>
        <v>9.2168952672607212</v>
      </c>
      <c r="I23" s="24"/>
      <c r="J23" s="15"/>
      <c r="K23" s="15"/>
    </row>
    <row r="24" spans="2:11" ht="15.6">
      <c r="C24" s="13">
        <f t="shared" ref="C24:H24" si="14">SUM(C22:C23)</f>
        <v>5.0000000000000002E-5</v>
      </c>
      <c r="D24" s="13">
        <f t="shared" si="14"/>
        <v>1.2335654949805672E-3</v>
      </c>
      <c r="E24" s="13">
        <f t="shared" si="14"/>
        <v>1.2094269916640582E-2</v>
      </c>
      <c r="F24" s="13">
        <f t="shared" si="14"/>
        <v>9.1676577771360401E-2</v>
      </c>
      <c r="G24" s="13">
        <f t="shared" si="14"/>
        <v>0.90046951684666832</v>
      </c>
      <c r="H24" s="8">
        <f t="shared" si="14"/>
        <v>9.4122908719194562</v>
      </c>
      <c r="I24" s="15"/>
      <c r="J24" s="15"/>
      <c r="K24" s="15"/>
    </row>
    <row r="26" spans="2:11" ht="15">
      <c r="B26" s="25" t="s">
        <v>14</v>
      </c>
      <c r="C26" s="27">
        <f t="shared" ref="C26:I26" si="15">C20</f>
        <v>5.0000000000000002E-5</v>
      </c>
      <c r="D26" s="28">
        <f t="shared" si="15"/>
        <v>2.1000000000000001E-4</v>
      </c>
      <c r="E26" s="28">
        <f t="shared" si="15"/>
        <v>-7.92E-3</v>
      </c>
      <c r="F26" s="28">
        <f t="shared" si="15"/>
        <v>-2.6669999999999999E-2</v>
      </c>
      <c r="G26" s="28">
        <f t="shared" si="15"/>
        <v>0.29082999999999998</v>
      </c>
      <c r="H26" s="28">
        <f t="shared" si="15"/>
        <v>0.58333000000000002</v>
      </c>
      <c r="I26" s="28">
        <f t="shared" si="15"/>
        <v>-2</v>
      </c>
      <c r="J26" s="15"/>
      <c r="K26" s="15"/>
    </row>
    <row r="27" spans="2:11" ht="15">
      <c r="B27" s="12">
        <f>B21-I22/H24</f>
        <v>10.235654738592961</v>
      </c>
      <c r="C27" s="20"/>
      <c r="D27" s="6">
        <f t="shared" ref="D27:I27" si="16">$B27*C28</f>
        <v>5.1178273692964807E-4</v>
      </c>
      <c r="E27" s="6">
        <f t="shared" si="16"/>
        <v>7.387918891488549E-3</v>
      </c>
      <c r="F27" s="6">
        <f t="shared" si="16"/>
        <v>-5.4461985196510281E-3</v>
      </c>
      <c r="G27" s="6">
        <f t="shared" si="16"/>
        <v>-0.32873031956325832</v>
      </c>
      <c r="H27" s="6">
        <f t="shared" si="16"/>
        <v>-0.38793458553185278</v>
      </c>
      <c r="I27" s="6">
        <f t="shared" si="16"/>
        <v>2.0000000000002269</v>
      </c>
      <c r="J27" s="5">
        <f>ABS(B27-B21)</f>
        <v>2.1121270954438387E-7</v>
      </c>
      <c r="K27" s="6">
        <f xml:space="preserve"> ABS(J27/B27)*100</f>
        <v>2.0634997461180302E-6</v>
      </c>
    </row>
    <row r="28" spans="2:11" ht="15.6">
      <c r="B28" s="35"/>
      <c r="C28" s="26">
        <f t="shared" ref="C28:I28" si="17">SUM(C26:C27)</f>
        <v>5.0000000000000002E-5</v>
      </c>
      <c r="D28" s="13">
        <f t="shared" si="17"/>
        <v>7.2178273692964808E-4</v>
      </c>
      <c r="E28" s="13">
        <f t="shared" si="17"/>
        <v>-5.3208110851145091E-4</v>
      </c>
      <c r="F28" s="13">
        <f t="shared" si="17"/>
        <v>-3.2116198519651029E-2</v>
      </c>
      <c r="G28" s="13">
        <f t="shared" si="17"/>
        <v>-3.7900319563258345E-2</v>
      </c>
      <c r="H28" s="13">
        <f t="shared" si="17"/>
        <v>0.19539541446814723</v>
      </c>
      <c r="I28" s="14">
        <f t="shared" si="17"/>
        <v>2.26929586233382E-13</v>
      </c>
      <c r="J28" s="15"/>
      <c r="K28" s="15"/>
    </row>
    <row r="29" spans="2:11" ht="15.6" thickBot="1">
      <c r="B29" s="38"/>
      <c r="C29" s="22"/>
      <c r="D29" s="23">
        <f>$B27*C30</f>
        <v>5.1178273692964807E-4</v>
      </c>
      <c r="E29" s="23">
        <f>$B27*D30</f>
        <v>1.2626350287872578E-2</v>
      </c>
      <c r="F29" s="23">
        <f>$B27*E30</f>
        <v>0.12379276363554653</v>
      </c>
      <c r="G29" s="23">
        <f>$B27*F30</f>
        <v>0.93836966814644196</v>
      </c>
      <c r="H29" s="23">
        <f>$B27*G30</f>
        <v>9.2168933547831813</v>
      </c>
      <c r="I29" s="24"/>
      <c r="J29" s="15"/>
      <c r="K29" s="15"/>
    </row>
    <row r="30" spans="2:11" ht="15.6">
      <c r="C30" s="13">
        <f t="shared" ref="C30:H30" si="18">SUM(C28:C29)</f>
        <v>5.0000000000000002E-5</v>
      </c>
      <c r="D30" s="13">
        <f t="shared" si="18"/>
        <v>1.2335654738592963E-3</v>
      </c>
      <c r="E30" s="13">
        <f t="shared" si="18"/>
        <v>1.2094269179361128E-2</v>
      </c>
      <c r="F30" s="13">
        <f t="shared" si="18"/>
        <v>9.1676565115895503E-2</v>
      </c>
      <c r="G30" s="13">
        <f t="shared" si="18"/>
        <v>0.90046934858318362</v>
      </c>
      <c r="H30" s="8">
        <f t="shared" si="18"/>
        <v>9.4122887692513277</v>
      </c>
      <c r="I30" s="15"/>
      <c r="J30" s="15"/>
      <c r="K30" s="15"/>
    </row>
    <row r="32" spans="2:11" ht="15">
      <c r="B32" s="25" t="s">
        <v>15</v>
      </c>
      <c r="C32" s="27">
        <f t="shared" ref="C32:I32" si="19">C26</f>
        <v>5.0000000000000002E-5</v>
      </c>
      <c r="D32" s="28">
        <f t="shared" si="19"/>
        <v>2.1000000000000001E-4</v>
      </c>
      <c r="E32" s="28">
        <f t="shared" si="19"/>
        <v>-7.92E-3</v>
      </c>
      <c r="F32" s="28">
        <f t="shared" si="19"/>
        <v>-2.6669999999999999E-2</v>
      </c>
      <c r="G32" s="28">
        <f t="shared" si="19"/>
        <v>0.29082999999999998</v>
      </c>
      <c r="H32" s="28">
        <f t="shared" si="19"/>
        <v>0.58333000000000002</v>
      </c>
      <c r="I32" s="28">
        <f t="shared" si="19"/>
        <v>-2</v>
      </c>
      <c r="J32" s="15"/>
      <c r="K32" s="15"/>
    </row>
    <row r="33" spans="2:11" ht="15">
      <c r="B33" s="12">
        <f>B27-I28/H30</f>
        <v>10.235654738592936</v>
      </c>
      <c r="C33" s="20"/>
      <c r="D33" s="6">
        <f t="shared" ref="D33" si="20">$B33*C34</f>
        <v>5.1178273692964688E-4</v>
      </c>
      <c r="E33" s="6">
        <f t="shared" ref="E33" si="21">$B33*D34</f>
        <v>7.3879188914885187E-3</v>
      </c>
      <c r="F33" s="6">
        <f t="shared" ref="F33" si="22">$B33*E34</f>
        <v>-5.4461985196513256E-3</v>
      </c>
      <c r="G33" s="6">
        <f t="shared" ref="G33" si="23">$B33*F34</f>
        <v>-0.32873031956326054</v>
      </c>
      <c r="H33" s="6">
        <f t="shared" ref="H33" si="24">$B33*G34</f>
        <v>-0.3879345855318746</v>
      </c>
      <c r="I33" s="6">
        <f t="shared" ref="I33" si="25">$B33*H34</f>
        <v>1.9999999999999987</v>
      </c>
      <c r="J33" s="5">
        <f>ABS(B33-B27)</f>
        <v>2.4868995751603507E-14</v>
      </c>
      <c r="K33" s="6">
        <f xml:space="preserve"> ABS(J33/B33)*100</f>
        <v>2.4296438661453104E-13</v>
      </c>
    </row>
    <row r="34" spans="2:11" ht="15.6">
      <c r="B34" s="35"/>
      <c r="C34" s="26">
        <f t="shared" ref="C34:I34" si="26">SUM(C32:C33)</f>
        <v>5.0000000000000002E-5</v>
      </c>
      <c r="D34" s="13">
        <f t="shared" si="26"/>
        <v>7.2178273692964688E-4</v>
      </c>
      <c r="E34" s="13">
        <f t="shared" si="26"/>
        <v>-5.3208110851148127E-4</v>
      </c>
      <c r="F34" s="13">
        <f t="shared" si="26"/>
        <v>-3.2116198519651327E-2</v>
      </c>
      <c r="G34" s="13">
        <f t="shared" si="26"/>
        <v>-3.7900319563260565E-2</v>
      </c>
      <c r="H34" s="13">
        <f t="shared" si="26"/>
        <v>0.19539541446812542</v>
      </c>
      <c r="I34" s="14">
        <f t="shared" si="26"/>
        <v>0</v>
      </c>
      <c r="J34" s="15"/>
      <c r="K34" s="15"/>
    </row>
    <row r="35" spans="2:11" ht="15.6" thickBot="1">
      <c r="B35" s="38"/>
      <c r="C35" s="22"/>
      <c r="D35" s="23">
        <f>$B33*C36</f>
        <v>5.1178273692964688E-4</v>
      </c>
      <c r="E35" s="23">
        <f>$B33*D36</f>
        <v>1.2626350287872521E-2</v>
      </c>
      <c r="F35" s="23">
        <f>$B33*E36</f>
        <v>0.12379276363554532</v>
      </c>
      <c r="G35" s="23">
        <f>$B33*F36</f>
        <v>0.93836966814642431</v>
      </c>
      <c r="H35" s="23">
        <f>$B33*G36</f>
        <v>9.2168933547829539</v>
      </c>
      <c r="I35" s="24"/>
      <c r="J35" s="15"/>
      <c r="K35" s="15"/>
    </row>
    <row r="36" spans="2:11" ht="15.6">
      <c r="C36" s="13">
        <f t="shared" ref="C36:H36" si="27">SUM(C34:C35)</f>
        <v>5.0000000000000002E-5</v>
      </c>
      <c r="D36" s="13">
        <f t="shared" si="27"/>
        <v>1.2335654738592937E-3</v>
      </c>
      <c r="E36" s="13">
        <f t="shared" si="27"/>
        <v>1.2094269179361039E-2</v>
      </c>
      <c r="F36" s="13">
        <f t="shared" si="27"/>
        <v>9.1676565115894004E-2</v>
      </c>
      <c r="G36" s="13">
        <f t="shared" si="27"/>
        <v>0.90046934858316374</v>
      </c>
      <c r="H36" s="8">
        <f t="shared" si="27"/>
        <v>9.412288769251079</v>
      </c>
      <c r="I36" s="15"/>
      <c r="J36" s="15"/>
      <c r="K36" s="15"/>
    </row>
  </sheetData>
  <conditionalFormatting sqref="B9">
    <cfRule type="expression" dxfId="218" priority="1">
      <formula>K9&lt;$K$1</formula>
    </cfRule>
  </conditionalFormatting>
  <conditionalFormatting sqref="B15">
    <cfRule type="expression" dxfId="217" priority="2">
      <formula>K15&lt;$K$1</formula>
    </cfRule>
  </conditionalFormatting>
  <conditionalFormatting sqref="B21">
    <cfRule type="expression" dxfId="216" priority="3">
      <formula>K21&lt;$K$1</formula>
    </cfRule>
  </conditionalFormatting>
  <conditionalFormatting sqref="B27">
    <cfRule type="expression" dxfId="215" priority="4">
      <formula>K27&lt;$K$1</formula>
    </cfRule>
  </conditionalFormatting>
  <conditionalFormatting sqref="B33">
    <cfRule type="expression" dxfId="214" priority="5">
      <formula>K33&lt;$K$1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B5197-5122-4745-976D-B9585EDBD735}">
  <dimension ref="A1:Q77"/>
  <sheetViews>
    <sheetView topLeftCell="A64" workbookViewId="0">
      <selection activeCell="I82" sqref="I82"/>
    </sheetView>
  </sheetViews>
  <sheetFormatPr defaultColWidth="11.42578125" defaultRowHeight="14.45"/>
  <cols>
    <col min="1" max="1" width="7.7109375" bestFit="1" customWidth="1"/>
    <col min="2" max="2" width="12" bestFit="1" customWidth="1"/>
    <col min="3" max="4" width="10.5703125" bestFit="1" customWidth="1"/>
    <col min="5" max="9" width="11.42578125" bestFit="1" customWidth="1"/>
    <col min="10" max="10" width="12.28515625" bestFit="1" customWidth="1"/>
    <col min="11" max="11" width="10.85546875" bestFit="1" customWidth="1"/>
    <col min="12" max="12" width="11.28515625" bestFit="1" customWidth="1"/>
    <col min="13" max="13" width="15.140625" bestFit="1" customWidth="1"/>
    <col min="14" max="14" width="2.5703125" bestFit="1" customWidth="1"/>
    <col min="15" max="15" width="8.28515625" bestFit="1" customWidth="1"/>
    <col min="16" max="16" width="1.5703125" bestFit="1" customWidth="1"/>
  </cols>
  <sheetData>
    <row r="1" spans="1:17" ht="15.6">
      <c r="A1" s="46" t="s">
        <v>34</v>
      </c>
      <c r="B1" s="47"/>
      <c r="C1" s="48" t="s">
        <v>1</v>
      </c>
      <c r="D1" s="49" t="s">
        <v>2</v>
      </c>
      <c r="E1" s="49" t="s">
        <v>3</v>
      </c>
      <c r="F1" s="49" t="s">
        <v>4</v>
      </c>
      <c r="G1" s="49" t="s">
        <v>5</v>
      </c>
      <c r="H1" s="49" t="s">
        <v>6</v>
      </c>
      <c r="I1" s="49" t="s">
        <v>7</v>
      </c>
      <c r="J1" s="50" t="s">
        <v>9</v>
      </c>
      <c r="K1" s="51" t="s">
        <v>10</v>
      </c>
      <c r="L1" s="52"/>
      <c r="M1" s="52"/>
      <c r="N1" s="52"/>
      <c r="O1" s="52"/>
      <c r="P1" s="52"/>
      <c r="Q1" s="60"/>
    </row>
    <row r="2" spans="1:17" ht="15.6">
      <c r="A2" s="47"/>
      <c r="B2" s="53" t="s">
        <v>18</v>
      </c>
      <c r="C2" s="54">
        <v>5.0000000000000002E-5</v>
      </c>
      <c r="D2" s="55">
        <v>2.1000000000000001E-4</v>
      </c>
      <c r="E2" s="56">
        <v>-7.92E-3</v>
      </c>
      <c r="F2" s="56">
        <v>-2.6669999999999999E-2</v>
      </c>
      <c r="G2" s="56">
        <v>0.29082999999999998</v>
      </c>
      <c r="H2" s="56">
        <v>0.58333000000000002</v>
      </c>
      <c r="I2" s="57">
        <v>-2</v>
      </c>
      <c r="J2" s="89"/>
      <c r="K2" s="58">
        <v>0.1</v>
      </c>
      <c r="L2" s="59"/>
      <c r="M2" s="59"/>
      <c r="N2" s="52"/>
      <c r="O2" s="52"/>
      <c r="P2" s="52"/>
    </row>
    <row r="3" spans="1:17" ht="15.6">
      <c r="A3" s="48" t="s">
        <v>19</v>
      </c>
      <c r="B3" s="90">
        <v>-1.950952397806778</v>
      </c>
      <c r="C3" s="60"/>
      <c r="D3" s="61">
        <f t="shared" ref="D3:I3" si="0">$B3*C5</f>
        <v>-9.7547619890338909E-5</v>
      </c>
      <c r="E3" s="62">
        <f t="shared" si="0"/>
        <v>-2.1938924061402256E-4</v>
      </c>
      <c r="F3" s="62">
        <f t="shared" si="0"/>
        <v>1.5104317609388235E-2</v>
      </c>
      <c r="G3" s="62">
        <f t="shared" si="0"/>
        <v>2.0820536603190002E-2</v>
      </c>
      <c r="H3" s="62">
        <f t="shared" si="0"/>
        <v>-0.48797633108775895</v>
      </c>
      <c r="I3" s="62">
        <f t="shared" si="0"/>
        <v>-2.0562746823322365E-2</v>
      </c>
      <c r="J3" s="60"/>
      <c r="K3" s="60"/>
      <c r="L3" s="63" t="s">
        <v>20</v>
      </c>
      <c r="M3" s="64">
        <f>B3^2+4*B4</f>
        <v>35.595544291523609</v>
      </c>
      <c r="N3" s="52"/>
      <c r="O3" s="52"/>
      <c r="P3" s="52"/>
    </row>
    <row r="4" spans="1:17" ht="16.149999999999999" thickBot="1">
      <c r="A4" s="48" t="s">
        <v>21</v>
      </c>
      <c r="B4" s="74">
        <v>7.9473322582538986</v>
      </c>
      <c r="C4" s="65"/>
      <c r="D4" s="65"/>
      <c r="E4" s="66">
        <f>$B4*C5</f>
        <v>3.9736661291269495E-4</v>
      </c>
      <c r="F4" s="66">
        <f>$B4*D5</f>
        <v>8.9369642796293877E-4</v>
      </c>
      <c r="G4" s="66">
        <f>$B4*E5</f>
        <v>-6.1528426173262367E-2</v>
      </c>
      <c r="H4" s="66">
        <f>$B4*F5</f>
        <v>-8.4813818300591801E-2</v>
      </c>
      <c r="I4" s="66">
        <f>$B4*G5</f>
        <v>1.9878035167223076</v>
      </c>
      <c r="J4" s="60"/>
      <c r="K4" s="60"/>
      <c r="L4" s="63" t="s">
        <v>22</v>
      </c>
      <c r="M4" s="49">
        <f>IF(M3&lt;0,B3/2,(B3+SQRT(M3))/2)</f>
        <v>2.0076238786804828</v>
      </c>
      <c r="N4" s="59" t="str">
        <f>IF(M3&lt;0,"+","")</f>
        <v/>
      </c>
      <c r="O4" s="47" t="str">
        <f>IF(M3&lt;0,SQRT(ABS(M3))/2,"")</f>
        <v/>
      </c>
      <c r="P4" s="59" t="str">
        <f>IF(M3&lt;0,"i","")</f>
        <v/>
      </c>
    </row>
    <row r="5" spans="1:17" ht="15.6">
      <c r="A5" s="48" t="s">
        <v>23</v>
      </c>
      <c r="B5" s="67">
        <f>SQRT(SUMSQ(B3:B4))</f>
        <v>8.1832942805199806</v>
      </c>
      <c r="C5" s="68">
        <f t="shared" ref="C5:I5" si="1">SUM(C2:C4)</f>
        <v>5.0000000000000002E-5</v>
      </c>
      <c r="D5" s="69">
        <f t="shared" si="1"/>
        <v>1.124523801096611E-4</v>
      </c>
      <c r="E5" s="68">
        <f t="shared" si="1"/>
        <v>-7.742022627701327E-3</v>
      </c>
      <c r="F5" s="69">
        <f t="shared" si="1"/>
        <v>-1.0671985962648825E-2</v>
      </c>
      <c r="G5" s="69">
        <f t="shared" si="1"/>
        <v>0.2501221104299276</v>
      </c>
      <c r="H5" s="70">
        <f t="shared" si="1"/>
        <v>1.0539850611649262E-2</v>
      </c>
      <c r="I5" s="70">
        <f t="shared" si="1"/>
        <v>-3.2759230101014669E-2</v>
      </c>
      <c r="J5" s="60"/>
      <c r="K5" s="60"/>
      <c r="L5" s="63" t="s">
        <v>24</v>
      </c>
      <c r="M5" s="49">
        <f>IF(M3&lt;0,M4,(B3-SQRT(M3))/2)</f>
        <v>-3.9585762764872605</v>
      </c>
      <c r="N5" s="71" t="str">
        <f>IF(M3&lt;0,"+","")</f>
        <v/>
      </c>
      <c r="O5" s="47" t="str">
        <f>IF(M3&lt;0,-O4,"")</f>
        <v/>
      </c>
      <c r="P5" s="71"/>
    </row>
    <row r="6" spans="1:17" ht="15.6">
      <c r="A6" s="47"/>
      <c r="B6" s="47"/>
      <c r="C6" s="72"/>
      <c r="D6" s="72"/>
      <c r="E6" s="72"/>
      <c r="F6" s="72"/>
      <c r="G6" s="72"/>
      <c r="H6" s="72"/>
      <c r="I6" s="72"/>
      <c r="J6" s="47"/>
      <c r="K6" s="47"/>
      <c r="L6" s="52"/>
      <c r="M6" s="52"/>
      <c r="N6" s="52"/>
      <c r="O6" s="52"/>
      <c r="P6" s="52"/>
    </row>
    <row r="7" spans="1:17" ht="15.6">
      <c r="A7" s="47"/>
      <c r="B7" s="53" t="s">
        <v>26</v>
      </c>
      <c r="C7" s="73">
        <f t="shared" ref="C7:I7" si="2">C2</f>
        <v>5.0000000000000002E-5</v>
      </c>
      <c r="D7" s="55">
        <f t="shared" si="2"/>
        <v>2.1000000000000001E-4</v>
      </c>
      <c r="E7" s="55">
        <f t="shared" si="2"/>
        <v>-7.92E-3</v>
      </c>
      <c r="F7" s="55">
        <f t="shared" si="2"/>
        <v>-2.6669999999999999E-2</v>
      </c>
      <c r="G7" s="55">
        <f t="shared" si="2"/>
        <v>0.29082999999999998</v>
      </c>
      <c r="H7" s="55">
        <f t="shared" si="2"/>
        <v>0.58333000000000002</v>
      </c>
      <c r="I7" s="55">
        <f t="shared" si="2"/>
        <v>-2</v>
      </c>
      <c r="J7" s="47"/>
      <c r="K7" s="47"/>
      <c r="L7" s="59"/>
      <c r="M7" s="63" t="s">
        <v>27</v>
      </c>
      <c r="N7" s="52"/>
      <c r="O7" s="52"/>
      <c r="P7" s="52"/>
    </row>
    <row r="8" spans="1:17" ht="15.6">
      <c r="A8" s="48" t="s">
        <v>28</v>
      </c>
      <c r="B8" s="74">
        <f>-(H2+B9*F5)/G5</f>
        <v>-1.9910106796620035</v>
      </c>
      <c r="C8" s="60"/>
      <c r="D8" s="61">
        <f t="shared" ref="D8:I8" si="3">$B8*C10</f>
        <v>-9.9550533983100176E-5</v>
      </c>
      <c r="E8" s="61">
        <f t="shared" si="3"/>
        <v>-2.1990606640261311E-4</v>
      </c>
      <c r="F8" s="61">
        <f t="shared" si="3"/>
        <v>1.5410624444950827E-2</v>
      </c>
      <c r="G8" s="61">
        <f t="shared" si="3"/>
        <v>2.0659147316076917E-2</v>
      </c>
      <c r="H8" s="61">
        <f t="shared" si="3"/>
        <v>-0.49695341148236216</v>
      </c>
      <c r="I8" s="61">
        <f t="shared" si="3"/>
        <v>-6.7842185874640486E-3</v>
      </c>
      <c r="J8" s="60"/>
      <c r="K8" s="60"/>
      <c r="L8" s="63" t="s">
        <v>20</v>
      </c>
      <c r="M8" s="64">
        <f>B8^2+4*B9</f>
        <v>35.948501022180309</v>
      </c>
      <c r="N8" s="52"/>
      <c r="O8" s="52"/>
      <c r="P8" s="52"/>
    </row>
    <row r="9" spans="1:17" ht="16.149999999999999" thickBot="1">
      <c r="A9" s="48" t="s">
        <v>29</v>
      </c>
      <c r="B9" s="75">
        <f>-I2/G5</f>
        <v>7.9960943739130395</v>
      </c>
      <c r="C9" s="76"/>
      <c r="D9" s="65"/>
      <c r="E9" s="66">
        <f>$B9*C10</f>
        <v>3.9980471869565201E-4</v>
      </c>
      <c r="F9" s="66">
        <f>$B9*D10</f>
        <v>8.8316435381943217E-4</v>
      </c>
      <c r="G9" s="66">
        <f>$B9*E10</f>
        <v>-6.1890580839916366E-2</v>
      </c>
      <c r="H9" s="66">
        <f>$B9*F10</f>
        <v>-8.2969164008686577E-2</v>
      </c>
      <c r="I9" s="66">
        <f>$B9*G10</f>
        <v>1.9958136931367871</v>
      </c>
      <c r="J9" s="60"/>
      <c r="K9" s="60"/>
      <c r="L9" s="63" t="s">
        <v>22</v>
      </c>
      <c r="M9" s="48">
        <f>IF(M8&lt;0,B8/2,(B8+SQRT(M8))/2)</f>
        <v>2.0023481014741393</v>
      </c>
      <c r="N9" s="63" t="s">
        <v>30</v>
      </c>
      <c r="O9" s="49" t="str">
        <f>IF(M8&lt;0,SQRT(ABS(M8))/2,"")</f>
        <v/>
      </c>
      <c r="P9" s="63" t="str">
        <f>IF(M8&lt;0,"i","")</f>
        <v/>
      </c>
    </row>
    <row r="10" spans="1:17" ht="15.6">
      <c r="A10" s="49" t="s">
        <v>23</v>
      </c>
      <c r="B10" s="67">
        <f>SQRT(SUMSQ(B8:B9))</f>
        <v>8.2402456737073013</v>
      </c>
      <c r="C10" s="69">
        <f t="shared" ref="C10:I10" si="4">SUM(C7:C9)</f>
        <v>5.0000000000000002E-5</v>
      </c>
      <c r="D10" s="69">
        <f t="shared" si="4"/>
        <v>1.1044946601689983E-4</v>
      </c>
      <c r="E10" s="69">
        <f t="shared" si="4"/>
        <v>-7.7401013477069614E-3</v>
      </c>
      <c r="F10" s="69">
        <f t="shared" si="4"/>
        <v>-1.0376211201229739E-2</v>
      </c>
      <c r="G10" s="69">
        <f t="shared" si="4"/>
        <v>0.24959856647616055</v>
      </c>
      <c r="H10" s="70">
        <f t="shared" si="4"/>
        <v>3.4074245089512761E-3</v>
      </c>
      <c r="I10" s="70">
        <f t="shared" si="4"/>
        <v>-1.0970525450677115E-2</v>
      </c>
      <c r="J10" s="61">
        <f>ABS(B10-B5)</f>
        <v>5.6951393187320676E-2</v>
      </c>
      <c r="K10" s="77">
        <f>ABS(J10/B10)*100</f>
        <v>0.6911370782189088</v>
      </c>
      <c r="L10" s="63" t="s">
        <v>24</v>
      </c>
      <c r="M10" s="48">
        <f>IF(M8&lt;0,M9,(B8-SQRT(M8))/2)</f>
        <v>-3.9933587811361426</v>
      </c>
      <c r="N10" s="78" t="s">
        <v>30</v>
      </c>
      <c r="O10" s="49" t="str">
        <f>IF(M8&lt;0,-O9,"")</f>
        <v/>
      </c>
      <c r="P10" s="78" t="s">
        <v>25</v>
      </c>
    </row>
    <row r="11" spans="1:17" ht="15.6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52"/>
      <c r="M11" s="52"/>
      <c r="N11" s="52"/>
      <c r="O11" s="52"/>
      <c r="P11" s="52"/>
    </row>
    <row r="12" spans="1:17" ht="15.6">
      <c r="A12" s="47"/>
      <c r="B12" s="53" t="s">
        <v>31</v>
      </c>
      <c r="C12" s="54">
        <f t="shared" ref="C12:I12" si="5">C7</f>
        <v>5.0000000000000002E-5</v>
      </c>
      <c r="D12" s="79">
        <f t="shared" si="5"/>
        <v>2.1000000000000001E-4</v>
      </c>
      <c r="E12" s="55">
        <f t="shared" si="5"/>
        <v>-7.92E-3</v>
      </c>
      <c r="F12" s="55">
        <f t="shared" si="5"/>
        <v>-2.6669999999999999E-2</v>
      </c>
      <c r="G12" s="55">
        <f t="shared" si="5"/>
        <v>0.29082999999999998</v>
      </c>
      <c r="H12" s="55">
        <f t="shared" si="5"/>
        <v>0.58333000000000002</v>
      </c>
      <c r="I12" s="55">
        <f t="shared" si="5"/>
        <v>-2</v>
      </c>
      <c r="J12" s="47"/>
      <c r="K12" s="47"/>
      <c r="L12" s="52"/>
      <c r="M12" s="52"/>
      <c r="N12" s="52"/>
      <c r="O12" s="52"/>
      <c r="P12" s="52"/>
    </row>
    <row r="13" spans="1:17" ht="15.6">
      <c r="A13" s="48" t="s">
        <v>19</v>
      </c>
      <c r="B13" s="80">
        <f>-(H7+B14*F10)/G10</f>
        <v>-2.0039650531172684</v>
      </c>
      <c r="C13" s="60"/>
      <c r="D13" s="77">
        <f t="shared" ref="D13:I13" si="6">$B13*C15</f>
        <v>-1.0019825265586343E-4</v>
      </c>
      <c r="E13" s="61">
        <f t="shared" si="6"/>
        <v>-2.2003886444886154E-4</v>
      </c>
      <c r="F13" s="61">
        <f t="shared" si="6"/>
        <v>1.5509478190001289E-2</v>
      </c>
      <c r="G13" s="61">
        <f t="shared" si="6"/>
        <v>2.0602153628890306E-2</v>
      </c>
      <c r="H13" s="61">
        <f t="shared" si="6"/>
        <v>-0.49982377355648921</v>
      </c>
      <c r="I13" s="61">
        <f t="shared" si="6"/>
        <v>-2.2612521899654328E-3</v>
      </c>
      <c r="J13" s="60"/>
      <c r="K13" s="60"/>
      <c r="L13" s="63" t="s">
        <v>20</v>
      </c>
      <c r="M13" s="64">
        <f>B13^2+4*B14</f>
        <v>36.067342066089608</v>
      </c>
      <c r="N13" s="52"/>
      <c r="O13" s="52"/>
      <c r="P13" s="52"/>
    </row>
    <row r="14" spans="1:17" ht="16.149999999999999" thickBot="1">
      <c r="A14" s="48" t="s">
        <v>21</v>
      </c>
      <c r="B14" s="75">
        <f>-I7/G10</f>
        <v>8.0128665329935789</v>
      </c>
      <c r="C14" s="76"/>
      <c r="D14" s="65"/>
      <c r="E14" s="66">
        <f>$B14*C15</f>
        <v>4.0064332664967894E-4</v>
      </c>
      <c r="F14" s="66">
        <f>$B14*D15</f>
        <v>8.7982674655804856E-4</v>
      </c>
      <c r="G14" s="66">
        <f>$B14*E15</f>
        <v>-6.2014743490430915E-2</v>
      </c>
      <c r="H14" s="66">
        <f>$B14*F15</f>
        <v>-8.2377837409755975E-2</v>
      </c>
      <c r="I14" s="66">
        <f>$B14*G15</f>
        <v>1.9985484184443945</v>
      </c>
      <c r="J14" s="60"/>
      <c r="K14" s="60"/>
      <c r="L14" s="63" t="s">
        <v>22</v>
      </c>
      <c r="M14" s="48">
        <f>IF(M13&lt;0,B13/2,(B13+SQRT(M13))/2)</f>
        <v>2.0008220818903411</v>
      </c>
      <c r="N14" s="63" t="s">
        <v>30</v>
      </c>
      <c r="O14" s="49" t="str">
        <f>IF(M13&lt;0,SQRT(ABS(M13))/2,"")</f>
        <v/>
      </c>
      <c r="P14" s="63" t="str">
        <f>IF(M13&lt;0,"i","")</f>
        <v/>
      </c>
    </row>
    <row r="15" spans="1:17" ht="15.6">
      <c r="A15" s="48" t="s">
        <v>23</v>
      </c>
      <c r="B15" s="67">
        <f>SQRT(SUMSQ(B13:B14))</f>
        <v>8.25965532027117</v>
      </c>
      <c r="C15" s="69">
        <f t="shared" ref="C15:I15" si="7">SUM(C12:C14)</f>
        <v>5.0000000000000002E-5</v>
      </c>
      <c r="D15" s="81">
        <f t="shared" si="7"/>
        <v>1.0980174734413658E-4</v>
      </c>
      <c r="E15" s="69">
        <f t="shared" si="7"/>
        <v>-7.7393955377991833E-3</v>
      </c>
      <c r="F15" s="69">
        <f t="shared" si="7"/>
        <v>-1.0280695063440662E-2</v>
      </c>
      <c r="G15" s="69">
        <f t="shared" si="7"/>
        <v>0.24941741013845936</v>
      </c>
      <c r="H15" s="70">
        <f t="shared" si="7"/>
        <v>1.1283890337548258E-3</v>
      </c>
      <c r="I15" s="70">
        <f t="shared" si="7"/>
        <v>-3.7128337455711868E-3</v>
      </c>
      <c r="J15" s="82">
        <f>ABS(B15-B10)</f>
        <v>1.9409646563868677E-2</v>
      </c>
      <c r="K15" s="77">
        <f>ABS(J15/B15)*100</f>
        <v>0.23499342056360101</v>
      </c>
      <c r="L15" s="63" t="s">
        <v>24</v>
      </c>
      <c r="M15" s="48">
        <f>IF(M13&lt;0,M14,(B13-SQRT(M13))/2)</f>
        <v>-4.004787135007609</v>
      </c>
      <c r="N15" s="78" t="s">
        <v>30</v>
      </c>
      <c r="O15" s="49" t="str">
        <f>IF(M13&lt;0,-O14,"")</f>
        <v/>
      </c>
      <c r="P15" s="78" t="s">
        <v>25</v>
      </c>
    </row>
    <row r="16" spans="1:17" ht="15.6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52"/>
      <c r="M16" s="52"/>
      <c r="N16" s="52"/>
      <c r="O16" s="52"/>
      <c r="P16" s="52"/>
    </row>
    <row r="17" spans="1:16" ht="15.6">
      <c r="A17" s="47"/>
      <c r="B17" s="53" t="s">
        <v>32</v>
      </c>
      <c r="C17" s="54">
        <f t="shared" ref="C17:I17" si="8">C12</f>
        <v>5.0000000000000002E-5</v>
      </c>
      <c r="D17" s="83">
        <f t="shared" si="8"/>
        <v>2.1000000000000001E-4</v>
      </c>
      <c r="E17" s="83">
        <f t="shared" si="8"/>
        <v>-7.92E-3</v>
      </c>
      <c r="F17" s="83">
        <f t="shared" si="8"/>
        <v>-2.6669999999999999E-2</v>
      </c>
      <c r="G17" s="83">
        <f t="shared" si="8"/>
        <v>0.29082999999999998</v>
      </c>
      <c r="H17" s="83">
        <f t="shared" si="8"/>
        <v>0.58333000000000002</v>
      </c>
      <c r="I17" s="83">
        <f t="shared" si="8"/>
        <v>-2</v>
      </c>
      <c r="J17" s="47"/>
      <c r="K17" s="47"/>
      <c r="L17" s="52"/>
      <c r="M17" s="52"/>
      <c r="N17" s="52"/>
      <c r="O17" s="52"/>
      <c r="P17" s="52"/>
    </row>
    <row r="18" spans="1:16" ht="15.6">
      <c r="A18" s="47" t="s">
        <v>28</v>
      </c>
      <c r="B18" s="74">
        <f>-(H12+B19*F15)/G15</f>
        <v>-2.008249262998997</v>
      </c>
      <c r="C18" s="60"/>
      <c r="D18" s="61">
        <f t="shared" ref="D18:I18" si="9">$B18*C20</f>
        <v>-1.0041246314994986E-4</v>
      </c>
      <c r="E18" s="62">
        <f t="shared" si="9"/>
        <v>-2.2007909011298864E-4</v>
      </c>
      <c r="F18" s="62">
        <f t="shared" si="9"/>
        <v>1.5542131778648171E-2</v>
      </c>
      <c r="G18" s="62">
        <f t="shared" si="9"/>
        <v>2.0582787942701988E-2</v>
      </c>
      <c r="H18" s="62">
        <f t="shared" si="9"/>
        <v>-0.50076702081747626</v>
      </c>
      <c r="I18" s="62">
        <f t="shared" si="9"/>
        <v>-7.6011989848988207E-4</v>
      </c>
      <c r="J18" s="60"/>
      <c r="K18" s="60"/>
      <c r="L18" s="63" t="s">
        <v>20</v>
      </c>
      <c r="M18" s="64">
        <f>B18^2+4*B19</f>
        <v>36.107810788930031</v>
      </c>
      <c r="N18" s="52"/>
      <c r="O18" s="52"/>
      <c r="P18" s="52"/>
    </row>
    <row r="19" spans="1:16" ht="16.149999999999999" thickBot="1">
      <c r="A19" s="47" t="s">
        <v>29</v>
      </c>
      <c r="B19" s="75">
        <f>-I12/G15</f>
        <v>8.0186864216485034</v>
      </c>
      <c r="C19" s="76"/>
      <c r="D19" s="65"/>
      <c r="E19" s="66">
        <f>$B19*C20</f>
        <v>4.0093432108242517E-4</v>
      </c>
      <c r="F19" s="66">
        <f>$B19*D20</f>
        <v>8.7874809372140211E-4</v>
      </c>
      <c r="G19" s="66">
        <f>$B19*E20</f>
        <v>-6.2057775074597421E-2</v>
      </c>
      <c r="H19" s="66">
        <f>$B19*F20</f>
        <v>-8.2184480401274476E-2</v>
      </c>
      <c r="I19" s="66">
        <f>$B19*G20</f>
        <v>1.9994996558554576</v>
      </c>
      <c r="J19" s="60"/>
      <c r="K19" s="60"/>
      <c r="L19" s="63" t="s">
        <v>22</v>
      </c>
      <c r="M19" s="48">
        <f>IF(M18&lt;0,B18/2,(B18+SQRT(M18))/2)</f>
        <v>2.0003641265477849</v>
      </c>
      <c r="N19" s="63" t="s">
        <v>30</v>
      </c>
      <c r="O19" s="49" t="str">
        <f>IF(M18&lt;0,SQRT(ABS(M18))/2,"")</f>
        <v/>
      </c>
      <c r="P19" s="63" t="str">
        <f>IF(M18&lt;0,"i","")</f>
        <v/>
      </c>
    </row>
    <row r="20" spans="1:16" ht="15.6">
      <c r="A20" s="47" t="s">
        <v>23</v>
      </c>
      <c r="B20" s="84">
        <f>SQRT(SUMSQ(B18:B19))</f>
        <v>8.2663412118703459</v>
      </c>
      <c r="C20" s="69">
        <f t="shared" ref="C20:I20" si="10">SUM(C17:C19)</f>
        <v>5.0000000000000002E-5</v>
      </c>
      <c r="D20" s="69">
        <f t="shared" si="10"/>
        <v>1.0958753685005015E-4</v>
      </c>
      <c r="E20" s="68">
        <f t="shared" si="10"/>
        <v>-7.7391447690305631E-3</v>
      </c>
      <c r="F20" s="69">
        <f t="shared" si="10"/>
        <v>-1.0249120127630426E-2</v>
      </c>
      <c r="G20" s="69">
        <f t="shared" si="10"/>
        <v>0.24935501286810452</v>
      </c>
      <c r="H20" s="70">
        <f t="shared" si="10"/>
        <v>3.7849878124927849E-4</v>
      </c>
      <c r="I20" s="85">
        <f t="shared" si="10"/>
        <v>-1.2604640430322611E-3</v>
      </c>
      <c r="J20" s="61">
        <f>ABS(B20-B15)</f>
        <v>6.6858915991758749E-3</v>
      </c>
      <c r="K20" s="61">
        <f>ABS(J20/B20)*100</f>
        <v>8.0880905201143063E-2</v>
      </c>
      <c r="L20" s="86" t="s">
        <v>24</v>
      </c>
      <c r="M20" s="48">
        <f>IF(M18&lt;0,M19,(B18-SQRT(M18))/2)</f>
        <v>-4.0086133895467819</v>
      </c>
      <c r="N20" s="78" t="s">
        <v>30</v>
      </c>
      <c r="O20" s="49" t="str">
        <f>IF(M18&lt;0,-O19,"")</f>
        <v/>
      </c>
      <c r="P20" s="78" t="s">
        <v>25</v>
      </c>
    </row>
    <row r="21" spans="1:16" ht="15.6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52"/>
      <c r="M21" s="52"/>
      <c r="N21" s="52"/>
      <c r="O21" s="52"/>
      <c r="P21" s="52"/>
    </row>
    <row r="22" spans="1:16" ht="15.6">
      <c r="A22" s="47"/>
      <c r="B22" s="53" t="s">
        <v>33</v>
      </c>
      <c r="C22" s="54">
        <f t="shared" ref="C22:I22" si="11">C17</f>
        <v>5.0000000000000002E-5</v>
      </c>
      <c r="D22" s="83">
        <f t="shared" si="11"/>
        <v>2.1000000000000001E-4</v>
      </c>
      <c r="E22" s="83">
        <f t="shared" si="11"/>
        <v>-7.92E-3</v>
      </c>
      <c r="F22" s="83">
        <f t="shared" si="11"/>
        <v>-2.6669999999999999E-2</v>
      </c>
      <c r="G22" s="83">
        <f t="shared" si="11"/>
        <v>0.29082999999999998</v>
      </c>
      <c r="H22" s="83">
        <f t="shared" si="11"/>
        <v>0.58333000000000002</v>
      </c>
      <c r="I22" s="83">
        <f t="shared" si="11"/>
        <v>-2</v>
      </c>
      <c r="J22" s="47"/>
      <c r="K22" s="47"/>
      <c r="L22" s="52"/>
      <c r="M22" s="52"/>
      <c r="N22" s="52"/>
      <c r="O22" s="52"/>
      <c r="P22" s="52"/>
    </row>
    <row r="23" spans="1:16" ht="15.6">
      <c r="A23" s="47" t="s">
        <v>28</v>
      </c>
      <c r="B23" s="74">
        <f>-(H17+B24*F20)/G20</f>
        <v>-2.0096846998505415</v>
      </c>
      <c r="C23" s="60"/>
      <c r="D23" s="61">
        <f t="shared" ref="D23:I23" si="12">$B23*C25</f>
        <v>-1.0048423499252709E-4</v>
      </c>
      <c r="E23" s="62">
        <f t="shared" si="12"/>
        <v>-2.2009215732794567E-4</v>
      </c>
      <c r="F23" s="62">
        <f t="shared" si="12"/>
        <v>1.5553065466249422E-2</v>
      </c>
      <c r="G23" s="62">
        <f t="shared" si="12"/>
        <v>2.057624162157895E-2</v>
      </c>
      <c r="H23" s="62">
        <f t="shared" si="12"/>
        <v>-0.50108199629950223</v>
      </c>
      <c r="I23" s="62">
        <f t="shared" si="12"/>
        <v>-2.5683800339995399E-4</v>
      </c>
      <c r="J23" s="60"/>
      <c r="K23" s="60"/>
      <c r="L23" s="87" t="s">
        <v>20</v>
      </c>
      <c r="M23" s="64">
        <f>B23^2+4*B24</f>
        <v>36.121604492937834</v>
      </c>
      <c r="N23" s="52"/>
      <c r="O23" s="52"/>
      <c r="P23" s="52"/>
    </row>
    <row r="24" spans="1:16" ht="16.149999999999999" thickBot="1">
      <c r="A24" s="47" t="s">
        <v>29</v>
      </c>
      <c r="B24" s="75">
        <f>-I17/G20</f>
        <v>8.0206929750311176</v>
      </c>
      <c r="C24" s="76"/>
      <c r="D24" s="65"/>
      <c r="E24" s="66">
        <f>$B24*C25</f>
        <v>4.0103464875155588E-4</v>
      </c>
      <c r="F24" s="66">
        <f>$B24*D25</f>
        <v>8.7839232705059676E-4</v>
      </c>
      <c r="G24" s="66">
        <f>$B24*E25</f>
        <v>-6.2072604192400474E-2</v>
      </c>
      <c r="H24" s="66">
        <f>$B24*F25</f>
        <v>-8.212020355183812E-2</v>
      </c>
      <c r="I24" s="66">
        <f>$B24*G25</f>
        <v>1.9998285541671674</v>
      </c>
      <c r="J24" s="60"/>
      <c r="K24" s="60"/>
      <c r="L24" s="63" t="s">
        <v>22</v>
      </c>
      <c r="M24" s="84">
        <f>IF(M23&lt;0,B23/2,(B23+SQRT(M23))/2)</f>
        <v>2.0002202323239668</v>
      </c>
      <c r="N24" s="63" t="s">
        <v>30</v>
      </c>
      <c r="O24" s="49" t="str">
        <f>IF(M23&lt;0,SQRT(ABS(M23))/2,"")</f>
        <v/>
      </c>
      <c r="P24" s="63" t="str">
        <f>IF(M23&lt;0,"i","")</f>
        <v/>
      </c>
    </row>
    <row r="25" spans="1:16" ht="15.6">
      <c r="A25" s="47" t="s">
        <v>23</v>
      </c>
      <c r="B25" s="84">
        <f>SQRT(SUMSQ(B23:B24))</f>
        <v>8.2686364288513055</v>
      </c>
      <c r="C25" s="69">
        <f t="shared" ref="C25:I25" si="13">SUM(C22:C24)</f>
        <v>5.0000000000000002E-5</v>
      </c>
      <c r="D25" s="69">
        <f t="shared" si="13"/>
        <v>1.0951576500747292E-4</v>
      </c>
      <c r="E25" s="69">
        <f t="shared" si="13"/>
        <v>-7.7390575085763899E-3</v>
      </c>
      <c r="F25" s="69">
        <f t="shared" si="13"/>
        <v>-1.023854220669998E-2</v>
      </c>
      <c r="G25" s="69">
        <f t="shared" si="13"/>
        <v>0.24933363742917847</v>
      </c>
      <c r="H25" s="70">
        <f t="shared" si="13"/>
        <v>1.2780014865966527E-4</v>
      </c>
      <c r="I25" s="70">
        <f t="shared" si="13"/>
        <v>-4.2828383623239041E-4</v>
      </c>
      <c r="J25" s="61">
        <f>ABS(B25-B20)</f>
        <v>2.2952169809595802E-3</v>
      </c>
      <c r="K25" s="61">
        <f>ABS(J25/B25)*100</f>
        <v>2.7758107406331278E-2</v>
      </c>
      <c r="L25" s="86" t="s">
        <v>24</v>
      </c>
      <c r="M25" s="49">
        <f>IF(M23&lt;0,M24,(B23-SQRT(M23))/2)</f>
        <v>-4.0099049321745088</v>
      </c>
      <c r="N25" s="88" t="s">
        <v>30</v>
      </c>
      <c r="O25" s="67" t="str">
        <f>IF(M23&lt;0,-O24,"")</f>
        <v/>
      </c>
      <c r="P25" s="88" t="s">
        <v>25</v>
      </c>
    </row>
    <row r="27" spans="1:16" ht="15.6">
      <c r="A27" s="46" t="s">
        <v>34</v>
      </c>
      <c r="B27" s="47"/>
      <c r="C27" s="48" t="s">
        <v>1</v>
      </c>
      <c r="D27" s="49" t="s">
        <v>2</v>
      </c>
      <c r="E27" s="49" t="s">
        <v>3</v>
      </c>
      <c r="F27" s="49" t="s">
        <v>4</v>
      </c>
      <c r="G27" s="49" t="s">
        <v>5</v>
      </c>
      <c r="H27" s="49" t="s">
        <v>6</v>
      </c>
      <c r="I27" s="49" t="s">
        <v>7</v>
      </c>
      <c r="J27" s="50" t="s">
        <v>9</v>
      </c>
      <c r="K27" s="51" t="s">
        <v>10</v>
      </c>
      <c r="L27" s="52"/>
      <c r="M27" s="52"/>
      <c r="N27" s="52"/>
      <c r="O27" s="52"/>
      <c r="P27" s="52"/>
    </row>
    <row r="28" spans="1:16" ht="15.6">
      <c r="A28" s="47"/>
      <c r="B28" s="53" t="s">
        <v>18</v>
      </c>
      <c r="C28" s="92">
        <v>0</v>
      </c>
      <c r="D28" s="93">
        <v>0</v>
      </c>
      <c r="E28" s="56">
        <v>5.0000000000000002E-5</v>
      </c>
      <c r="F28" s="56">
        <v>1.0947926720898032E-4</v>
      </c>
      <c r="G28" s="56">
        <v>-7.7390120883714325E-3</v>
      </c>
      <c r="H28" s="56">
        <v>-1.0233163258369126E-2</v>
      </c>
      <c r="I28" s="57">
        <v>0.24932261506526257</v>
      </c>
      <c r="J28" s="89"/>
      <c r="K28" s="58">
        <v>0.1</v>
      </c>
      <c r="L28" s="59"/>
      <c r="M28" s="59"/>
      <c r="N28" s="52"/>
      <c r="O28" s="52" t="s">
        <v>35</v>
      </c>
      <c r="P28" s="52"/>
    </row>
    <row r="29" spans="1:16" ht="15.6">
      <c r="A29" s="48" t="s">
        <v>19</v>
      </c>
      <c r="B29" s="90">
        <v>-1.6098922105787179</v>
      </c>
      <c r="C29" s="47"/>
      <c r="D29" s="49">
        <f t="shared" ref="D29" si="14">$B29*C31</f>
        <v>0</v>
      </c>
      <c r="E29" s="96">
        <f t="shared" ref="E29" si="15">$B29*D31</f>
        <v>0</v>
      </c>
      <c r="F29" s="62">
        <f t="shared" ref="F29" si="16">$B29*E31</f>
        <v>-8.0494610528935898E-5</v>
      </c>
      <c r="G29" s="62">
        <f t="shared" ref="G29" si="17">$B29*F31</f>
        <v>-4.6662173015501924E-5</v>
      </c>
      <c r="H29" s="62">
        <f t="shared" ref="H29" si="18">$B29*G31</f>
        <v>8.9092485540397531E-3</v>
      </c>
      <c r="I29" s="62">
        <f t="shared" ref="I29" si="19">$B29*H31</f>
        <v>3.0060593747429149E-5</v>
      </c>
      <c r="J29" s="60"/>
      <c r="K29" s="60"/>
      <c r="L29" s="63" t="s">
        <v>20</v>
      </c>
      <c r="M29" s="64">
        <f>B29^2+4*B30</f>
        <v>182.72047308379658</v>
      </c>
      <c r="N29" s="52"/>
      <c r="O29" s="52"/>
      <c r="P29" s="52"/>
    </row>
    <row r="30" spans="1:16" ht="16.149999999999999" thickBot="1">
      <c r="A30" s="48" t="s">
        <v>21</v>
      </c>
      <c r="B30" s="74">
        <v>45.032180038528637</v>
      </c>
      <c r="C30" s="97"/>
      <c r="D30" s="97"/>
      <c r="E30" s="98">
        <f>$B30*C31</f>
        <v>0</v>
      </c>
      <c r="F30" s="98">
        <f>$B30*D31</f>
        <v>0</v>
      </c>
      <c r="G30" s="66">
        <f>$B30*E31</f>
        <v>2.251609001926432E-3</v>
      </c>
      <c r="H30" s="66">
        <f>$B30*F31</f>
        <v>1.3052422779707023E-3</v>
      </c>
      <c r="I30" s="66">
        <f>$B30*G31</f>
        <v>-0.24921102310899201</v>
      </c>
      <c r="J30" s="60"/>
      <c r="K30" s="60"/>
      <c r="L30" s="63" t="s">
        <v>22</v>
      </c>
      <c r="M30" s="49">
        <f>IF(M29&lt;0,B29/2,(B29+SQRT(M29))/2)</f>
        <v>5.9537607437276296</v>
      </c>
      <c r="N30" s="59" t="str">
        <f>IF(M29&lt;0,"+","")</f>
        <v/>
      </c>
      <c r="O30" s="47" t="str">
        <f>IF(M29&lt;0,SQRT(ABS(M29))/2,"")</f>
        <v/>
      </c>
      <c r="P30" s="59" t="str">
        <f>IF(M29&lt;0,"i","")</f>
        <v/>
      </c>
    </row>
    <row r="31" spans="1:16" ht="15.6">
      <c r="A31" s="48" t="s">
        <v>23</v>
      </c>
      <c r="B31" s="67">
        <f>SQRT(SUMSQ(B29:B30))</f>
        <v>45.060947526124423</v>
      </c>
      <c r="C31" s="99">
        <f t="shared" ref="C31:I31" si="20">SUM(C28:C30)</f>
        <v>0</v>
      </c>
      <c r="D31" s="67">
        <f t="shared" si="20"/>
        <v>0</v>
      </c>
      <c r="E31" s="68">
        <f t="shared" si="20"/>
        <v>5.0000000000000002E-5</v>
      </c>
      <c r="F31" s="69">
        <f t="shared" si="20"/>
        <v>2.8984656680044427E-5</v>
      </c>
      <c r="G31" s="69">
        <f t="shared" si="20"/>
        <v>-5.534065259460502E-3</v>
      </c>
      <c r="H31" s="70">
        <f t="shared" si="20"/>
        <v>-1.8672426358670984E-5</v>
      </c>
      <c r="I31" s="70">
        <f t="shared" si="20"/>
        <v>1.4165255001799548E-4</v>
      </c>
      <c r="J31" s="60"/>
      <c r="K31" s="60"/>
      <c r="L31" s="63" t="s">
        <v>24</v>
      </c>
      <c r="M31" s="49">
        <f>IF(M29&lt;0,M30,(B29-SQRT(M29))/2)</f>
        <v>-7.5636529543063471</v>
      </c>
      <c r="N31" s="71" t="str">
        <f>IF(M29&lt;0,"+","")</f>
        <v/>
      </c>
      <c r="O31" s="47" t="str">
        <f>IF(M29&lt;0,-O30,"")</f>
        <v/>
      </c>
      <c r="P31" s="71"/>
    </row>
    <row r="32" spans="1:16" ht="15.6">
      <c r="A32" s="47"/>
      <c r="B32" s="47"/>
      <c r="C32" s="47"/>
      <c r="D32" s="47"/>
      <c r="E32" s="72"/>
      <c r="F32" s="72"/>
      <c r="G32" s="72"/>
      <c r="H32" s="72"/>
      <c r="I32" s="72"/>
      <c r="J32" s="47"/>
      <c r="K32" s="47"/>
      <c r="L32" s="52"/>
      <c r="M32" s="52"/>
      <c r="N32" s="52"/>
      <c r="O32" s="52"/>
      <c r="P32" s="52"/>
    </row>
    <row r="33" spans="1:16" ht="15.6">
      <c r="A33" s="47"/>
      <c r="B33" s="53" t="s">
        <v>26</v>
      </c>
      <c r="C33" s="102">
        <f t="shared" ref="C33:I33" si="21">C28</f>
        <v>0</v>
      </c>
      <c r="D33" s="93">
        <f t="shared" si="21"/>
        <v>0</v>
      </c>
      <c r="E33" s="55">
        <f t="shared" si="21"/>
        <v>5.0000000000000002E-5</v>
      </c>
      <c r="F33" s="55">
        <f t="shared" si="21"/>
        <v>1.0947926720898032E-4</v>
      </c>
      <c r="G33" s="55">
        <f t="shared" si="21"/>
        <v>-7.7390120883714325E-3</v>
      </c>
      <c r="H33" s="55">
        <f t="shared" si="21"/>
        <v>-1.0233163258369126E-2</v>
      </c>
      <c r="I33" s="55">
        <f t="shared" si="21"/>
        <v>0.24932261506526257</v>
      </c>
      <c r="J33" s="47"/>
      <c r="K33" s="47"/>
      <c r="L33" s="59"/>
      <c r="M33" s="63" t="s">
        <v>27</v>
      </c>
      <c r="N33" s="52"/>
      <c r="O33" s="52"/>
      <c r="P33" s="52"/>
    </row>
    <row r="34" spans="1:16" ht="15.6">
      <c r="A34" s="48" t="s">
        <v>28</v>
      </c>
      <c r="B34" s="74">
        <f>-(H28+B35*F31)/G31</f>
        <v>-1.6131606873392283</v>
      </c>
      <c r="C34" s="47"/>
      <c r="D34" s="49">
        <f t="shared" ref="D34" si="22">$B34*C36</f>
        <v>0</v>
      </c>
      <c r="E34" s="49">
        <f t="shared" ref="E34" si="23">$B34*D36</f>
        <v>0</v>
      </c>
      <c r="F34" s="61">
        <f t="shared" ref="F34" si="24">$B34*E36</f>
        <v>-8.0658034366961424E-5</v>
      </c>
      <c r="G34" s="61">
        <f t="shared" ref="G34" si="25">$B34*F36</f>
        <v>-4.6493279781395151E-5</v>
      </c>
      <c r="H34" s="61">
        <f t="shared" ref="H34" si="26">$B34*G36</f>
        <v>8.9254376325380684E-3</v>
      </c>
      <c r="I34" s="61">
        <f t="shared" ref="I34" si="27">$B34*H36</f>
        <v>1.4940307481039708E-5</v>
      </c>
      <c r="J34" s="60"/>
      <c r="K34" s="60"/>
      <c r="L34" s="63" t="s">
        <v>20</v>
      </c>
      <c r="M34" s="64">
        <f>B34^2+4*B35</f>
        <v>182.81166577221191</v>
      </c>
      <c r="N34" s="52"/>
      <c r="O34" s="52"/>
      <c r="P34" s="52"/>
    </row>
    <row r="35" spans="1:16" ht="16.149999999999999" thickBot="1">
      <c r="A35" s="48" t="s">
        <v>29</v>
      </c>
      <c r="B35" s="75">
        <f>-I28/G31</f>
        <v>45.052344592258784</v>
      </c>
      <c r="C35" s="103"/>
      <c r="D35" s="97"/>
      <c r="E35" s="98">
        <f>$B35*C36</f>
        <v>0</v>
      </c>
      <c r="F35" s="98">
        <f>$B35*D36</f>
        <v>0</v>
      </c>
      <c r="G35" s="66">
        <f>$B35*E36</f>
        <v>2.2526172296129395E-3</v>
      </c>
      <c r="H35" s="66">
        <f>$B35*F36</f>
        <v>1.2984641135723614E-3</v>
      </c>
      <c r="I35" s="66">
        <f>$B35*G36</f>
        <v>-0.24926958300792026</v>
      </c>
      <c r="J35" s="60"/>
      <c r="K35" s="60"/>
      <c r="L35" s="63" t="s">
        <v>22</v>
      </c>
      <c r="M35" s="48">
        <f>IF(M34&lt;0,B34/2,(B34+SQRT(M34))/2)</f>
        <v>5.9538128729305102</v>
      </c>
      <c r="N35" s="63" t="s">
        <v>30</v>
      </c>
      <c r="O35" s="49" t="str">
        <f>IF(M34&lt;0,SQRT(ABS(M34))/2,"")</f>
        <v/>
      </c>
      <c r="P35" s="63" t="str">
        <f>IF(M34&lt;0,"i","")</f>
        <v/>
      </c>
    </row>
    <row r="36" spans="1:16" ht="15.6">
      <c r="A36" s="49" t="s">
        <v>23</v>
      </c>
      <c r="B36" s="67">
        <f>SQRT(SUMSQ(B34:B35))</f>
        <v>45.08121605128688</v>
      </c>
      <c r="C36" s="67">
        <f t="shared" ref="C36:I36" si="28">SUM(C33:C35)</f>
        <v>0</v>
      </c>
      <c r="D36" s="67">
        <f t="shared" si="28"/>
        <v>0</v>
      </c>
      <c r="E36" s="69">
        <f t="shared" si="28"/>
        <v>5.0000000000000002E-5</v>
      </c>
      <c r="F36" s="69">
        <f t="shared" si="28"/>
        <v>2.88212328420189E-5</v>
      </c>
      <c r="G36" s="69">
        <f t="shared" si="28"/>
        <v>-5.5328881385398876E-3</v>
      </c>
      <c r="H36" s="70">
        <f t="shared" si="28"/>
        <v>-9.2615122586966071E-6</v>
      </c>
      <c r="I36" s="70">
        <f t="shared" si="28"/>
        <v>6.7972364823337683E-5</v>
      </c>
      <c r="J36" s="61">
        <f>ABS(B36-B31)</f>
        <v>2.0268525162457252E-2</v>
      </c>
      <c r="K36" s="77">
        <f>ABS(J36/B36)*100</f>
        <v>4.4960023126702393E-2</v>
      </c>
      <c r="L36" s="63" t="s">
        <v>24</v>
      </c>
      <c r="M36" s="48">
        <f>IF(M34&lt;0,M35,(B34-SQRT(M34))/2)</f>
        <v>-7.5669735602697381</v>
      </c>
      <c r="N36" s="78" t="s">
        <v>30</v>
      </c>
      <c r="O36" s="49" t="str">
        <f>IF(M34&lt;0,-O35,"")</f>
        <v/>
      </c>
      <c r="P36" s="78" t="s">
        <v>25</v>
      </c>
    </row>
    <row r="37" spans="1:16" ht="15.6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52"/>
      <c r="M37" s="52"/>
      <c r="N37" s="52"/>
      <c r="O37" s="52"/>
      <c r="P37" s="52"/>
    </row>
    <row r="38" spans="1:16" ht="15.6">
      <c r="A38" s="47"/>
      <c r="B38" s="53" t="s">
        <v>31</v>
      </c>
      <c r="C38" s="92">
        <f t="shared" ref="C38:I38" si="29">C33</f>
        <v>0</v>
      </c>
      <c r="D38" s="75">
        <f t="shared" si="29"/>
        <v>0</v>
      </c>
      <c r="E38" s="55">
        <f t="shared" si="29"/>
        <v>5.0000000000000002E-5</v>
      </c>
      <c r="F38" s="55">
        <f t="shared" si="29"/>
        <v>1.0947926720898032E-4</v>
      </c>
      <c r="G38" s="55">
        <f t="shared" si="29"/>
        <v>-7.7390120883714325E-3</v>
      </c>
      <c r="H38" s="55">
        <f t="shared" si="29"/>
        <v>-1.0233163258369126E-2</v>
      </c>
      <c r="I38" s="55">
        <f t="shared" si="29"/>
        <v>0.24932261506526257</v>
      </c>
      <c r="J38" s="47"/>
      <c r="K38" s="47"/>
      <c r="L38" s="52"/>
      <c r="M38" s="52"/>
      <c r="N38" s="52"/>
      <c r="O38" s="52"/>
      <c r="P38" s="52"/>
    </row>
    <row r="39" spans="1:16" ht="15.6">
      <c r="A39" s="48" t="s">
        <v>19</v>
      </c>
      <c r="B39" s="80">
        <f>-(H33+B40*F36)/G36</f>
        <v>-1.6147846609377308</v>
      </c>
      <c r="C39" s="47"/>
      <c r="D39" s="48">
        <f t="shared" ref="D39" si="30">$B39*C41</f>
        <v>0</v>
      </c>
      <c r="E39" s="49">
        <f t="shared" ref="E39" si="31">$B39*D41</f>
        <v>0</v>
      </c>
      <c r="F39" s="61">
        <f t="shared" ref="F39" si="32">$B39*E41</f>
        <v>-8.0739233046886545E-5</v>
      </c>
      <c r="G39" s="61">
        <f t="shared" ref="G39" si="33">$B39*F41</f>
        <v>-4.6408966319775405E-5</v>
      </c>
      <c r="H39" s="61">
        <f t="shared" ref="H39" si="34">$B39*G41</f>
        <v>8.9335128730220377E-3</v>
      </c>
      <c r="I39" s="61">
        <f t="shared" ref="I39" si="35">$B39*H41</f>
        <v>7.3779397547570892E-6</v>
      </c>
      <c r="J39" s="60"/>
      <c r="K39" s="60"/>
      <c r="L39" s="63" t="s">
        <v>20</v>
      </c>
      <c r="M39" s="64">
        <f>B39^2+4*B40</f>
        <v>182.85524738190725</v>
      </c>
      <c r="N39" s="52"/>
      <c r="O39" s="52"/>
      <c r="P39" s="52"/>
    </row>
    <row r="40" spans="1:16" ht="16.149999999999999" thickBot="1">
      <c r="A40" s="48" t="s">
        <v>21</v>
      </c>
      <c r="B40" s="75">
        <f>-I33/G36</f>
        <v>45.061929470176864</v>
      </c>
      <c r="C40" s="103"/>
      <c r="D40" s="97"/>
      <c r="E40" s="98">
        <f>$B40*C41</f>
        <v>0</v>
      </c>
      <c r="F40" s="98">
        <f>$B40*D41</f>
        <v>0</v>
      </c>
      <c r="G40" s="66">
        <f>$B40*E41</f>
        <v>2.2530964735088433E-3</v>
      </c>
      <c r="H40" s="66">
        <f>$B40*F41</f>
        <v>1.2950813923827435E-3</v>
      </c>
      <c r="I40" s="66">
        <f>$B40*G41</f>
        <v>-0.24929722008336547</v>
      </c>
      <c r="J40" s="60"/>
      <c r="K40" s="60"/>
      <c r="L40" s="63" t="s">
        <v>22</v>
      </c>
      <c r="M40" s="48">
        <f>IF(M39&lt;0,B39/2,(B39+SQRT(M39))/2)</f>
        <v>5.953806664197451</v>
      </c>
      <c r="N40" s="63" t="s">
        <v>30</v>
      </c>
      <c r="O40" s="49" t="str">
        <f>IF(M39&lt;0,SQRT(ABS(M39))/2,"")</f>
        <v/>
      </c>
      <c r="P40" s="63" t="str">
        <f>IF(M39&lt;0,"i","")</f>
        <v/>
      </c>
    </row>
    <row r="41" spans="1:16" ht="15.6">
      <c r="A41" s="48" t="s">
        <v>23</v>
      </c>
      <c r="B41" s="67">
        <f>SQRT(SUMSQ(B39:B40))</f>
        <v>45.090852920258605</v>
      </c>
      <c r="C41" s="67">
        <f t="shared" ref="C41:I41" si="36">SUM(C38:C40)</f>
        <v>0</v>
      </c>
      <c r="D41" s="84">
        <f t="shared" si="36"/>
        <v>0</v>
      </c>
      <c r="E41" s="69">
        <f t="shared" si="36"/>
        <v>5.0000000000000002E-5</v>
      </c>
      <c r="F41" s="69">
        <f t="shared" si="36"/>
        <v>2.874003416209378E-5</v>
      </c>
      <c r="G41" s="69">
        <f t="shared" si="36"/>
        <v>-5.5323245811823643E-3</v>
      </c>
      <c r="H41" s="100">
        <f t="shared" si="36"/>
        <v>-4.5689929643452296E-6</v>
      </c>
      <c r="I41" s="70">
        <f t="shared" si="36"/>
        <v>3.2772921651852416E-5</v>
      </c>
      <c r="J41" s="82">
        <f>ABS(B41-B36)</f>
        <v>9.6368689717252209E-3</v>
      </c>
      <c r="K41" s="77">
        <f>ABS(J41/B41)*100</f>
        <v>2.1372115069031059E-2</v>
      </c>
      <c r="L41" s="63" t="s">
        <v>24</v>
      </c>
      <c r="M41" s="48">
        <f>IF(M39&lt;0,M40,(B39-SQRT(M39))/2)</f>
        <v>-7.5685913251351824</v>
      </c>
      <c r="N41" s="78" t="s">
        <v>30</v>
      </c>
      <c r="O41" s="49" t="str">
        <f>IF(M39&lt;0,-O40,"")</f>
        <v/>
      </c>
      <c r="P41" s="78" t="s">
        <v>25</v>
      </c>
    </row>
    <row r="42" spans="1:16" ht="15.6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52"/>
      <c r="M42" s="52"/>
      <c r="N42" s="52"/>
      <c r="O42" s="52"/>
      <c r="P42" s="52"/>
    </row>
    <row r="43" spans="1:16" ht="15.6">
      <c r="A43" s="47"/>
      <c r="B43" s="53" t="s">
        <v>32</v>
      </c>
      <c r="C43" s="92">
        <f t="shared" ref="C43:I43" si="37">C38</f>
        <v>0</v>
      </c>
      <c r="D43" s="106">
        <f t="shared" si="37"/>
        <v>0</v>
      </c>
      <c r="E43" s="83">
        <f t="shared" si="37"/>
        <v>5.0000000000000002E-5</v>
      </c>
      <c r="F43" s="83">
        <f t="shared" si="37"/>
        <v>1.0947926720898032E-4</v>
      </c>
      <c r="G43" s="83">
        <f t="shared" si="37"/>
        <v>-7.7390120883714325E-3</v>
      </c>
      <c r="H43" s="83">
        <f t="shared" si="37"/>
        <v>-1.0233163258369126E-2</v>
      </c>
      <c r="I43" s="83">
        <f t="shared" si="37"/>
        <v>0.24932261506526257</v>
      </c>
      <c r="J43" s="47"/>
      <c r="K43" s="47"/>
      <c r="L43" s="52"/>
      <c r="M43" s="52"/>
      <c r="N43" s="52"/>
      <c r="O43" s="52"/>
      <c r="P43" s="52"/>
    </row>
    <row r="44" spans="1:16" ht="15.6">
      <c r="A44" s="47" t="s">
        <v>28</v>
      </c>
      <c r="B44" s="74">
        <f>-(H38+B45*F41)/G41</f>
        <v>-1.6155866868796009</v>
      </c>
      <c r="C44" s="47"/>
      <c r="D44" s="49">
        <f t="shared" ref="D44" si="38">$B44*C46</f>
        <v>0</v>
      </c>
      <c r="E44" s="96">
        <f t="shared" ref="E44" si="39">$B44*D46</f>
        <v>0</v>
      </c>
      <c r="F44" s="62">
        <f t="shared" ref="F44" si="40">$B44*E46</f>
        <v>-8.0779334343980053E-5</v>
      </c>
      <c r="G44" s="62">
        <f t="shared" ref="G44" si="41">$B44*F46</f>
        <v>-4.6367229451032764E-5</v>
      </c>
      <c r="H44" s="62">
        <f t="shared" ref="H44" si="42">$B44*G46</f>
        <v>8.9375117106424914E-3</v>
      </c>
      <c r="I44" s="62">
        <f t="shared" ref="I44" si="43">$B44*H46</f>
        <v>3.6277289979826773E-6</v>
      </c>
      <c r="J44" s="60"/>
      <c r="K44" s="60"/>
      <c r="L44" s="63" t="s">
        <v>20</v>
      </c>
      <c r="M44" s="64">
        <f>B44^2+4*B45</f>
        <v>182.87619938909398</v>
      </c>
      <c r="N44" s="52"/>
      <c r="O44" s="52"/>
      <c r="P44" s="52"/>
    </row>
    <row r="45" spans="1:16" ht="16.149999999999999" thickBot="1">
      <c r="A45" s="47" t="s">
        <v>29</v>
      </c>
      <c r="B45" s="75">
        <f>-I38/G41</f>
        <v>45.066519761567847</v>
      </c>
      <c r="C45" s="103"/>
      <c r="D45" s="97"/>
      <c r="E45" s="98">
        <f>$B45*C46</f>
        <v>0</v>
      </c>
      <c r="F45" s="98">
        <f>$B45*D46</f>
        <v>0</v>
      </c>
      <c r="G45" s="66">
        <f>$B45*E46</f>
        <v>2.2533259880783926E-3</v>
      </c>
      <c r="H45" s="66">
        <f>$B45*F46</f>
        <v>1.2934060916162053E-3</v>
      </c>
      <c r="I45" s="66">
        <f>$B45*G46</f>
        <v>-0.24931039070695846</v>
      </c>
      <c r="J45" s="60"/>
      <c r="K45" s="60"/>
      <c r="L45" s="63" t="s">
        <v>22</v>
      </c>
      <c r="M45" s="48">
        <f>IF(M44&lt;0,B44/2,(B44+SQRT(M44))/2)</f>
        <v>5.9537929975953787</v>
      </c>
      <c r="N45" s="63" t="s">
        <v>30</v>
      </c>
      <c r="O45" s="49" t="str">
        <f>IF(M44&lt;0,SQRT(ABS(M44))/2,"")</f>
        <v/>
      </c>
      <c r="P45" s="63" t="str">
        <f>IF(M44&lt;0,"i","")</f>
        <v/>
      </c>
    </row>
    <row r="46" spans="1:16" ht="15.6">
      <c r="A46" s="47" t="s">
        <v>23</v>
      </c>
      <c r="B46" s="84">
        <f>SQRT(SUMSQ(B44:B45))</f>
        <v>45.095468993709424</v>
      </c>
      <c r="C46" s="67">
        <f t="shared" ref="C46:I46" si="44">SUM(C43:C45)</f>
        <v>0</v>
      </c>
      <c r="D46" s="67">
        <f t="shared" si="44"/>
        <v>0</v>
      </c>
      <c r="E46" s="68">
        <f t="shared" si="44"/>
        <v>5.0000000000000002E-5</v>
      </c>
      <c r="F46" s="69">
        <f t="shared" si="44"/>
        <v>2.8699932865000271E-5</v>
      </c>
      <c r="G46" s="69">
        <f t="shared" si="44"/>
        <v>-5.5320533297440726E-3</v>
      </c>
      <c r="H46" s="100">
        <f t="shared" si="44"/>
        <v>-2.2454561104297017E-6</v>
      </c>
      <c r="I46" s="85">
        <f t="shared" si="44"/>
        <v>1.5852087302092865E-5</v>
      </c>
      <c r="J46" s="61">
        <f>ABS(B46-B41)</f>
        <v>4.6160734508191581E-3</v>
      </c>
      <c r="K46" s="61">
        <f>ABS(J46/B46)*100</f>
        <v>1.0236224511742135E-2</v>
      </c>
      <c r="L46" s="86" t="s">
        <v>24</v>
      </c>
      <c r="M46" s="48">
        <f>IF(M44&lt;0,M45,(B44-SQRT(M44))/2)</f>
        <v>-7.5693796844749794</v>
      </c>
      <c r="N46" s="78" t="s">
        <v>30</v>
      </c>
      <c r="O46" s="49" t="str">
        <f>IF(M44&lt;0,-O45,"")</f>
        <v/>
      </c>
      <c r="P46" s="78" t="s">
        <v>25</v>
      </c>
    </row>
    <row r="47" spans="1:16" ht="15.6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52"/>
      <c r="M47" s="52"/>
      <c r="N47" s="52"/>
      <c r="O47" s="52"/>
      <c r="P47" s="52"/>
    </row>
    <row r="48" spans="1:16" ht="15.6">
      <c r="A48" s="47"/>
      <c r="B48" s="53" t="s">
        <v>33</v>
      </c>
      <c r="C48" s="92">
        <f t="shared" ref="C48:I48" si="45">C43</f>
        <v>0</v>
      </c>
      <c r="D48" s="106">
        <f t="shared" si="45"/>
        <v>0</v>
      </c>
      <c r="E48" s="83">
        <f t="shared" si="45"/>
        <v>5.0000000000000002E-5</v>
      </c>
      <c r="F48" s="83">
        <f t="shared" si="45"/>
        <v>1.0947926720898032E-4</v>
      </c>
      <c r="G48" s="83">
        <f t="shared" si="45"/>
        <v>-7.7390120883714325E-3</v>
      </c>
      <c r="H48" s="83">
        <f t="shared" si="45"/>
        <v>-1.0233163258369126E-2</v>
      </c>
      <c r="I48" s="83">
        <f t="shared" si="45"/>
        <v>0.24932261506526257</v>
      </c>
      <c r="J48" s="47"/>
      <c r="K48" s="47"/>
      <c r="L48" s="52"/>
      <c r="M48" s="52"/>
      <c r="N48" s="52"/>
      <c r="O48" s="52"/>
      <c r="P48" s="52"/>
    </row>
    <row r="49" spans="1:16" ht="15.6">
      <c r="A49" s="47" t="s">
        <v>28</v>
      </c>
      <c r="B49" s="74">
        <f>-(H43+B50*F46)/G46</f>
        <v>-1.6159811221470448</v>
      </c>
      <c r="C49" s="47"/>
      <c r="D49" s="49">
        <f t="shared" ref="D49" si="46">$B49*C51</f>
        <v>0</v>
      </c>
      <c r="E49" s="96">
        <f t="shared" ref="E49" si="47">$B49*D51</f>
        <v>0</v>
      </c>
      <c r="F49" s="62">
        <f t="shared" ref="F49" si="48">$B49*E51</f>
        <v>-8.0799056107352241E-5</v>
      </c>
      <c r="G49" s="62">
        <f t="shared" ref="G49" si="49">$B49*F51</f>
        <v>-4.6346679719423081E-5</v>
      </c>
      <c r="H49" s="62">
        <f t="shared" ref="H49" si="50">$B49*G51</f>
        <v>8.9394819952945889E-3</v>
      </c>
      <c r="I49" s="62">
        <f t="shared" ref="I49" si="51">$B49*H51</f>
        <v>1.7785279786591545E-6</v>
      </c>
      <c r="J49" s="60"/>
      <c r="K49" s="60"/>
      <c r="L49" s="87" t="s">
        <v>20</v>
      </c>
      <c r="M49" s="64">
        <f>B49^2+4*B50</f>
        <v>182.88631296360197</v>
      </c>
      <c r="N49" s="52"/>
      <c r="O49" s="52"/>
      <c r="P49" s="52"/>
    </row>
    <row r="50" spans="1:16" ht="16.149999999999999" thickBot="1">
      <c r="A50" s="47" t="s">
        <v>29</v>
      </c>
      <c r="B50" s="75">
        <f>-I43/G46</f>
        <v>45.068729494116589</v>
      </c>
      <c r="C50" s="103"/>
      <c r="D50" s="97"/>
      <c r="E50" s="98">
        <f>$B50*C51</f>
        <v>0</v>
      </c>
      <c r="F50" s="98">
        <f>$B50*D51</f>
        <v>0</v>
      </c>
      <c r="G50" s="66">
        <f>$B50*E51</f>
        <v>2.2534364747058295E-3</v>
      </c>
      <c r="H50" s="66">
        <f>$B50*F51</f>
        <v>1.2925806759734356E-3</v>
      </c>
      <c r="I50" s="66">
        <f>$B50*G51</f>
        <v>-0.24931670942304282</v>
      </c>
      <c r="J50" s="60"/>
      <c r="K50" s="60"/>
      <c r="L50" s="63" t="s">
        <v>22</v>
      </c>
      <c r="M50" s="84">
        <f>IF(M49&lt;0,B49/2,(B49+SQRT(M49))/2)</f>
        <v>5.9537827448648315</v>
      </c>
      <c r="N50" s="63" t="s">
        <v>30</v>
      </c>
      <c r="O50" s="49" t="str">
        <f>IF(M49&lt;0,SQRT(ABS(M49))/2,"")</f>
        <v/>
      </c>
      <c r="P50" s="63" t="str">
        <f>IF(M49&lt;0,"i","")</f>
        <v/>
      </c>
    </row>
    <row r="51" spans="1:16" ht="15.6">
      <c r="A51" s="47" t="s">
        <v>23</v>
      </c>
      <c r="B51" s="84">
        <f>SQRT(SUMSQ(B49:B50))</f>
        <v>45.097691439817517</v>
      </c>
      <c r="C51" s="67">
        <f t="shared" ref="C51:I51" si="52">SUM(C48:C50)</f>
        <v>0</v>
      </c>
      <c r="D51" s="67">
        <f t="shared" si="52"/>
        <v>0</v>
      </c>
      <c r="E51" s="69">
        <f t="shared" si="52"/>
        <v>5.0000000000000002E-5</v>
      </c>
      <c r="F51" s="69">
        <f t="shared" si="52"/>
        <v>2.8680211101628084E-5</v>
      </c>
      <c r="G51" s="69">
        <f t="shared" si="52"/>
        <v>-5.5319222933850262E-3</v>
      </c>
      <c r="H51" s="100">
        <f t="shared" si="52"/>
        <v>-1.1005871011018648E-6</v>
      </c>
      <c r="I51" s="70">
        <f t="shared" si="52"/>
        <v>7.6841701984187161E-6</v>
      </c>
      <c r="J51" s="61">
        <f>ABS(B51-B46)</f>
        <v>2.2224461080924129E-3</v>
      </c>
      <c r="K51" s="61">
        <f>ABS(J51/B51)*100</f>
        <v>4.928070677538446E-3</v>
      </c>
      <c r="L51" s="86" t="s">
        <v>24</v>
      </c>
      <c r="M51" s="49">
        <f>IF(M49&lt;0,M50,(B49-SQRT(M49))/2)</f>
        <v>-7.5697638670118756</v>
      </c>
      <c r="N51" s="88" t="s">
        <v>30</v>
      </c>
      <c r="O51" s="67" t="str">
        <f>IF(M49&lt;0,-O50,"")</f>
        <v/>
      </c>
      <c r="P51" s="88" t="s">
        <v>25</v>
      </c>
    </row>
    <row r="53" spans="1:16" ht="15.6">
      <c r="A53" s="46" t="s">
        <v>34</v>
      </c>
      <c r="B53" s="47"/>
      <c r="C53" s="48" t="s">
        <v>1</v>
      </c>
      <c r="D53" s="49" t="s">
        <v>2</v>
      </c>
      <c r="E53" s="49" t="s">
        <v>3</v>
      </c>
      <c r="F53" s="49" t="s">
        <v>4</v>
      </c>
      <c r="G53" s="49" t="s">
        <v>5</v>
      </c>
      <c r="H53" s="49" t="s">
        <v>6</v>
      </c>
      <c r="I53" s="49" t="s">
        <v>7</v>
      </c>
      <c r="J53" s="50" t="s">
        <v>9</v>
      </c>
      <c r="K53" s="51" t="s">
        <v>10</v>
      </c>
      <c r="L53" s="52"/>
      <c r="M53" s="52"/>
      <c r="N53" s="52"/>
      <c r="O53" s="52"/>
      <c r="P53" s="52"/>
    </row>
    <row r="54" spans="1:16" ht="15.6">
      <c r="A54" s="47"/>
      <c r="B54" s="53" t="s">
        <v>18</v>
      </c>
      <c r="C54" s="92">
        <v>0</v>
      </c>
      <c r="D54" s="93">
        <v>0</v>
      </c>
      <c r="E54" s="57">
        <v>0</v>
      </c>
      <c r="F54" s="57">
        <v>0</v>
      </c>
      <c r="G54" s="56">
        <v>5.0000000000000002E-5</v>
      </c>
      <c r="H54" s="56">
        <v>2.8699932865000271E-5</v>
      </c>
      <c r="I54" s="57">
        <v>-5.5320533297440726E-3</v>
      </c>
      <c r="J54" s="89"/>
      <c r="K54" s="58">
        <v>0.1</v>
      </c>
      <c r="L54" s="59"/>
      <c r="M54" s="59"/>
      <c r="N54" s="52"/>
      <c r="O54" s="52" t="s">
        <v>36</v>
      </c>
      <c r="P54" s="52"/>
    </row>
    <row r="55" spans="1:16" ht="15.6">
      <c r="A55" s="48" t="s">
        <v>19</v>
      </c>
      <c r="B55" s="90">
        <v>-1</v>
      </c>
      <c r="C55" s="47"/>
      <c r="D55" s="49">
        <f t="shared" ref="D55" si="53">$B55*C57</f>
        <v>0</v>
      </c>
      <c r="E55" s="96">
        <f t="shared" ref="E55" si="54">$B55*D57</f>
        <v>0</v>
      </c>
      <c r="F55" s="96">
        <f t="shared" ref="F55" si="55">$B55*E57</f>
        <v>0</v>
      </c>
      <c r="G55" s="96">
        <f t="shared" ref="G55" si="56">$B55*F57</f>
        <v>0</v>
      </c>
      <c r="H55" s="62">
        <f t="shared" ref="H55" si="57">$B55*G57</f>
        <v>-5.0000000000000002E-5</v>
      </c>
      <c r="I55" s="62">
        <f t="shared" ref="I55" si="58">$B55*H57</f>
        <v>2.1300067134999731E-5</v>
      </c>
      <c r="J55" s="60"/>
      <c r="K55" s="60"/>
      <c r="L55" s="63" t="s">
        <v>20</v>
      </c>
      <c r="M55" s="64">
        <f>B55^2+4*B56</f>
        <v>5</v>
      </c>
      <c r="N55" s="52"/>
      <c r="O55" s="52"/>
      <c r="P55" s="52"/>
    </row>
    <row r="56" spans="1:16" ht="16.149999999999999" thickBot="1">
      <c r="A56" s="48" t="s">
        <v>21</v>
      </c>
      <c r="B56" s="74">
        <v>1</v>
      </c>
      <c r="C56" s="97"/>
      <c r="D56" s="97"/>
      <c r="E56" s="98">
        <f>$B56*C57</f>
        <v>0</v>
      </c>
      <c r="F56" s="98">
        <f>$B56*D57</f>
        <v>0</v>
      </c>
      <c r="G56" s="98">
        <f>$B56*E57</f>
        <v>0</v>
      </c>
      <c r="H56" s="98">
        <f>$B56*F57</f>
        <v>0</v>
      </c>
      <c r="I56" s="66">
        <f>$B56*G57</f>
        <v>5.0000000000000002E-5</v>
      </c>
      <c r="J56" s="60"/>
      <c r="K56" s="60"/>
      <c r="L56" s="63" t="s">
        <v>22</v>
      </c>
      <c r="M56" s="49">
        <f>IF(M55&lt;0,B55/2,(B55+SQRT(M55))/2)</f>
        <v>0.6180339887498949</v>
      </c>
      <c r="N56" s="59" t="str">
        <f>IF(M55&lt;0,"+","")</f>
        <v/>
      </c>
      <c r="O56" s="47" t="str">
        <f>IF(M55&lt;0,SQRT(ABS(M55))/2,"")</f>
        <v/>
      </c>
      <c r="P56" s="59" t="str">
        <f>IF(M55&lt;0,"i","")</f>
        <v/>
      </c>
    </row>
    <row r="57" spans="1:16" ht="15.6">
      <c r="A57" s="48" t="s">
        <v>23</v>
      </c>
      <c r="B57" s="67">
        <f>SQRT(SUMSQ(B55:B56))</f>
        <v>1.4142135623730951</v>
      </c>
      <c r="C57" s="99">
        <f t="shared" ref="C57:I57" si="59">SUM(C54:C56)</f>
        <v>0</v>
      </c>
      <c r="D57" s="67">
        <f t="shared" si="59"/>
        <v>0</v>
      </c>
      <c r="E57" s="99">
        <f t="shared" si="59"/>
        <v>0</v>
      </c>
      <c r="F57" s="67">
        <f t="shared" si="59"/>
        <v>0</v>
      </c>
      <c r="G57" s="69">
        <f t="shared" si="59"/>
        <v>5.0000000000000002E-5</v>
      </c>
      <c r="H57" s="70">
        <f t="shared" si="59"/>
        <v>-2.1300067134999731E-5</v>
      </c>
      <c r="I57" s="70">
        <f t="shared" si="59"/>
        <v>-5.460753262609073E-3</v>
      </c>
      <c r="J57" s="60"/>
      <c r="K57" s="60"/>
      <c r="L57" s="63" t="s">
        <v>24</v>
      </c>
      <c r="M57" s="49">
        <f>IF(M55&lt;0,M56,(B55-SQRT(M55))/2)</f>
        <v>-1.6180339887498949</v>
      </c>
      <c r="N57" s="71" t="str">
        <f>IF(M55&lt;0,"+","")</f>
        <v/>
      </c>
      <c r="O57" s="47" t="str">
        <f>IF(M55&lt;0,-O56,"")</f>
        <v/>
      </c>
      <c r="P57" s="71"/>
    </row>
    <row r="58" spans="1:16" ht="15.6">
      <c r="A58" s="47"/>
      <c r="B58" s="47"/>
      <c r="C58" s="47"/>
      <c r="D58" s="47"/>
      <c r="E58" s="47"/>
      <c r="F58" s="47"/>
      <c r="G58" s="72"/>
      <c r="H58" s="72"/>
      <c r="I58" s="72"/>
      <c r="J58" s="47"/>
      <c r="K58" s="47"/>
      <c r="L58" s="52"/>
      <c r="M58" s="52"/>
      <c r="N58" s="52"/>
      <c r="O58" s="52"/>
      <c r="P58" s="52"/>
    </row>
    <row r="59" spans="1:16" ht="15.6">
      <c r="A59" s="47"/>
      <c r="B59" s="53" t="s">
        <v>26</v>
      </c>
      <c r="C59" s="102">
        <f t="shared" ref="C59:I59" si="60">C54</f>
        <v>0</v>
      </c>
      <c r="D59" s="93">
        <f t="shared" si="60"/>
        <v>0</v>
      </c>
      <c r="E59" s="93">
        <f t="shared" si="60"/>
        <v>0</v>
      </c>
      <c r="F59" s="93">
        <f t="shared" si="60"/>
        <v>0</v>
      </c>
      <c r="G59" s="55">
        <f t="shared" si="60"/>
        <v>5.0000000000000002E-5</v>
      </c>
      <c r="H59" s="55">
        <f t="shared" si="60"/>
        <v>2.8699932865000271E-5</v>
      </c>
      <c r="I59" s="55">
        <f t="shared" si="60"/>
        <v>-5.5320533297440726E-3</v>
      </c>
      <c r="J59" s="47"/>
      <c r="K59" s="47"/>
      <c r="L59" s="59"/>
      <c r="M59" s="63" t="s">
        <v>27</v>
      </c>
      <c r="N59" s="52"/>
      <c r="O59" s="52"/>
      <c r="P59" s="52"/>
    </row>
    <row r="60" spans="1:16" ht="15.6">
      <c r="A60" s="48" t="s">
        <v>28</v>
      </c>
      <c r="B60" s="74">
        <f>-(H54+B61*F57)/G57</f>
        <v>-0.57399865730000543</v>
      </c>
      <c r="C60" s="47"/>
      <c r="D60" s="49">
        <f t="shared" ref="D60" si="61">$B60*C62</f>
        <v>0</v>
      </c>
      <c r="E60" s="49">
        <f t="shared" ref="E60" si="62">$B60*D62</f>
        <v>0</v>
      </c>
      <c r="F60" s="49">
        <f t="shared" ref="F60" si="63">$B60*E62</f>
        <v>0</v>
      </c>
      <c r="G60" s="49">
        <f t="shared" ref="G60" si="64">$B60*F62</f>
        <v>0</v>
      </c>
      <c r="H60" s="61">
        <f t="shared" ref="H60" si="65">$B60*G62</f>
        <v>-2.8699932865000271E-5</v>
      </c>
      <c r="I60" s="49">
        <f t="shared" ref="I60" si="66">$B60*H62</f>
        <v>0</v>
      </c>
      <c r="J60" s="60"/>
      <c r="K60" s="60"/>
      <c r="L60" s="63" t="s">
        <v>20</v>
      </c>
      <c r="M60" s="64">
        <f>B60^2+4*B61</f>
        <v>442.89374083810799</v>
      </c>
      <c r="N60" s="52"/>
      <c r="O60" s="52"/>
      <c r="P60" s="52"/>
    </row>
    <row r="61" spans="1:16" ht="16.149999999999999" thickBot="1">
      <c r="A61" s="48" t="s">
        <v>29</v>
      </c>
      <c r="B61" s="75">
        <f>-I54/G57</f>
        <v>110.64106659488145</v>
      </c>
      <c r="C61" s="103"/>
      <c r="D61" s="97"/>
      <c r="E61" s="98">
        <f>$B61*C62</f>
        <v>0</v>
      </c>
      <c r="F61" s="98">
        <f>$B61*D62</f>
        <v>0</v>
      </c>
      <c r="G61" s="98">
        <f>$B61*E62</f>
        <v>0</v>
      </c>
      <c r="H61" s="98">
        <f>$B61*F62</f>
        <v>0</v>
      </c>
      <c r="I61" s="66">
        <f>$B61*G62</f>
        <v>5.5320533297440726E-3</v>
      </c>
      <c r="J61" s="60"/>
      <c r="K61" s="60"/>
      <c r="L61" s="63" t="s">
        <v>22</v>
      </c>
      <c r="M61" s="48">
        <f>IF(M60&lt;0,B60/2,(B60+SQRT(M60))/2)</f>
        <v>10.235521054296614</v>
      </c>
      <c r="N61" s="63" t="s">
        <v>30</v>
      </c>
      <c r="O61" s="49" t="str">
        <f>IF(M60&lt;0,SQRT(ABS(M60))/2,"")</f>
        <v/>
      </c>
      <c r="P61" s="63" t="str">
        <f>IF(M60&lt;0,"i","")</f>
        <v/>
      </c>
    </row>
    <row r="62" spans="1:16" ht="15.6">
      <c r="A62" s="49" t="s">
        <v>23</v>
      </c>
      <c r="B62" s="67">
        <f>SQRT(SUMSQ(B60:B61))</f>
        <v>110.64255551871338</v>
      </c>
      <c r="C62" s="67">
        <f t="shared" ref="C62:I62" si="67">SUM(C59:C61)</f>
        <v>0</v>
      </c>
      <c r="D62" s="67">
        <f t="shared" si="67"/>
        <v>0</v>
      </c>
      <c r="E62" s="67">
        <f t="shared" si="67"/>
        <v>0</v>
      </c>
      <c r="F62" s="67">
        <f t="shared" si="67"/>
        <v>0</v>
      </c>
      <c r="G62" s="69">
        <f t="shared" si="67"/>
        <v>5.0000000000000002E-5</v>
      </c>
      <c r="H62" s="100">
        <f t="shared" si="67"/>
        <v>0</v>
      </c>
      <c r="I62" s="100">
        <f t="shared" si="67"/>
        <v>0</v>
      </c>
      <c r="J62" s="61">
        <f>ABS(B62-B57)</f>
        <v>109.22834195634029</v>
      </c>
      <c r="K62" s="77">
        <f>ABS(J62/B62)*100</f>
        <v>98.721817698675721</v>
      </c>
      <c r="L62" s="63" t="s">
        <v>24</v>
      </c>
      <c r="M62" s="48">
        <f>IF(M60&lt;0,M61,(B60-SQRT(M60))/2)</f>
        <v>-10.80951971159662</v>
      </c>
      <c r="N62" s="78" t="s">
        <v>30</v>
      </c>
      <c r="O62" s="49" t="str">
        <f>IF(M60&lt;0,-O61,"")</f>
        <v/>
      </c>
      <c r="P62" s="78" t="s">
        <v>25</v>
      </c>
    </row>
    <row r="63" spans="1:16" ht="15.6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52"/>
      <c r="M63" s="52"/>
      <c r="N63" s="52"/>
      <c r="O63" s="52"/>
      <c r="P63" s="52"/>
    </row>
    <row r="64" spans="1:16" ht="15.6">
      <c r="A64" s="47"/>
      <c r="B64" s="53" t="s">
        <v>31</v>
      </c>
      <c r="C64" s="92">
        <f t="shared" ref="C64:I64" si="68">C59</f>
        <v>0</v>
      </c>
      <c r="D64" s="75">
        <f t="shared" si="68"/>
        <v>0</v>
      </c>
      <c r="E64" s="93">
        <f t="shared" si="68"/>
        <v>0</v>
      </c>
      <c r="F64" s="93">
        <f t="shared" si="68"/>
        <v>0</v>
      </c>
      <c r="G64" s="55">
        <f t="shared" si="68"/>
        <v>5.0000000000000002E-5</v>
      </c>
      <c r="H64" s="55">
        <f t="shared" si="68"/>
        <v>2.8699932865000271E-5</v>
      </c>
      <c r="I64" s="55">
        <f t="shared" si="68"/>
        <v>-5.5320533297440726E-3</v>
      </c>
      <c r="J64" s="47"/>
      <c r="K64" s="47"/>
      <c r="L64" s="52"/>
      <c r="M64" s="52"/>
      <c r="N64" s="52"/>
      <c r="O64" s="52"/>
      <c r="P64" s="52"/>
    </row>
    <row r="65" spans="1:16" ht="15.6">
      <c r="A65" s="48" t="s">
        <v>19</v>
      </c>
      <c r="B65" s="80">
        <f>-(H59+B66*F62)/G62</f>
        <v>-0.57399865730000543</v>
      </c>
      <c r="C65" s="47"/>
      <c r="D65" s="48">
        <f t="shared" ref="D65" si="69">$B65*C67</f>
        <v>0</v>
      </c>
      <c r="E65" s="49">
        <f t="shared" ref="E65" si="70">$B65*D67</f>
        <v>0</v>
      </c>
      <c r="F65" s="49">
        <f t="shared" ref="F65" si="71">$B65*E67</f>
        <v>0</v>
      </c>
      <c r="G65" s="61">
        <f t="shared" ref="G65" si="72">$B65*F67</f>
        <v>0</v>
      </c>
      <c r="H65" s="61">
        <f t="shared" ref="H65" si="73">$B65*G67</f>
        <v>-2.8699932865000271E-5</v>
      </c>
      <c r="I65" s="49">
        <f t="shared" ref="I65" si="74">$B65*H67</f>
        <v>0</v>
      </c>
      <c r="J65" s="60"/>
      <c r="K65" s="60"/>
      <c r="L65" s="63" t="s">
        <v>20</v>
      </c>
      <c r="M65" s="64">
        <f>B65^2+4*B66</f>
        <v>442.89374083810799</v>
      </c>
      <c r="N65" s="52"/>
      <c r="O65" s="52"/>
      <c r="P65" s="52"/>
    </row>
    <row r="66" spans="1:16" ht="16.149999999999999" thickBot="1">
      <c r="A66" s="48" t="s">
        <v>21</v>
      </c>
      <c r="B66" s="75">
        <f>-I59/G62</f>
        <v>110.64106659488145</v>
      </c>
      <c r="C66" s="103"/>
      <c r="D66" s="97"/>
      <c r="E66" s="98">
        <f>$B66*C67</f>
        <v>0</v>
      </c>
      <c r="F66" s="98">
        <f>$B66*D67</f>
        <v>0</v>
      </c>
      <c r="G66" s="66">
        <f>$B66*E67</f>
        <v>0</v>
      </c>
      <c r="H66" s="98">
        <f>$B66*F67</f>
        <v>0</v>
      </c>
      <c r="I66" s="66">
        <f>$B66*G67</f>
        <v>5.5320533297440726E-3</v>
      </c>
      <c r="J66" s="60"/>
      <c r="K66" s="60"/>
      <c r="L66" s="63" t="s">
        <v>22</v>
      </c>
      <c r="M66" s="48">
        <f>IF(M65&lt;0,B65/2,(B65+SQRT(M65))/2)</f>
        <v>10.235521054296614</v>
      </c>
      <c r="N66" s="63" t="s">
        <v>30</v>
      </c>
      <c r="O66" s="49" t="str">
        <f>IF(M65&lt;0,SQRT(ABS(M65))/2,"")</f>
        <v/>
      </c>
      <c r="P66" s="63" t="str">
        <f>IF(M65&lt;0,"i","")</f>
        <v/>
      </c>
    </row>
    <row r="67" spans="1:16" ht="15.6">
      <c r="A67" s="48" t="s">
        <v>23</v>
      </c>
      <c r="B67" s="67">
        <f>SQRT(SUMSQ(B65:B66))</f>
        <v>110.64255551871338</v>
      </c>
      <c r="C67" s="67">
        <f t="shared" ref="C67:I67" si="75">SUM(C64:C66)</f>
        <v>0</v>
      </c>
      <c r="D67" s="84">
        <f t="shared" si="75"/>
        <v>0</v>
      </c>
      <c r="E67" s="67">
        <f t="shared" si="75"/>
        <v>0</v>
      </c>
      <c r="F67" s="67">
        <f t="shared" si="75"/>
        <v>0</v>
      </c>
      <c r="G67" s="69">
        <f t="shared" si="75"/>
        <v>5.0000000000000002E-5</v>
      </c>
      <c r="H67" s="100">
        <f t="shared" si="75"/>
        <v>0</v>
      </c>
      <c r="I67" s="100">
        <f t="shared" si="75"/>
        <v>0</v>
      </c>
      <c r="J67" s="105">
        <f>ABS(B67-B62)</f>
        <v>0</v>
      </c>
      <c r="K67" s="48">
        <f>ABS(J67/B67)*100</f>
        <v>0</v>
      </c>
      <c r="L67" s="63" t="s">
        <v>24</v>
      </c>
      <c r="M67" s="48">
        <f>IF(M65&lt;0,M66,(B65-SQRT(M65))/2)</f>
        <v>-10.80951971159662</v>
      </c>
      <c r="N67" s="78" t="s">
        <v>30</v>
      </c>
      <c r="O67" s="49" t="str">
        <f>IF(M65&lt;0,-O66,"")</f>
        <v/>
      </c>
      <c r="P67" s="78" t="s">
        <v>25</v>
      </c>
    </row>
    <row r="68" spans="1:16" ht="15.6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52"/>
      <c r="M68" s="52"/>
      <c r="N68" s="52"/>
      <c r="O68" s="52"/>
      <c r="P68" s="52"/>
    </row>
    <row r="69" spans="1:16" ht="15.6">
      <c r="A69" s="47"/>
      <c r="B69" s="53" t="s">
        <v>32</v>
      </c>
      <c r="C69" s="92">
        <f t="shared" ref="C69:I69" si="76">C64</f>
        <v>0</v>
      </c>
      <c r="D69" s="106">
        <f t="shared" si="76"/>
        <v>0</v>
      </c>
      <c r="E69" s="106">
        <f t="shared" si="76"/>
        <v>0</v>
      </c>
      <c r="F69" s="106">
        <f t="shared" si="76"/>
        <v>0</v>
      </c>
      <c r="G69" s="83">
        <f t="shared" si="76"/>
        <v>5.0000000000000002E-5</v>
      </c>
      <c r="H69" s="83">
        <f t="shared" si="76"/>
        <v>2.8699932865000271E-5</v>
      </c>
      <c r="I69" s="83">
        <f t="shared" si="76"/>
        <v>-5.5320533297440726E-3</v>
      </c>
      <c r="J69" s="47"/>
      <c r="K69" s="47"/>
      <c r="L69" s="52"/>
      <c r="M69" s="52"/>
      <c r="N69" s="52"/>
      <c r="O69" s="52"/>
      <c r="P69" s="52"/>
    </row>
    <row r="70" spans="1:16" ht="15.6">
      <c r="A70" s="47" t="s">
        <v>28</v>
      </c>
      <c r="B70" s="74">
        <f>-(H64+B71*F67)/G67</f>
        <v>-0.57399865730000543</v>
      </c>
      <c r="C70" s="47"/>
      <c r="D70" s="49">
        <f t="shared" ref="D70" si="77">$B70*C72</f>
        <v>0</v>
      </c>
      <c r="E70" s="96">
        <f t="shared" ref="E70" si="78">$B70*D72</f>
        <v>0</v>
      </c>
      <c r="F70" s="96">
        <f t="shared" ref="F70" si="79">$B70*E72</f>
        <v>0</v>
      </c>
      <c r="G70" s="96">
        <f t="shared" ref="G70" si="80">$B70*F72</f>
        <v>0</v>
      </c>
      <c r="H70" s="62">
        <f t="shared" ref="H70" si="81">$B70*G72</f>
        <v>-2.8699932865000271E-5</v>
      </c>
      <c r="I70" s="96">
        <f t="shared" ref="I70" si="82">$B70*H72</f>
        <v>0</v>
      </c>
      <c r="J70" s="60"/>
      <c r="K70" s="60"/>
      <c r="L70" s="63" t="s">
        <v>20</v>
      </c>
      <c r="M70" s="64">
        <f>B70^2+4*B71</f>
        <v>442.89374083810799</v>
      </c>
      <c r="N70" s="52"/>
      <c r="O70" s="52"/>
      <c r="P70" s="52"/>
    </row>
    <row r="71" spans="1:16" ht="16.149999999999999" thickBot="1">
      <c r="A71" s="47" t="s">
        <v>29</v>
      </c>
      <c r="B71" s="75">
        <f>-I64/G67</f>
        <v>110.64106659488145</v>
      </c>
      <c r="C71" s="103"/>
      <c r="D71" s="97"/>
      <c r="E71" s="98">
        <f>$B71*C72</f>
        <v>0</v>
      </c>
      <c r="F71" s="98">
        <f>$B71*D72</f>
        <v>0</v>
      </c>
      <c r="G71" s="98">
        <f>$B71*E72</f>
        <v>0</v>
      </c>
      <c r="H71" s="98">
        <f>$B71*F72</f>
        <v>0</v>
      </c>
      <c r="I71" s="66">
        <f>$B71*G72</f>
        <v>5.5320533297440726E-3</v>
      </c>
      <c r="J71" s="60"/>
      <c r="K71" s="60"/>
      <c r="L71" s="63" t="s">
        <v>22</v>
      </c>
      <c r="M71" s="48">
        <f>IF(M70&lt;0,B70/2,(B70+SQRT(M70))/2)</f>
        <v>10.235521054296614</v>
      </c>
      <c r="N71" s="63" t="s">
        <v>30</v>
      </c>
      <c r="O71" s="49" t="str">
        <f>IF(M70&lt;0,SQRT(ABS(M70))/2,"")</f>
        <v/>
      </c>
      <c r="P71" s="63" t="str">
        <f>IF(M70&lt;0,"i","")</f>
        <v/>
      </c>
    </row>
    <row r="72" spans="1:16" ht="15.6">
      <c r="A72" s="47" t="s">
        <v>23</v>
      </c>
      <c r="B72" s="84">
        <f>SQRT(SUMSQ(B70:B71))</f>
        <v>110.64255551871338</v>
      </c>
      <c r="C72" s="67">
        <f t="shared" ref="C72:I72" si="83">SUM(C69:C71)</f>
        <v>0</v>
      </c>
      <c r="D72" s="67">
        <f t="shared" si="83"/>
        <v>0</v>
      </c>
      <c r="E72" s="99">
        <f t="shared" si="83"/>
        <v>0</v>
      </c>
      <c r="F72" s="67">
        <f t="shared" si="83"/>
        <v>0</v>
      </c>
      <c r="G72" s="69">
        <f t="shared" si="83"/>
        <v>5.0000000000000002E-5</v>
      </c>
      <c r="H72" s="100">
        <f t="shared" si="83"/>
        <v>0</v>
      </c>
      <c r="I72" s="107">
        <f t="shared" si="83"/>
        <v>0</v>
      </c>
      <c r="J72" s="49">
        <f>ABS(B72-B67)</f>
        <v>0</v>
      </c>
      <c r="K72" s="49">
        <f>ABS(J72/B72)*100</f>
        <v>0</v>
      </c>
      <c r="L72" s="86" t="s">
        <v>24</v>
      </c>
      <c r="M72" s="48">
        <f>IF(M70&lt;0,M71,(B70-SQRT(M70))/2)</f>
        <v>-10.80951971159662</v>
      </c>
      <c r="N72" s="78" t="s">
        <v>30</v>
      </c>
      <c r="O72" s="49" t="str">
        <f>IF(M70&lt;0,-O71,"")</f>
        <v/>
      </c>
      <c r="P72" s="78" t="s">
        <v>25</v>
      </c>
    </row>
    <row r="73" spans="1:16" ht="15.6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52"/>
      <c r="M73" s="52"/>
      <c r="N73" s="52"/>
      <c r="O73" s="52"/>
      <c r="P73" s="52"/>
    </row>
    <row r="74" spans="1:16" ht="15.6">
      <c r="A74" s="47"/>
      <c r="B74" s="53" t="s">
        <v>33</v>
      </c>
      <c r="C74" s="92">
        <f t="shared" ref="C74:I74" si="84">C69</f>
        <v>0</v>
      </c>
      <c r="D74" s="106">
        <f t="shared" si="84"/>
        <v>0</v>
      </c>
      <c r="E74" s="106">
        <f t="shared" si="84"/>
        <v>0</v>
      </c>
      <c r="F74" s="106">
        <f t="shared" si="84"/>
        <v>0</v>
      </c>
      <c r="G74" s="83">
        <f t="shared" si="84"/>
        <v>5.0000000000000002E-5</v>
      </c>
      <c r="H74" s="83">
        <f t="shared" si="84"/>
        <v>2.8699932865000271E-5</v>
      </c>
      <c r="I74" s="83">
        <f t="shared" si="84"/>
        <v>-5.5320533297440726E-3</v>
      </c>
      <c r="J74" s="47"/>
      <c r="K74" s="47"/>
      <c r="L74" s="52"/>
      <c r="M74" s="52"/>
      <c r="N74" s="52"/>
      <c r="O74" s="52"/>
      <c r="P74" s="52"/>
    </row>
    <row r="75" spans="1:16" ht="15.6">
      <c r="A75" s="47" t="s">
        <v>28</v>
      </c>
      <c r="B75" s="74">
        <f>-(H69+B76*F72)/G72</f>
        <v>-0.57399865730000543</v>
      </c>
      <c r="C75" s="47"/>
      <c r="D75" s="49">
        <f t="shared" ref="D75" si="85">$B75*C77</f>
        <v>0</v>
      </c>
      <c r="E75" s="96">
        <f t="shared" ref="E75" si="86">$B75*D77</f>
        <v>0</v>
      </c>
      <c r="F75" s="96">
        <f t="shared" ref="F75" si="87">$B75*E77</f>
        <v>0</v>
      </c>
      <c r="G75" s="96">
        <f t="shared" ref="G75" si="88">$B75*F77</f>
        <v>0</v>
      </c>
      <c r="H75" s="62">
        <f t="shared" ref="H75" si="89">$B75*G77</f>
        <v>-2.8699932865000271E-5</v>
      </c>
      <c r="I75" s="96">
        <f t="shared" ref="I75" si="90">$B75*H77</f>
        <v>0</v>
      </c>
      <c r="J75" s="60"/>
      <c r="K75" s="60"/>
      <c r="L75" s="87" t="s">
        <v>20</v>
      </c>
      <c r="M75" s="64">
        <f>B75^2+4*B76</f>
        <v>442.89374083810799</v>
      </c>
      <c r="N75" s="52"/>
      <c r="O75" s="52"/>
      <c r="P75" s="52"/>
    </row>
    <row r="76" spans="1:16" ht="16.149999999999999" thickBot="1">
      <c r="A76" s="47" t="s">
        <v>29</v>
      </c>
      <c r="B76" s="75">
        <f>-I69/G72</f>
        <v>110.64106659488145</v>
      </c>
      <c r="C76" s="103"/>
      <c r="D76" s="97"/>
      <c r="E76" s="98">
        <f>$B76*C77</f>
        <v>0</v>
      </c>
      <c r="F76" s="98">
        <f>$B76*D77</f>
        <v>0</v>
      </c>
      <c r="G76" s="98">
        <f>$B76*E77</f>
        <v>0</v>
      </c>
      <c r="H76" s="98">
        <f>$B76*F77</f>
        <v>0</v>
      </c>
      <c r="I76" s="66">
        <f>$B76*G77</f>
        <v>5.5320533297440726E-3</v>
      </c>
      <c r="J76" s="60"/>
      <c r="K76" s="60"/>
      <c r="L76" s="63" t="s">
        <v>22</v>
      </c>
      <c r="M76" s="84">
        <f>IF(M75&lt;0,B75/2,(B75+SQRT(M75))/2)</f>
        <v>10.235521054296614</v>
      </c>
      <c r="N76" s="63" t="s">
        <v>30</v>
      </c>
      <c r="O76" s="49" t="str">
        <f>IF(M75&lt;0,SQRT(ABS(M75))/2,"")</f>
        <v/>
      </c>
      <c r="P76" s="63" t="str">
        <f>IF(M75&lt;0,"i","")</f>
        <v/>
      </c>
    </row>
    <row r="77" spans="1:16" ht="15.6">
      <c r="A77" s="47" t="s">
        <v>23</v>
      </c>
      <c r="B77" s="84">
        <f>SQRT(SUMSQ(B75:B76))</f>
        <v>110.64255551871338</v>
      </c>
      <c r="C77" s="67">
        <f t="shared" ref="C77:I77" si="91">SUM(C74:C76)</f>
        <v>0</v>
      </c>
      <c r="D77" s="67">
        <f t="shared" si="91"/>
        <v>0</v>
      </c>
      <c r="E77" s="67">
        <f t="shared" si="91"/>
        <v>0</v>
      </c>
      <c r="F77" s="67">
        <f t="shared" si="91"/>
        <v>0</v>
      </c>
      <c r="G77" s="69">
        <f t="shared" si="91"/>
        <v>5.0000000000000002E-5</v>
      </c>
      <c r="H77" s="100">
        <f t="shared" si="91"/>
        <v>0</v>
      </c>
      <c r="I77" s="100">
        <f t="shared" si="91"/>
        <v>0</v>
      </c>
      <c r="J77" s="49">
        <f>ABS(B77-B72)</f>
        <v>0</v>
      </c>
      <c r="K77" s="49">
        <f>ABS(J77/B77)*100</f>
        <v>0</v>
      </c>
      <c r="L77" s="86" t="s">
        <v>24</v>
      </c>
      <c r="M77" s="49">
        <f>IF(M75&lt;0,M76,(B75-SQRT(M75))/2)</f>
        <v>-10.80951971159662</v>
      </c>
      <c r="N77" s="88" t="s">
        <v>30</v>
      </c>
      <c r="O77" s="67" t="str">
        <f>IF(M75&lt;0,-O76,"")</f>
        <v/>
      </c>
      <c r="P77" s="88" t="s">
        <v>25</v>
      </c>
    </row>
  </sheetData>
  <conditionalFormatting sqref="B10">
    <cfRule type="expression" dxfId="213" priority="22">
      <formula>K10&lt;$K$2</formula>
    </cfRule>
  </conditionalFormatting>
  <conditionalFormatting sqref="B15">
    <cfRule type="expression" dxfId="212" priority="27">
      <formula>K15&lt;$K$2</formula>
    </cfRule>
    <cfRule type="expression" dxfId="211" priority="28">
      <formula>J15&lt;$J$2</formula>
    </cfRule>
  </conditionalFormatting>
  <conditionalFormatting sqref="B20">
    <cfRule type="expression" dxfId="210" priority="25">
      <formula>K20&lt;$K$2</formula>
    </cfRule>
    <cfRule type="expression" dxfId="209" priority="26">
      <formula>J20&lt;$J$2</formula>
    </cfRule>
  </conditionalFormatting>
  <conditionalFormatting sqref="B25">
    <cfRule type="expression" dxfId="208" priority="23">
      <formula>K25&lt;$K$2</formula>
    </cfRule>
    <cfRule type="expression" dxfId="207" priority="24">
      <formula>J25&lt;$J$2</formula>
    </cfRule>
  </conditionalFormatting>
  <conditionalFormatting sqref="B36">
    <cfRule type="expression" dxfId="206" priority="15">
      <formula>K36&lt;$K$2</formula>
    </cfRule>
  </conditionalFormatting>
  <conditionalFormatting sqref="B41">
    <cfRule type="expression" dxfId="205" priority="20">
      <formula>K41&lt;$K$2</formula>
    </cfRule>
    <cfRule type="expression" dxfId="204" priority="21">
      <formula>J41&lt;$J$2</formula>
    </cfRule>
  </conditionalFormatting>
  <conditionalFormatting sqref="B46">
    <cfRule type="expression" dxfId="203" priority="18">
      <formula>K46&lt;$K$2</formula>
    </cfRule>
    <cfRule type="expression" dxfId="202" priority="19">
      <formula>J46&lt;$J$2</formula>
    </cfRule>
  </conditionalFormatting>
  <conditionalFormatting sqref="B51">
    <cfRule type="expression" dxfId="201" priority="16">
      <formula>K51&lt;$K$2</formula>
    </cfRule>
    <cfRule type="expression" dxfId="200" priority="17">
      <formula>J51&lt;$J$2</formula>
    </cfRule>
  </conditionalFormatting>
  <conditionalFormatting sqref="B62">
    <cfRule type="expression" dxfId="199" priority="8">
      <formula>K62&lt;$K$2</formula>
    </cfRule>
  </conditionalFormatting>
  <conditionalFormatting sqref="B67">
    <cfRule type="expression" dxfId="198" priority="13">
      <formula>K67&lt;$K$2</formula>
    </cfRule>
    <cfRule type="expression" dxfId="197" priority="14">
      <formula>J67&lt;$J$2</formula>
    </cfRule>
  </conditionalFormatting>
  <conditionalFormatting sqref="B72">
    <cfRule type="expression" dxfId="196" priority="11">
      <formula>K72&lt;$K$2</formula>
    </cfRule>
    <cfRule type="expression" dxfId="195" priority="12">
      <formula>J72&lt;$J$2</formula>
    </cfRule>
  </conditionalFormatting>
  <conditionalFormatting sqref="B77">
    <cfRule type="expression" dxfId="194" priority="9">
      <formula>K77&lt;$K$2</formula>
    </cfRule>
    <cfRule type="expression" dxfId="193" priority="10">
      <formula>J77&lt;$J$2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0B4F3-C094-42A3-8698-FA6A165EAB75}">
  <dimension ref="A1:M61"/>
  <sheetViews>
    <sheetView zoomScale="72" zoomScaleNormal="72" workbookViewId="0">
      <selection activeCell="M11" sqref="M11"/>
    </sheetView>
  </sheetViews>
  <sheetFormatPr defaultColWidth="11.42578125" defaultRowHeight="14.45"/>
  <cols>
    <col min="1" max="1" width="19.140625" bestFit="1" customWidth="1"/>
    <col min="2" max="2" width="8.5703125" bestFit="1" customWidth="1"/>
    <col min="3" max="3" width="7.7109375" bestFit="1" customWidth="1"/>
    <col min="4" max="4" width="8.5703125" bestFit="1" customWidth="1"/>
    <col min="5" max="5" width="7.7109375" bestFit="1" customWidth="1"/>
    <col min="6" max="6" width="9.7109375" bestFit="1" customWidth="1"/>
    <col min="7" max="7" width="10.28515625" bestFit="1" customWidth="1"/>
    <col min="8" max="8" width="12.28515625" bestFit="1" customWidth="1"/>
    <col min="9" max="9" width="11.42578125" bestFit="1" customWidth="1"/>
    <col min="10" max="10" width="7.7109375" bestFit="1" customWidth="1"/>
    <col min="11" max="11" width="9" bestFit="1" customWidth="1"/>
    <col min="13" max="13" width="26.5703125" bestFit="1" customWidth="1"/>
    <col min="14" max="14" width="11" bestFit="1" customWidth="1"/>
    <col min="15" max="15" width="7.7109375" bestFit="1" customWidth="1"/>
    <col min="16" max="16" width="8.5703125" bestFit="1" customWidth="1"/>
    <col min="17" max="17" width="7.7109375" bestFit="1" customWidth="1"/>
    <col min="18" max="18" width="9.7109375" bestFit="1" customWidth="1"/>
    <col min="19" max="19" width="10.28515625" bestFit="1" customWidth="1"/>
    <col min="20" max="20" width="12.28515625" bestFit="1" customWidth="1"/>
    <col min="21" max="21" width="11.42578125" bestFit="1" customWidth="1"/>
    <col min="22" max="22" width="7.7109375" bestFit="1" customWidth="1"/>
  </cols>
  <sheetData>
    <row r="1" spans="1:13" ht="15.6">
      <c r="A1" s="16" t="s">
        <v>0</v>
      </c>
      <c r="B1" s="29"/>
      <c r="C1" s="30" t="s">
        <v>1</v>
      </c>
      <c r="D1" s="30" t="s">
        <v>2</v>
      </c>
      <c r="E1" s="30" t="s">
        <v>3</v>
      </c>
      <c r="F1" s="30" t="s">
        <v>4</v>
      </c>
      <c r="G1" s="30" t="s">
        <v>5</v>
      </c>
      <c r="H1" s="30" t="s">
        <v>6</v>
      </c>
      <c r="I1" s="30" t="s">
        <v>7</v>
      </c>
      <c r="J1" s="32">
        <v>0.02</v>
      </c>
      <c r="K1" s="33"/>
      <c r="M1" s="45" t="s">
        <v>37</v>
      </c>
    </row>
    <row r="2" spans="1:13" ht="15.6">
      <c r="A2" s="17"/>
      <c r="B2" s="25" t="s">
        <v>8</v>
      </c>
      <c r="C2" s="36">
        <v>0</v>
      </c>
      <c r="D2" s="31">
        <v>0</v>
      </c>
      <c r="E2" s="31">
        <v>1</v>
      </c>
      <c r="F2" s="31">
        <v>-1</v>
      </c>
      <c r="G2" s="31">
        <v>6</v>
      </c>
      <c r="H2" s="31">
        <v>-3</v>
      </c>
      <c r="I2" s="31">
        <v>4</v>
      </c>
      <c r="J2" s="18" t="s">
        <v>9</v>
      </c>
      <c r="K2" s="19" t="s">
        <v>10</v>
      </c>
    </row>
    <row r="3" spans="1:13" ht="15.6">
      <c r="A3" s="17"/>
      <c r="B3" s="37">
        <v>7</v>
      </c>
      <c r="C3" s="34"/>
      <c r="D3" s="2">
        <f t="shared" ref="D3:I3" si="0">$B3*C4</f>
        <v>0</v>
      </c>
      <c r="E3" s="2">
        <f t="shared" si="0"/>
        <v>0</v>
      </c>
      <c r="F3" s="2">
        <f t="shared" si="0"/>
        <v>7</v>
      </c>
      <c r="G3" s="2">
        <f t="shared" si="0"/>
        <v>42</v>
      </c>
      <c r="H3" s="2">
        <f t="shared" si="0"/>
        <v>336</v>
      </c>
      <c r="I3" s="3">
        <f t="shared" si="0"/>
        <v>2331</v>
      </c>
      <c r="J3" s="5"/>
      <c r="K3" s="6"/>
    </row>
    <row r="4" spans="1:13" ht="15.6">
      <c r="B4" s="4"/>
      <c r="C4" s="20">
        <f>SUM(C2:C3)</f>
        <v>0</v>
      </c>
      <c r="D4" s="5">
        <f t="shared" ref="D4:I4" si="1">SUM(D2:D3)</f>
        <v>0</v>
      </c>
      <c r="E4" s="6">
        <f t="shared" si="1"/>
        <v>1</v>
      </c>
      <c r="F4" s="6">
        <f t="shared" si="1"/>
        <v>6</v>
      </c>
      <c r="G4" s="6">
        <f t="shared" si="1"/>
        <v>48</v>
      </c>
      <c r="H4" s="6">
        <f t="shared" si="1"/>
        <v>333</v>
      </c>
      <c r="I4" s="7">
        <f t="shared" si="1"/>
        <v>2335</v>
      </c>
      <c r="J4" s="5"/>
      <c r="K4" s="6"/>
    </row>
    <row r="5" spans="1:13" ht="15.6" thickBot="1">
      <c r="C5" s="21"/>
      <c r="D5" s="22">
        <f>$B3*C6</f>
        <v>0</v>
      </c>
      <c r="E5" s="23">
        <f>$B3*D6</f>
        <v>0</v>
      </c>
      <c r="F5" s="23">
        <f>$B3*E6</f>
        <v>7</v>
      </c>
      <c r="G5" s="23">
        <f>$B3*F6</f>
        <v>91</v>
      </c>
      <c r="H5" s="24">
        <f>$B3*G6</f>
        <v>973</v>
      </c>
      <c r="I5" s="1"/>
      <c r="J5" s="6"/>
      <c r="K5" s="6"/>
    </row>
    <row r="6" spans="1:13" ht="15.6">
      <c r="C6" s="13">
        <f>SUM(C4:C5)</f>
        <v>0</v>
      </c>
      <c r="D6" s="13">
        <f t="shared" ref="D6:H6" si="2">SUM(D4:D5)</f>
        <v>0</v>
      </c>
      <c r="E6" s="13">
        <f t="shared" si="2"/>
        <v>1</v>
      </c>
      <c r="F6" s="13">
        <f t="shared" si="2"/>
        <v>13</v>
      </c>
      <c r="G6" s="13">
        <f t="shared" si="2"/>
        <v>139</v>
      </c>
      <c r="H6" s="8">
        <f t="shared" si="2"/>
        <v>1306</v>
      </c>
      <c r="I6" s="9"/>
      <c r="J6" s="6"/>
      <c r="K6" s="5"/>
    </row>
    <row r="7" spans="1:13" ht="15">
      <c r="C7" s="9"/>
      <c r="D7" s="9"/>
      <c r="E7" s="9"/>
      <c r="F7" s="9"/>
      <c r="G7" s="9"/>
      <c r="H7" s="9"/>
      <c r="I7" s="9"/>
      <c r="J7" s="6"/>
      <c r="K7" s="5"/>
    </row>
    <row r="8" spans="1:13" ht="15">
      <c r="B8" s="25" t="s">
        <v>11</v>
      </c>
      <c r="C8" s="10">
        <f t="shared" ref="C8:I8" si="3">C2</f>
        <v>0</v>
      </c>
      <c r="D8" s="11">
        <f t="shared" si="3"/>
        <v>0</v>
      </c>
      <c r="E8" s="11">
        <f t="shared" si="3"/>
        <v>1</v>
      </c>
      <c r="F8" s="11">
        <f t="shared" si="3"/>
        <v>-1</v>
      </c>
      <c r="G8" s="11">
        <f t="shared" si="3"/>
        <v>6</v>
      </c>
      <c r="H8" s="11">
        <f t="shared" si="3"/>
        <v>-3</v>
      </c>
      <c r="I8" s="12">
        <f t="shared" si="3"/>
        <v>4</v>
      </c>
      <c r="J8" s="6"/>
      <c r="K8" s="5"/>
    </row>
    <row r="9" spans="1:13" ht="15">
      <c r="B9" s="12">
        <f>B3-I4/H6</f>
        <v>5.2120980091883613</v>
      </c>
      <c r="C9" s="40"/>
      <c r="D9" s="6">
        <f t="shared" ref="D9:I9" si="4">$B9*C10</f>
        <v>0</v>
      </c>
      <c r="E9" s="6">
        <f>$B9*D10</f>
        <v>0</v>
      </c>
      <c r="F9" s="6">
        <f t="shared" si="4"/>
        <v>5.2120980091883613</v>
      </c>
      <c r="G9" s="6">
        <f t="shared" si="4"/>
        <v>21.953867648196919</v>
      </c>
      <c r="H9" s="6">
        <f t="shared" si="4"/>
        <v>145.69829791828209</v>
      </c>
      <c r="I9" s="6">
        <f t="shared" si="4"/>
        <v>743.75751449444579</v>
      </c>
      <c r="J9" s="26">
        <f>ABS(B9-B3)</f>
        <v>1.7879019908116387</v>
      </c>
      <c r="K9" s="6">
        <f xml:space="preserve"> ABS(J9/B9)*100</f>
        <v>34.302923461142939</v>
      </c>
    </row>
    <row r="10" spans="1:13" ht="15.6">
      <c r="B10" s="35"/>
      <c r="C10" s="26">
        <f t="shared" ref="C10:I10" si="5">SUM(C8:C9)</f>
        <v>0</v>
      </c>
      <c r="D10" s="13">
        <f t="shared" si="5"/>
        <v>0</v>
      </c>
      <c r="E10" s="13">
        <f t="shared" si="5"/>
        <v>1</v>
      </c>
      <c r="F10" s="13">
        <f>SUM(F8:F9)</f>
        <v>4.2120980091883613</v>
      </c>
      <c r="G10" s="13">
        <f t="shared" si="5"/>
        <v>27.953867648196919</v>
      </c>
      <c r="H10" s="13">
        <f t="shared" si="5"/>
        <v>142.69829791828209</v>
      </c>
      <c r="I10" s="14">
        <f t="shared" si="5"/>
        <v>747.75751449444579</v>
      </c>
    </row>
    <row r="11" spans="1:13" ht="15.6" thickBot="1">
      <c r="B11" s="38"/>
      <c r="C11" s="42"/>
      <c r="D11" s="23">
        <f>$B9*C12</f>
        <v>0</v>
      </c>
      <c r="E11" s="23">
        <f>$B9*D12</f>
        <v>0</v>
      </c>
      <c r="F11" s="23">
        <f>$B9*E12</f>
        <v>5.2120980091883613</v>
      </c>
      <c r="G11" s="23">
        <f>$B9*F12</f>
        <v>49.119833305582198</v>
      </c>
      <c r="H11" s="23">
        <f>$B9*G12</f>
        <v>401.71568330197118</v>
      </c>
      <c r="I11" s="39"/>
    </row>
    <row r="12" spans="1:13" ht="15.6">
      <c r="C12" s="13">
        <f t="shared" ref="C12:H12" si="6">SUM(C10:C11)</f>
        <v>0</v>
      </c>
      <c r="D12" s="13">
        <f t="shared" si="6"/>
        <v>0</v>
      </c>
      <c r="E12" s="13">
        <f t="shared" si="6"/>
        <v>1</v>
      </c>
      <c r="F12" s="13">
        <f t="shared" si="6"/>
        <v>9.4241960183767226</v>
      </c>
      <c r="G12" s="13">
        <f t="shared" si="6"/>
        <v>77.07370095377911</v>
      </c>
      <c r="H12" s="8">
        <f t="shared" si="6"/>
        <v>544.41398122025328</v>
      </c>
    </row>
    <row r="14" spans="1:13" ht="15">
      <c r="B14" s="25" t="s">
        <v>12</v>
      </c>
      <c r="C14" s="27">
        <f t="shared" ref="C14:I14" si="7">C8</f>
        <v>0</v>
      </c>
      <c r="D14" s="28">
        <f t="shared" si="7"/>
        <v>0</v>
      </c>
      <c r="E14" s="28">
        <f t="shared" si="7"/>
        <v>1</v>
      </c>
      <c r="F14" s="28">
        <f t="shared" si="7"/>
        <v>-1</v>
      </c>
      <c r="G14" s="28">
        <f t="shared" si="7"/>
        <v>6</v>
      </c>
      <c r="H14" s="28">
        <f t="shared" si="7"/>
        <v>-3</v>
      </c>
      <c r="I14" s="28">
        <f t="shared" si="7"/>
        <v>4</v>
      </c>
    </row>
    <row r="15" spans="1:13" ht="15">
      <c r="B15" s="41">
        <f>B9-I10/H12</f>
        <v>3.8385889879497501</v>
      </c>
      <c r="C15" s="5"/>
      <c r="D15" s="6">
        <f t="shared" ref="D15:I15" si="8">$B15*C16</f>
        <v>0</v>
      </c>
      <c r="E15" s="6">
        <f t="shared" si="8"/>
        <v>0</v>
      </c>
      <c r="F15" s="6">
        <f t="shared" si="8"/>
        <v>3.8385889879497501</v>
      </c>
      <c r="G15" s="6">
        <f t="shared" si="8"/>
        <v>10.896176430459336</v>
      </c>
      <c r="H15" s="6">
        <f t="shared" si="8"/>
        <v>64.857476784417315</v>
      </c>
      <c r="I15" s="6">
        <f t="shared" si="8"/>
        <v>237.44542920702162</v>
      </c>
      <c r="J15" s="5">
        <f>ABS(B15-B9)</f>
        <v>1.3735090212386112</v>
      </c>
      <c r="K15" s="6">
        <f xml:space="preserve"> ABS(J15/B15)*100</f>
        <v>35.781612085857198</v>
      </c>
    </row>
    <row r="16" spans="1:13" ht="15.6">
      <c r="B16" s="35"/>
      <c r="C16" s="26">
        <f t="shared" ref="C16:I16" si="9">SUM(C14:C15)</f>
        <v>0</v>
      </c>
      <c r="D16" s="13">
        <f t="shared" si="9"/>
        <v>0</v>
      </c>
      <c r="E16" s="13">
        <f t="shared" si="9"/>
        <v>1</v>
      </c>
      <c r="F16" s="13">
        <f t="shared" si="9"/>
        <v>2.8385889879497501</v>
      </c>
      <c r="G16" s="13">
        <f t="shared" si="9"/>
        <v>16.896176430459334</v>
      </c>
      <c r="H16" s="13">
        <f t="shared" si="9"/>
        <v>61.857476784417315</v>
      </c>
      <c r="I16" s="14">
        <f t="shared" si="9"/>
        <v>241.44542920702162</v>
      </c>
    </row>
    <row r="17" spans="1:11" ht="15.6" thickBot="1">
      <c r="B17" s="38"/>
      <c r="C17" s="22"/>
      <c r="D17" s="23">
        <f>$B15*C18</f>
        <v>0</v>
      </c>
      <c r="E17" s="23">
        <f>$B15*D18</f>
        <v>0</v>
      </c>
      <c r="F17" s="23">
        <f>$B15*E18</f>
        <v>3.8385889879497501</v>
      </c>
      <c r="G17" s="23">
        <f>$B15*F18</f>
        <v>25.630941848868424</v>
      </c>
      <c r="H17" s="23">
        <f>$B15*G18</f>
        <v>163.24412791626406</v>
      </c>
      <c r="I17" s="24"/>
    </row>
    <row r="18" spans="1:11" ht="15.6">
      <c r="C18" s="13">
        <f t="shared" ref="C18:H18" si="10">SUM(C16:C17)</f>
        <v>0</v>
      </c>
      <c r="D18" s="13">
        <f t="shared" si="10"/>
        <v>0</v>
      </c>
      <c r="E18" s="13">
        <f t="shared" si="10"/>
        <v>1</v>
      </c>
      <c r="F18" s="13">
        <f t="shared" si="10"/>
        <v>6.6771779758995002</v>
      </c>
      <c r="G18" s="13">
        <f t="shared" si="10"/>
        <v>42.527118279327759</v>
      </c>
      <c r="H18" s="8">
        <f t="shared" si="10"/>
        <v>225.10160470068138</v>
      </c>
      <c r="I18" s="15"/>
    </row>
    <row r="20" spans="1:11" ht="15">
      <c r="B20" s="25" t="s">
        <v>13</v>
      </c>
      <c r="C20" s="27">
        <f t="shared" ref="C20:I20" si="11">C14</f>
        <v>0</v>
      </c>
      <c r="D20" s="28">
        <f t="shared" si="11"/>
        <v>0</v>
      </c>
      <c r="E20" s="28">
        <f t="shared" si="11"/>
        <v>1</v>
      </c>
      <c r="F20" s="28">
        <f t="shared" si="11"/>
        <v>-1</v>
      </c>
      <c r="G20" s="28">
        <f t="shared" si="11"/>
        <v>6</v>
      </c>
      <c r="H20" s="28">
        <f t="shared" si="11"/>
        <v>-3</v>
      </c>
      <c r="I20" s="28">
        <f t="shared" si="11"/>
        <v>4</v>
      </c>
      <c r="J20" s="15"/>
      <c r="K20" s="15"/>
    </row>
    <row r="21" spans="1:11" ht="15">
      <c r="B21" s="12">
        <f>B15-I16/H18</f>
        <v>2.7659825552765014</v>
      </c>
      <c r="C21" s="20"/>
      <c r="D21" s="6">
        <f t="shared" ref="D21:I21" si="12">$B21*C22</f>
        <v>0</v>
      </c>
      <c r="E21" s="6">
        <f t="shared" si="12"/>
        <v>0</v>
      </c>
      <c r="F21" s="6">
        <f t="shared" si="12"/>
        <v>2.7659825552765014</v>
      </c>
      <c r="G21" s="6">
        <f t="shared" si="12"/>
        <v>4.8846769408174229</v>
      </c>
      <c r="H21" s="6">
        <f t="shared" si="12"/>
        <v>30.106826538121389</v>
      </c>
      <c r="I21" s="6">
        <f t="shared" si="12"/>
        <v>74.977009333349883</v>
      </c>
      <c r="J21" s="5">
        <f>ABS(B21-B15)</f>
        <v>1.0726064326732487</v>
      </c>
      <c r="K21" s="6">
        <f xml:space="preserve"> ABS(J21/B21)*100</f>
        <v>38.778495931838073</v>
      </c>
    </row>
    <row r="22" spans="1:11" ht="15.6">
      <c r="B22" s="35"/>
      <c r="C22" s="26">
        <f t="shared" ref="C22:I22" si="13">SUM(C20:C21)</f>
        <v>0</v>
      </c>
      <c r="D22" s="13">
        <f t="shared" si="13"/>
        <v>0</v>
      </c>
      <c r="E22" s="13">
        <f t="shared" si="13"/>
        <v>1</v>
      </c>
      <c r="F22" s="13">
        <f t="shared" si="13"/>
        <v>1.7659825552765014</v>
      </c>
      <c r="G22" s="13">
        <f t="shared" si="13"/>
        <v>10.884676940817423</v>
      </c>
      <c r="H22" s="13">
        <f t="shared" si="13"/>
        <v>27.106826538121389</v>
      </c>
      <c r="I22" s="14">
        <f t="shared" si="13"/>
        <v>78.977009333349883</v>
      </c>
      <c r="J22" s="15"/>
      <c r="K22" s="15"/>
    </row>
    <row r="23" spans="1:11" ht="15.6" thickBot="1">
      <c r="B23" s="38"/>
      <c r="C23" s="22"/>
      <c r="D23" s="23">
        <f>$B21*C24</f>
        <v>0</v>
      </c>
      <c r="E23" s="23">
        <f>$B21*D24</f>
        <v>0</v>
      </c>
      <c r="F23" s="23">
        <f>$B21*E24</f>
        <v>2.7659825552765014</v>
      </c>
      <c r="G23" s="23">
        <f>$B21*F24</f>
        <v>12.535336436911347</v>
      </c>
      <c r="H23" s="23">
        <f>$B21*G24</f>
        <v>64.77934844714008</v>
      </c>
      <c r="I23" s="24"/>
      <c r="J23" s="15"/>
      <c r="K23" s="15"/>
    </row>
    <row r="24" spans="1:11" ht="15.6">
      <c r="C24" s="13">
        <f t="shared" ref="C24:H24" si="14">SUM(C22:C23)</f>
        <v>0</v>
      </c>
      <c r="D24" s="13">
        <f t="shared" si="14"/>
        <v>0</v>
      </c>
      <c r="E24" s="13">
        <f t="shared" si="14"/>
        <v>1</v>
      </c>
      <c r="F24" s="13">
        <f t="shared" si="14"/>
        <v>4.5319651105530028</v>
      </c>
      <c r="G24" s="13">
        <f t="shared" si="14"/>
        <v>23.420013377728772</v>
      </c>
      <c r="H24" s="8">
        <f t="shared" si="14"/>
        <v>91.886174985261476</v>
      </c>
      <c r="I24" s="15"/>
      <c r="J24" s="15"/>
      <c r="K24" s="15"/>
    </row>
    <row r="26" spans="1:11" ht="15">
      <c r="B26" s="25" t="s">
        <v>14</v>
      </c>
      <c r="C26" s="27">
        <f t="shared" ref="C26:I26" si="15">C20</f>
        <v>0</v>
      </c>
      <c r="D26" s="28">
        <f t="shared" si="15"/>
        <v>0</v>
      </c>
      <c r="E26" s="28">
        <f t="shared" si="15"/>
        <v>1</v>
      </c>
      <c r="F26" s="28">
        <f t="shared" si="15"/>
        <v>-1</v>
      </c>
      <c r="G26" s="28">
        <f t="shared" si="15"/>
        <v>6</v>
      </c>
      <c r="H26" s="28">
        <f t="shared" si="15"/>
        <v>-3</v>
      </c>
      <c r="I26" s="28">
        <f t="shared" si="15"/>
        <v>4</v>
      </c>
      <c r="J26" s="15"/>
      <c r="K26" s="15"/>
    </row>
    <row r="27" spans="1:11" ht="15">
      <c r="B27" s="12">
        <f>B21-I22/H24</f>
        <v>1.9064733924887611</v>
      </c>
      <c r="C27" s="20"/>
      <c r="D27" s="6">
        <f t="shared" ref="D27:I27" si="16">$B27*C28</f>
        <v>0</v>
      </c>
      <c r="E27" s="6">
        <f t="shared" si="16"/>
        <v>0</v>
      </c>
      <c r="F27" s="6">
        <f t="shared" si="16"/>
        <v>1.9064733924887611</v>
      </c>
      <c r="G27" s="6">
        <f t="shared" si="16"/>
        <v>1.7281674037788448</v>
      </c>
      <c r="H27" s="6">
        <f t="shared" si="16"/>
        <v>14.733545528003317</v>
      </c>
      <c r="I27" s="6">
        <f t="shared" si="16"/>
        <v>22.369692348693814</v>
      </c>
      <c r="J27" s="5">
        <f>ABS(B27-B21)</f>
        <v>0.85950916278774026</v>
      </c>
      <c r="K27" s="6">
        <f xml:space="preserve"> ABS(J27/B27)*100</f>
        <v>45.083721922062296</v>
      </c>
    </row>
    <row r="28" spans="1:11" ht="15.6">
      <c r="B28" s="35"/>
      <c r="C28" s="26">
        <f t="shared" ref="C28:I28" si="17">SUM(C26:C27)</f>
        <v>0</v>
      </c>
      <c r="D28" s="13">
        <f t="shared" si="17"/>
        <v>0</v>
      </c>
      <c r="E28" s="13">
        <f t="shared" si="17"/>
        <v>1</v>
      </c>
      <c r="F28" s="13">
        <f t="shared" si="17"/>
        <v>0.90647339248876113</v>
      </c>
      <c r="G28" s="13">
        <f t="shared" si="17"/>
        <v>7.728167403778845</v>
      </c>
      <c r="H28" s="13">
        <f t="shared" si="17"/>
        <v>11.733545528003317</v>
      </c>
      <c r="I28" s="14">
        <f t="shared" si="17"/>
        <v>26.369692348693814</v>
      </c>
      <c r="J28" s="15"/>
      <c r="K28" s="15"/>
    </row>
    <row r="29" spans="1:11" ht="15.6" thickBot="1">
      <c r="B29" s="38"/>
      <c r="C29" s="22"/>
      <c r="D29" s="23">
        <f>$B27*C30</f>
        <v>0</v>
      </c>
      <c r="E29" s="23">
        <f>$B27*D30</f>
        <v>0</v>
      </c>
      <c r="F29" s="23">
        <f>$B27*E30</f>
        <v>1.9064733924887611</v>
      </c>
      <c r="G29" s="23">
        <f>$B27*F30</f>
        <v>5.3628082000464508</v>
      </c>
      <c r="H29" s="23">
        <f>$B27*G30</f>
        <v>24.957596670412421</v>
      </c>
      <c r="I29" s="24"/>
      <c r="J29" s="15"/>
      <c r="K29" s="15"/>
    </row>
    <row r="30" spans="1:11" ht="15.6">
      <c r="C30" s="13">
        <f t="shared" ref="C30:H30" si="18">SUM(C28:C29)</f>
        <v>0</v>
      </c>
      <c r="D30" s="13">
        <f t="shared" si="18"/>
        <v>0</v>
      </c>
      <c r="E30" s="13">
        <f t="shared" si="18"/>
        <v>1</v>
      </c>
      <c r="F30" s="13">
        <f t="shared" si="18"/>
        <v>2.8129467849775223</v>
      </c>
      <c r="G30" s="13">
        <f t="shared" si="18"/>
        <v>13.090975603825296</v>
      </c>
      <c r="H30" s="8">
        <f t="shared" si="18"/>
        <v>36.69114219841574</v>
      </c>
      <c r="I30" s="15"/>
      <c r="J30" s="15"/>
      <c r="K30" s="15"/>
    </row>
    <row r="32" spans="1:11" ht="15.6">
      <c r="A32" s="16" t="s">
        <v>0</v>
      </c>
      <c r="B32" s="29"/>
      <c r="C32" s="30" t="s">
        <v>1</v>
      </c>
      <c r="D32" s="30" t="s">
        <v>2</v>
      </c>
      <c r="E32" s="30" t="s">
        <v>3</v>
      </c>
      <c r="F32" s="30" t="s">
        <v>4</v>
      </c>
      <c r="G32" s="30" t="s">
        <v>5</v>
      </c>
      <c r="H32" s="30" t="s">
        <v>6</v>
      </c>
      <c r="I32" s="30" t="s">
        <v>7</v>
      </c>
      <c r="J32" s="32">
        <v>0.02</v>
      </c>
      <c r="K32" s="33"/>
    </row>
    <row r="33" spans="1:11" ht="15.6">
      <c r="A33" s="17"/>
      <c r="B33" s="25" t="s">
        <v>8</v>
      </c>
      <c r="C33" s="36">
        <v>0</v>
      </c>
      <c r="D33" s="31">
        <v>0</v>
      </c>
      <c r="E33" s="31">
        <v>1</v>
      </c>
      <c r="F33" s="31">
        <v>-1</v>
      </c>
      <c r="G33" s="31">
        <v>6</v>
      </c>
      <c r="H33" s="31">
        <v>-3</v>
      </c>
      <c r="I33" s="31">
        <v>4</v>
      </c>
      <c r="J33" s="18" t="s">
        <v>9</v>
      </c>
      <c r="K33" s="19" t="s">
        <v>10</v>
      </c>
    </row>
    <row r="34" spans="1:11" ht="15.6">
      <c r="A34" s="17"/>
      <c r="B34" s="37">
        <v>7</v>
      </c>
      <c r="C34" s="34"/>
      <c r="D34" s="2">
        <f t="shared" ref="D34:I34" si="19">$B34*C35</f>
        <v>0</v>
      </c>
      <c r="E34" s="2">
        <f t="shared" si="19"/>
        <v>0</v>
      </c>
      <c r="F34" s="2">
        <f t="shared" si="19"/>
        <v>7</v>
      </c>
      <c r="G34" s="2">
        <f t="shared" si="19"/>
        <v>42</v>
      </c>
      <c r="H34" s="2">
        <f t="shared" si="19"/>
        <v>336</v>
      </c>
      <c r="I34" s="3">
        <f t="shared" si="19"/>
        <v>2331</v>
      </c>
      <c r="J34" s="5"/>
      <c r="K34" s="6"/>
    </row>
    <row r="35" spans="1:11" ht="15.6">
      <c r="B35" s="4"/>
      <c r="C35" s="20">
        <f>SUM(C33:C34)</f>
        <v>0</v>
      </c>
      <c r="D35" s="5">
        <f t="shared" ref="D35:I35" si="20">SUM(D33:D34)</f>
        <v>0</v>
      </c>
      <c r="E35" s="6">
        <f t="shared" si="20"/>
        <v>1</v>
      </c>
      <c r="F35" s="6">
        <f t="shared" si="20"/>
        <v>6</v>
      </c>
      <c r="G35" s="6">
        <f t="shared" si="20"/>
        <v>48</v>
      </c>
      <c r="H35" s="6">
        <f t="shared" si="20"/>
        <v>333</v>
      </c>
      <c r="I35" s="7">
        <f t="shared" si="20"/>
        <v>2335</v>
      </c>
      <c r="J35" s="5"/>
      <c r="K35" s="6"/>
    </row>
    <row r="36" spans="1:11" ht="15.6" thickBot="1">
      <c r="C36" s="21"/>
      <c r="D36" s="22">
        <f>$B34*C37</f>
        <v>0</v>
      </c>
      <c r="E36" s="23">
        <f>$B34*D37</f>
        <v>0</v>
      </c>
      <c r="F36" s="23">
        <f>$B34*E37</f>
        <v>7</v>
      </c>
      <c r="G36" s="23">
        <f>$B34*F37</f>
        <v>91</v>
      </c>
      <c r="H36" s="24">
        <f>$B34*G37</f>
        <v>973</v>
      </c>
      <c r="I36" s="1"/>
      <c r="J36" s="6"/>
      <c r="K36" s="6"/>
    </row>
    <row r="37" spans="1:11" ht="15.6">
      <c r="C37" s="13">
        <f>SUM(C35:C36)</f>
        <v>0</v>
      </c>
      <c r="D37" s="13">
        <f t="shared" ref="D37:H37" si="21">SUM(D35:D36)</f>
        <v>0</v>
      </c>
      <c r="E37" s="13">
        <f t="shared" si="21"/>
        <v>1</v>
      </c>
      <c r="F37" s="13">
        <f t="shared" si="21"/>
        <v>13</v>
      </c>
      <c r="G37" s="13">
        <f t="shared" si="21"/>
        <v>139</v>
      </c>
      <c r="H37" s="8">
        <f t="shared" si="21"/>
        <v>1306</v>
      </c>
      <c r="I37" s="9"/>
      <c r="J37" s="6"/>
      <c r="K37" s="5"/>
    </row>
    <row r="38" spans="1:11" ht="15">
      <c r="C38" s="9"/>
      <c r="D38" s="9"/>
      <c r="E38" s="9"/>
      <c r="F38" s="9"/>
      <c r="G38" s="9"/>
      <c r="H38" s="9"/>
      <c r="I38" s="9"/>
      <c r="J38" s="6"/>
      <c r="K38" s="5"/>
    </row>
    <row r="39" spans="1:11" ht="15">
      <c r="B39" s="25" t="s">
        <v>11</v>
      </c>
      <c r="C39" s="10">
        <f t="shared" ref="C39:I39" si="22">C33</f>
        <v>0</v>
      </c>
      <c r="D39" s="11">
        <f t="shared" si="22"/>
        <v>0</v>
      </c>
      <c r="E39" s="11">
        <f t="shared" si="22"/>
        <v>1</v>
      </c>
      <c r="F39" s="11">
        <f t="shared" si="22"/>
        <v>-1</v>
      </c>
      <c r="G39" s="11">
        <f t="shared" si="22"/>
        <v>6</v>
      </c>
      <c r="H39" s="11">
        <f t="shared" si="22"/>
        <v>-3</v>
      </c>
      <c r="I39" s="12">
        <f t="shared" si="22"/>
        <v>4</v>
      </c>
      <c r="J39" s="6"/>
      <c r="K39" s="5"/>
    </row>
    <row r="40" spans="1:11" ht="15">
      <c r="B40" s="12">
        <f>B34-I35/H37</f>
        <v>5.2120980091883613</v>
      </c>
      <c r="C40" s="40"/>
      <c r="D40" s="6">
        <f t="shared" ref="D40:I40" si="23">$B40*C41</f>
        <v>0</v>
      </c>
      <c r="E40" s="6">
        <f>$B40*D41</f>
        <v>0</v>
      </c>
      <c r="F40" s="6">
        <f t="shared" si="23"/>
        <v>5.2120980091883613</v>
      </c>
      <c r="G40" s="6">
        <f t="shared" si="23"/>
        <v>21.953867648196919</v>
      </c>
      <c r="H40" s="6">
        <f t="shared" si="23"/>
        <v>145.69829791828209</v>
      </c>
      <c r="I40" s="6">
        <f t="shared" si="23"/>
        <v>743.75751449444579</v>
      </c>
      <c r="J40" s="26">
        <f>ABS(B40-B34)</f>
        <v>1.7879019908116387</v>
      </c>
      <c r="K40" s="6">
        <f xml:space="preserve"> ABS(J40/B40)*100</f>
        <v>34.302923461142939</v>
      </c>
    </row>
    <row r="41" spans="1:11" ht="15.6">
      <c r="B41" s="35"/>
      <c r="C41" s="26">
        <f t="shared" ref="C41:I41" si="24">SUM(C39:C40)</f>
        <v>0</v>
      </c>
      <c r="D41" s="13">
        <f t="shared" si="24"/>
        <v>0</v>
      </c>
      <c r="E41" s="13">
        <f t="shared" si="24"/>
        <v>1</v>
      </c>
      <c r="F41" s="13">
        <f>SUM(F39:F40)</f>
        <v>4.2120980091883613</v>
      </c>
      <c r="G41" s="13">
        <f t="shared" si="24"/>
        <v>27.953867648196919</v>
      </c>
      <c r="H41" s="13">
        <f t="shared" si="24"/>
        <v>142.69829791828209</v>
      </c>
      <c r="I41" s="14">
        <f t="shared" si="24"/>
        <v>747.75751449444579</v>
      </c>
    </row>
    <row r="42" spans="1:11" ht="15.6" thickBot="1">
      <c r="B42" s="38"/>
      <c r="C42" s="42"/>
      <c r="D42" s="23">
        <f>$B40*C43</f>
        <v>0</v>
      </c>
      <c r="E42" s="23">
        <f>$B40*D43</f>
        <v>0</v>
      </c>
      <c r="F42" s="23">
        <f>$B40*E43</f>
        <v>5.2120980091883613</v>
      </c>
      <c r="G42" s="23">
        <f>$B40*F43</f>
        <v>49.119833305582198</v>
      </c>
      <c r="H42" s="23">
        <f>$B40*G43</f>
        <v>401.71568330197118</v>
      </c>
      <c r="I42" s="39"/>
    </row>
    <row r="43" spans="1:11" ht="15.6">
      <c r="C43" s="13">
        <f t="shared" ref="C43:H43" si="25">SUM(C41:C42)</f>
        <v>0</v>
      </c>
      <c r="D43" s="13">
        <f t="shared" si="25"/>
        <v>0</v>
      </c>
      <c r="E43" s="13">
        <f t="shared" si="25"/>
        <v>1</v>
      </c>
      <c r="F43" s="13">
        <f t="shared" si="25"/>
        <v>9.4241960183767226</v>
      </c>
      <c r="G43" s="13">
        <f t="shared" si="25"/>
        <v>77.07370095377911</v>
      </c>
      <c r="H43" s="8">
        <f t="shared" si="25"/>
        <v>544.41398122025328</v>
      </c>
    </row>
    <row r="45" spans="1:11" ht="15">
      <c r="B45" s="25" t="s">
        <v>12</v>
      </c>
      <c r="C45" s="27">
        <f t="shared" ref="C45:I45" si="26">C39</f>
        <v>0</v>
      </c>
      <c r="D45" s="28">
        <f t="shared" si="26"/>
        <v>0</v>
      </c>
      <c r="E45" s="28">
        <f t="shared" si="26"/>
        <v>1</v>
      </c>
      <c r="F45" s="28">
        <f t="shared" si="26"/>
        <v>-1</v>
      </c>
      <c r="G45" s="28">
        <f t="shared" si="26"/>
        <v>6</v>
      </c>
      <c r="H45" s="28">
        <f t="shared" si="26"/>
        <v>-3</v>
      </c>
      <c r="I45" s="28">
        <f t="shared" si="26"/>
        <v>4</v>
      </c>
    </row>
    <row r="46" spans="1:11" ht="15">
      <c r="B46" s="41">
        <f>B40-I41/H43</f>
        <v>3.8385889879497501</v>
      </c>
      <c r="C46" s="5"/>
      <c r="D46" s="6">
        <f t="shared" ref="D46:I46" si="27">$B46*C47</f>
        <v>0</v>
      </c>
      <c r="E46" s="6">
        <f t="shared" si="27"/>
        <v>0</v>
      </c>
      <c r="F46" s="6">
        <f t="shared" si="27"/>
        <v>3.8385889879497501</v>
      </c>
      <c r="G46" s="6">
        <f t="shared" si="27"/>
        <v>10.896176430459336</v>
      </c>
      <c r="H46" s="6">
        <f t="shared" si="27"/>
        <v>64.857476784417315</v>
      </c>
      <c r="I46" s="6">
        <f t="shared" si="27"/>
        <v>237.44542920702162</v>
      </c>
      <c r="J46" s="5">
        <f>ABS(B46-B40)</f>
        <v>1.3735090212386112</v>
      </c>
      <c r="K46" s="6">
        <f xml:space="preserve"> ABS(J46/B46)*100</f>
        <v>35.781612085857198</v>
      </c>
    </row>
    <row r="47" spans="1:11" ht="15.6">
      <c r="B47" s="35"/>
      <c r="C47" s="26">
        <f t="shared" ref="C47:I47" si="28">SUM(C45:C46)</f>
        <v>0</v>
      </c>
      <c r="D47" s="13">
        <f t="shared" si="28"/>
        <v>0</v>
      </c>
      <c r="E47" s="13">
        <f t="shared" si="28"/>
        <v>1</v>
      </c>
      <c r="F47" s="13">
        <f t="shared" si="28"/>
        <v>2.8385889879497501</v>
      </c>
      <c r="G47" s="13">
        <f t="shared" si="28"/>
        <v>16.896176430459334</v>
      </c>
      <c r="H47" s="13">
        <f t="shared" si="28"/>
        <v>61.857476784417315</v>
      </c>
      <c r="I47" s="14">
        <f t="shared" si="28"/>
        <v>241.44542920702162</v>
      </c>
    </row>
    <row r="48" spans="1:11" ht="15.6" thickBot="1">
      <c r="B48" s="38"/>
      <c r="C48" s="22"/>
      <c r="D48" s="23">
        <f>$B46*C49</f>
        <v>0</v>
      </c>
      <c r="E48" s="23">
        <f>$B46*D49</f>
        <v>0</v>
      </c>
      <c r="F48" s="23">
        <f>$B46*E49</f>
        <v>3.8385889879497501</v>
      </c>
      <c r="G48" s="23">
        <f>$B46*F49</f>
        <v>25.630941848868424</v>
      </c>
      <c r="H48" s="23">
        <f>$B46*G49</f>
        <v>163.24412791626406</v>
      </c>
      <c r="I48" s="24"/>
    </row>
    <row r="49" spans="2:11" ht="15.6">
      <c r="C49" s="13">
        <f t="shared" ref="C49:H49" si="29">SUM(C47:C48)</f>
        <v>0</v>
      </c>
      <c r="D49" s="13">
        <f t="shared" si="29"/>
        <v>0</v>
      </c>
      <c r="E49" s="13">
        <f t="shared" si="29"/>
        <v>1</v>
      </c>
      <c r="F49" s="13">
        <f t="shared" si="29"/>
        <v>6.6771779758995002</v>
      </c>
      <c r="G49" s="13">
        <f t="shared" si="29"/>
        <v>42.527118279327759</v>
      </c>
      <c r="H49" s="8">
        <f t="shared" si="29"/>
        <v>225.10160470068138</v>
      </c>
      <c r="I49" s="15"/>
    </row>
    <row r="51" spans="2:11" ht="15">
      <c r="B51" s="25" t="s">
        <v>13</v>
      </c>
      <c r="C51" s="27">
        <f t="shared" ref="C51:I51" si="30">C45</f>
        <v>0</v>
      </c>
      <c r="D51" s="28">
        <f t="shared" si="30"/>
        <v>0</v>
      </c>
      <c r="E51" s="28">
        <f t="shared" si="30"/>
        <v>1</v>
      </c>
      <c r="F51" s="28">
        <f t="shared" si="30"/>
        <v>-1</v>
      </c>
      <c r="G51" s="28">
        <f t="shared" si="30"/>
        <v>6</v>
      </c>
      <c r="H51" s="28">
        <f t="shared" si="30"/>
        <v>-3</v>
      </c>
      <c r="I51" s="28">
        <f t="shared" si="30"/>
        <v>4</v>
      </c>
      <c r="J51" s="15"/>
      <c r="K51" s="15"/>
    </row>
    <row r="52" spans="2:11" ht="15">
      <c r="B52" s="12">
        <f>B46-I47/H49</f>
        <v>2.7659825552765014</v>
      </c>
      <c r="C52" s="20"/>
      <c r="D52" s="6">
        <f t="shared" ref="D52:I52" si="31">$B52*C53</f>
        <v>0</v>
      </c>
      <c r="E52" s="6">
        <f t="shared" si="31"/>
        <v>0</v>
      </c>
      <c r="F52" s="6">
        <f t="shared" si="31"/>
        <v>2.7659825552765014</v>
      </c>
      <c r="G52" s="6">
        <f t="shared" si="31"/>
        <v>4.8846769408174229</v>
      </c>
      <c r="H52" s="6">
        <f t="shared" si="31"/>
        <v>30.106826538121389</v>
      </c>
      <c r="I52" s="6">
        <f t="shared" si="31"/>
        <v>74.977009333349883</v>
      </c>
      <c r="J52" s="5">
        <f>ABS(B52-B46)</f>
        <v>1.0726064326732487</v>
      </c>
      <c r="K52" s="6">
        <f xml:space="preserve"> ABS(J52/B52)*100</f>
        <v>38.778495931838073</v>
      </c>
    </row>
    <row r="53" spans="2:11" ht="15.6">
      <c r="B53" s="35"/>
      <c r="C53" s="26">
        <f t="shared" ref="C53:I53" si="32">SUM(C51:C52)</f>
        <v>0</v>
      </c>
      <c r="D53" s="13">
        <f t="shared" si="32"/>
        <v>0</v>
      </c>
      <c r="E53" s="13">
        <f t="shared" si="32"/>
        <v>1</v>
      </c>
      <c r="F53" s="13">
        <f t="shared" si="32"/>
        <v>1.7659825552765014</v>
      </c>
      <c r="G53" s="13">
        <f t="shared" si="32"/>
        <v>10.884676940817423</v>
      </c>
      <c r="H53" s="13">
        <f t="shared" si="32"/>
        <v>27.106826538121389</v>
      </c>
      <c r="I53" s="14">
        <f t="shared" si="32"/>
        <v>78.977009333349883</v>
      </c>
      <c r="J53" s="15"/>
      <c r="K53" s="15"/>
    </row>
    <row r="54" spans="2:11" ht="15.6" thickBot="1">
      <c r="B54" s="38"/>
      <c r="C54" s="22"/>
      <c r="D54" s="23">
        <f>$B52*C55</f>
        <v>0</v>
      </c>
      <c r="E54" s="23">
        <f>$B52*D55</f>
        <v>0</v>
      </c>
      <c r="F54" s="23">
        <f>$B52*E55</f>
        <v>2.7659825552765014</v>
      </c>
      <c r="G54" s="23">
        <f>$B52*F55</f>
        <v>12.535336436911347</v>
      </c>
      <c r="H54" s="23">
        <f>$B52*G55</f>
        <v>64.77934844714008</v>
      </c>
      <c r="I54" s="24"/>
      <c r="J54" s="15"/>
      <c r="K54" s="15"/>
    </row>
    <row r="55" spans="2:11" ht="15.6">
      <c r="C55" s="13">
        <f t="shared" ref="C55:H55" si="33">SUM(C53:C54)</f>
        <v>0</v>
      </c>
      <c r="D55" s="13">
        <f t="shared" si="33"/>
        <v>0</v>
      </c>
      <c r="E55" s="13">
        <f t="shared" si="33"/>
        <v>1</v>
      </c>
      <c r="F55" s="13">
        <f t="shared" si="33"/>
        <v>4.5319651105530028</v>
      </c>
      <c r="G55" s="13">
        <f t="shared" si="33"/>
        <v>23.420013377728772</v>
      </c>
      <c r="H55" s="8">
        <f t="shared" si="33"/>
        <v>91.886174985261476</v>
      </c>
      <c r="I55" s="15"/>
      <c r="J55" s="15"/>
      <c r="K55" s="15"/>
    </row>
    <row r="57" spans="2:11" ht="15">
      <c r="B57" s="25" t="s">
        <v>14</v>
      </c>
      <c r="C57" s="27">
        <f t="shared" ref="C57:I57" si="34">C51</f>
        <v>0</v>
      </c>
      <c r="D57" s="28">
        <f t="shared" si="34"/>
        <v>0</v>
      </c>
      <c r="E57" s="28">
        <f t="shared" si="34"/>
        <v>1</v>
      </c>
      <c r="F57" s="28">
        <f t="shared" si="34"/>
        <v>-1</v>
      </c>
      <c r="G57" s="28">
        <f t="shared" si="34"/>
        <v>6</v>
      </c>
      <c r="H57" s="28">
        <f t="shared" si="34"/>
        <v>-3</v>
      </c>
      <c r="I57" s="28">
        <f t="shared" si="34"/>
        <v>4</v>
      </c>
      <c r="J57" s="15"/>
      <c r="K57" s="15"/>
    </row>
    <row r="58" spans="2:11" ht="15">
      <c r="B58" s="12">
        <f>B52-I53/H55</f>
        <v>1.9064733924887611</v>
      </c>
      <c r="C58" s="20"/>
      <c r="D58" s="6">
        <f t="shared" ref="D58:I58" si="35">$B58*C59</f>
        <v>0</v>
      </c>
      <c r="E58" s="6">
        <f t="shared" si="35"/>
        <v>0</v>
      </c>
      <c r="F58" s="6">
        <f t="shared" si="35"/>
        <v>1.9064733924887611</v>
      </c>
      <c r="G58" s="6">
        <f t="shared" si="35"/>
        <v>1.7281674037788448</v>
      </c>
      <c r="H58" s="6">
        <f t="shared" si="35"/>
        <v>14.733545528003317</v>
      </c>
      <c r="I58" s="6">
        <f t="shared" si="35"/>
        <v>22.369692348693814</v>
      </c>
      <c r="J58" s="5">
        <f>ABS(B58-B52)</f>
        <v>0.85950916278774026</v>
      </c>
      <c r="K58" s="6">
        <f xml:space="preserve"> ABS(J58/B58)*100</f>
        <v>45.083721922062296</v>
      </c>
    </row>
    <row r="59" spans="2:11" ht="15.6">
      <c r="B59" s="35"/>
      <c r="C59" s="26">
        <f t="shared" ref="C59:I59" si="36">SUM(C57:C58)</f>
        <v>0</v>
      </c>
      <c r="D59" s="13">
        <f t="shared" si="36"/>
        <v>0</v>
      </c>
      <c r="E59" s="13">
        <f t="shared" si="36"/>
        <v>1</v>
      </c>
      <c r="F59" s="13">
        <f t="shared" si="36"/>
        <v>0.90647339248876113</v>
      </c>
      <c r="G59" s="13">
        <f t="shared" si="36"/>
        <v>7.728167403778845</v>
      </c>
      <c r="H59" s="13">
        <f t="shared" si="36"/>
        <v>11.733545528003317</v>
      </c>
      <c r="I59" s="14">
        <f t="shared" si="36"/>
        <v>26.369692348693814</v>
      </c>
      <c r="J59" s="15"/>
      <c r="K59" s="15"/>
    </row>
    <row r="60" spans="2:11" ht="15.6" thickBot="1">
      <c r="B60" s="38"/>
      <c r="C60" s="22"/>
      <c r="D60" s="23">
        <f>$B58*C61</f>
        <v>0</v>
      </c>
      <c r="E60" s="23">
        <f>$B58*D61</f>
        <v>0</v>
      </c>
      <c r="F60" s="23">
        <f>$B58*E61</f>
        <v>1.9064733924887611</v>
      </c>
      <c r="G60" s="23">
        <f>$B58*F61</f>
        <v>5.3628082000464508</v>
      </c>
      <c r="H60" s="23">
        <f>$B58*G61</f>
        <v>24.957596670412421</v>
      </c>
      <c r="I60" s="24"/>
      <c r="J60" s="15"/>
      <c r="K60" s="15"/>
    </row>
    <row r="61" spans="2:11" ht="15.6">
      <c r="C61" s="13">
        <f t="shared" ref="C61:H61" si="37">SUM(C59:C60)</f>
        <v>0</v>
      </c>
      <c r="D61" s="13">
        <f t="shared" si="37"/>
        <v>0</v>
      </c>
      <c r="E61" s="13">
        <f t="shared" si="37"/>
        <v>1</v>
      </c>
      <c r="F61" s="13">
        <f t="shared" si="37"/>
        <v>2.8129467849775223</v>
      </c>
      <c r="G61" s="13">
        <f t="shared" si="37"/>
        <v>13.090975603825296</v>
      </c>
      <c r="H61" s="8">
        <f t="shared" si="37"/>
        <v>36.69114219841574</v>
      </c>
      <c r="I61" s="15"/>
      <c r="J61" s="15"/>
      <c r="K61" s="15"/>
    </row>
  </sheetData>
  <conditionalFormatting sqref="B9 B15 B21 B27">
    <cfRule type="expression" dxfId="192" priority="1">
      <formula>J9&lt;$J$1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7CFC1-7A58-4713-AB08-FE27B602DFFB}">
  <dimension ref="A1:S51"/>
  <sheetViews>
    <sheetView zoomScaleNormal="100" workbookViewId="0">
      <selection activeCell="Q5" sqref="Q5"/>
    </sheetView>
  </sheetViews>
  <sheetFormatPr defaultColWidth="11.42578125" defaultRowHeight="14.45"/>
  <cols>
    <col min="1" max="1" width="7.7109375" bestFit="1" customWidth="1"/>
    <col min="2" max="2" width="10" bestFit="1" customWidth="1"/>
    <col min="3" max="5" width="9.140625" bestFit="1" customWidth="1"/>
    <col min="6" max="6" width="10" bestFit="1" customWidth="1"/>
    <col min="7" max="7" width="9.140625" bestFit="1" customWidth="1"/>
    <col min="8" max="8" width="10" bestFit="1" customWidth="1"/>
    <col min="9" max="9" width="9.140625" bestFit="1" customWidth="1"/>
    <col min="10" max="11" width="8.28515625" bestFit="1" customWidth="1"/>
    <col min="12" max="12" width="11.28515625" bestFit="1" customWidth="1"/>
    <col min="13" max="13" width="15.140625" bestFit="1" customWidth="1"/>
    <col min="14" max="14" width="2.5703125" bestFit="1" customWidth="1"/>
    <col min="15" max="15" width="9" bestFit="1" customWidth="1"/>
    <col min="16" max="16" width="1.5703125" bestFit="1" customWidth="1"/>
  </cols>
  <sheetData>
    <row r="1" spans="1:19" ht="15.6">
      <c r="A1" s="46" t="s">
        <v>34</v>
      </c>
      <c r="B1" s="47"/>
      <c r="C1" s="48" t="s">
        <v>1</v>
      </c>
      <c r="D1" s="49" t="s">
        <v>2</v>
      </c>
      <c r="E1" s="49" t="s">
        <v>3</v>
      </c>
      <c r="F1" s="49" t="s">
        <v>4</v>
      </c>
      <c r="G1" s="49" t="s">
        <v>5</v>
      </c>
      <c r="H1" s="49" t="s">
        <v>6</v>
      </c>
      <c r="I1" s="49" t="s">
        <v>7</v>
      </c>
      <c r="J1" s="50" t="s">
        <v>9</v>
      </c>
      <c r="K1" s="51" t="s">
        <v>10</v>
      </c>
      <c r="L1" s="91"/>
      <c r="M1" s="91"/>
      <c r="N1" s="91"/>
      <c r="O1" s="91"/>
      <c r="P1" s="91"/>
      <c r="Q1" s="15"/>
    </row>
    <row r="2" spans="1:19" ht="15.6">
      <c r="A2" s="47"/>
      <c r="B2" s="53" t="s">
        <v>18</v>
      </c>
      <c r="C2" s="92">
        <v>0</v>
      </c>
      <c r="D2" s="93">
        <v>0</v>
      </c>
      <c r="E2" s="57">
        <v>1</v>
      </c>
      <c r="F2" s="57">
        <v>-1</v>
      </c>
      <c r="G2" s="57">
        <v>6</v>
      </c>
      <c r="H2" s="57">
        <v>-3</v>
      </c>
      <c r="I2" s="57">
        <v>4</v>
      </c>
      <c r="J2" s="94">
        <v>0.02</v>
      </c>
      <c r="K2" s="95"/>
      <c r="L2" s="47"/>
      <c r="M2" s="47"/>
      <c r="N2" s="91"/>
      <c r="O2" s="91"/>
      <c r="P2" s="91"/>
      <c r="Q2" s="15"/>
    </row>
    <row r="3" spans="1:19" ht="15.6">
      <c r="A3" s="48" t="s">
        <v>19</v>
      </c>
      <c r="B3" s="90">
        <v>0.5271637654806699</v>
      </c>
      <c r="C3" s="47"/>
      <c r="D3" s="49">
        <f t="shared" ref="D3:I3" si="0">$B3*C5</f>
        <v>0</v>
      </c>
      <c r="E3" s="96">
        <f t="shared" si="0"/>
        <v>0</v>
      </c>
      <c r="F3" s="96">
        <f t="shared" si="0"/>
        <v>0.5271637654806699</v>
      </c>
      <c r="G3" s="96">
        <f t="shared" si="0"/>
        <v>-0.24926212984491117</v>
      </c>
      <c r="H3" s="96">
        <f t="shared" si="0"/>
        <v>2.6054296202112854</v>
      </c>
      <c r="I3" s="96">
        <f t="shared" si="0"/>
        <v>-6.5035683877437732E-3</v>
      </c>
      <c r="J3" s="47"/>
      <c r="K3" s="47"/>
      <c r="L3" s="49" t="s">
        <v>20</v>
      </c>
      <c r="M3" s="64">
        <f>B3^2+4*B4</f>
        <v>-2.9556363092447477</v>
      </c>
      <c r="N3" s="91"/>
      <c r="O3" s="91"/>
      <c r="P3" s="91"/>
      <c r="Q3" s="15"/>
      <c r="S3" t="s">
        <v>38</v>
      </c>
    </row>
    <row r="4" spans="1:19" ht="16.149999999999999" thickBot="1">
      <c r="A4" s="48" t="s">
        <v>21</v>
      </c>
      <c r="B4" s="74">
        <v>-0.8083844862201266</v>
      </c>
      <c r="C4" s="97"/>
      <c r="D4" s="97"/>
      <c r="E4" s="98">
        <f>$B4*C5</f>
        <v>0</v>
      </c>
      <c r="F4" s="98">
        <f>$B4*D5</f>
        <v>0</v>
      </c>
      <c r="G4" s="98">
        <f>$B4*E5</f>
        <v>-0.8083844862201266</v>
      </c>
      <c r="H4" s="98">
        <f>$B4*F5</f>
        <v>0.38223347650816797</v>
      </c>
      <c r="I4" s="98">
        <f>$B4*G5</f>
        <v>-3.9953218009905682</v>
      </c>
      <c r="J4" s="47"/>
      <c r="K4" s="47"/>
      <c r="L4" s="49" t="s">
        <v>22</v>
      </c>
      <c r="M4" s="49">
        <f>IF(M3&lt;0,B3/2,(B3+SQRT(M3))/2)</f>
        <v>0.26358188274033495</v>
      </c>
      <c r="N4" s="49" t="str">
        <f>IF(M3&lt;0,"+","")</f>
        <v>+</v>
      </c>
      <c r="O4" s="49">
        <f>IF(M3&lt;0,SQRT(ABS(M3))/2,"")</f>
        <v>0.85959820690319433</v>
      </c>
      <c r="P4" s="49" t="str">
        <f>IF(M3&lt;0,"i","")</f>
        <v>i</v>
      </c>
      <c r="Q4" s="15"/>
    </row>
    <row r="5" spans="1:19" ht="15.6">
      <c r="A5" s="48" t="s">
        <v>23</v>
      </c>
      <c r="B5" s="67">
        <f>SQRT(SUMSQ(B3:B4))</f>
        <v>0.9650839928198669</v>
      </c>
      <c r="C5" s="99">
        <f t="shared" ref="C5:I5" si="1">SUM(C2:C4)</f>
        <v>0</v>
      </c>
      <c r="D5" s="67">
        <f>SUM(D2:D4)</f>
        <v>0</v>
      </c>
      <c r="E5" s="99">
        <f t="shared" si="1"/>
        <v>1</v>
      </c>
      <c r="F5" s="67">
        <f t="shared" si="1"/>
        <v>-0.4728362345193301</v>
      </c>
      <c r="G5" s="67">
        <f t="shared" si="1"/>
        <v>4.9423533839349618</v>
      </c>
      <c r="H5" s="100">
        <f t="shared" si="1"/>
        <v>-1.2336903280546596E-2</v>
      </c>
      <c r="I5" s="100">
        <f t="shared" si="1"/>
        <v>-1.825369378312125E-3</v>
      </c>
      <c r="J5" s="47"/>
      <c r="K5" s="47"/>
      <c r="L5" s="49" t="s">
        <v>24</v>
      </c>
      <c r="M5" s="49">
        <f>IF(M3&lt;0,M4,(B3-SQRT(M3))/2)</f>
        <v>0.26358188274033495</v>
      </c>
      <c r="N5" s="104" t="str">
        <f>IF(M3&lt;0,"+","")</f>
        <v>+</v>
      </c>
      <c r="O5" s="49">
        <f>IF(M3&lt;0,-O4,"")</f>
        <v>-0.85959820690319433</v>
      </c>
      <c r="P5" s="104" t="s">
        <v>25</v>
      </c>
      <c r="Q5" s="15"/>
    </row>
    <row r="6" spans="1:19" ht="15.6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91"/>
      <c r="M6" s="91"/>
      <c r="N6" s="91"/>
      <c r="O6" s="91"/>
      <c r="P6" s="91"/>
      <c r="Q6" s="15"/>
    </row>
    <row r="7" spans="1:19" ht="15.6">
      <c r="A7" s="47"/>
      <c r="B7" s="53" t="s">
        <v>26</v>
      </c>
      <c r="C7" s="102">
        <f t="shared" ref="C7:I7" si="2">C2</f>
        <v>0</v>
      </c>
      <c r="D7" s="93">
        <f t="shared" si="2"/>
        <v>0</v>
      </c>
      <c r="E7" s="93">
        <f t="shared" si="2"/>
        <v>1</v>
      </c>
      <c r="F7" s="93">
        <f t="shared" si="2"/>
        <v>-1</v>
      </c>
      <c r="G7" s="93">
        <f t="shared" si="2"/>
        <v>6</v>
      </c>
      <c r="H7" s="93">
        <f t="shared" si="2"/>
        <v>-3</v>
      </c>
      <c r="I7" s="93">
        <f t="shared" si="2"/>
        <v>4</v>
      </c>
      <c r="J7" s="47"/>
      <c r="K7" s="47"/>
      <c r="L7" s="47"/>
      <c r="M7" s="49" t="s">
        <v>27</v>
      </c>
      <c r="N7" s="91"/>
      <c r="O7" s="91"/>
      <c r="P7" s="91"/>
      <c r="Q7" s="15"/>
    </row>
    <row r="8" spans="1:19" ht="15.6">
      <c r="A8" s="48" t="s">
        <v>28</v>
      </c>
      <c r="B8" s="74">
        <f>-(H2+B9*F5)/G5</f>
        <v>0.52956936820475475</v>
      </c>
      <c r="C8" s="47"/>
      <c r="D8" s="49">
        <f t="shared" ref="D8:I8" si="3">$B8*C10</f>
        <v>0</v>
      </c>
      <c r="E8" s="49">
        <f t="shared" si="3"/>
        <v>0</v>
      </c>
      <c r="F8" s="49">
        <f t="shared" si="3"/>
        <v>0.52956936820475475</v>
      </c>
      <c r="G8" s="49">
        <f t="shared" si="3"/>
        <v>-0.24912565246397164</v>
      </c>
      <c r="H8" s="49">
        <f t="shared" si="3"/>
        <v>2.6168899677855588</v>
      </c>
      <c r="I8" s="49">
        <f t="shared" si="3"/>
        <v>-1.2582145284740819E-3</v>
      </c>
      <c r="J8" s="47"/>
      <c r="K8" s="47"/>
      <c r="L8" s="49" t="s">
        <v>20</v>
      </c>
      <c r="M8" s="64">
        <f>B8^2+4*B9</f>
        <v>-2.956880440805314</v>
      </c>
      <c r="N8" s="91"/>
      <c r="O8" s="91"/>
      <c r="P8" s="91"/>
      <c r="Q8" s="15"/>
    </row>
    <row r="9" spans="1:19" ht="16.149999999999999" thickBot="1">
      <c r="A9" s="48" t="s">
        <v>29</v>
      </c>
      <c r="B9" s="75">
        <f>-I2/G5</f>
        <v>-0.80933103913652427</v>
      </c>
      <c r="C9" s="103"/>
      <c r="D9" s="97"/>
      <c r="E9" s="98">
        <f>$B9*C10</f>
        <v>0</v>
      </c>
      <c r="F9" s="98">
        <f>$B9*D10</f>
        <v>0</v>
      </c>
      <c r="G9" s="98">
        <f>$B9*E10</f>
        <v>-0.80933103913652427</v>
      </c>
      <c r="H9" s="98">
        <f>$B9*F10</f>
        <v>0.38073411207249747</v>
      </c>
      <c r="I9" s="98">
        <f>$B9*G10</f>
        <v>-3.9993443807251081</v>
      </c>
      <c r="J9" s="47"/>
      <c r="K9" s="47"/>
      <c r="L9" s="49" t="s">
        <v>22</v>
      </c>
      <c r="M9" s="48">
        <f>IF(M8&lt;0,B8/2,(B8+SQRT(M8))/2)</f>
        <v>0.26478468410237738</v>
      </c>
      <c r="N9" s="49" t="s">
        <v>30</v>
      </c>
      <c r="O9" s="49">
        <f>IF(M8&lt;0,SQRT(ABS(M8))/2,"")</f>
        <v>0.85977910546914815</v>
      </c>
      <c r="P9" s="49" t="str">
        <f>IF(M8&lt;0,"i","")</f>
        <v>i</v>
      </c>
      <c r="Q9" s="15"/>
    </row>
    <row r="10" spans="1:19" ht="15.6">
      <c r="A10" s="49" t="s">
        <v>23</v>
      </c>
      <c r="B10" s="67">
        <f>SQRT(SUMSQ(B8:B9))</f>
        <v>0.9671920422804301</v>
      </c>
      <c r="C10" s="67">
        <f t="shared" ref="C10:I10" si="4">SUM(C7:C9)</f>
        <v>0</v>
      </c>
      <c r="D10" s="67">
        <f t="shared" si="4"/>
        <v>0</v>
      </c>
      <c r="E10" s="67">
        <f t="shared" si="4"/>
        <v>1</v>
      </c>
      <c r="F10" s="67">
        <f t="shared" si="4"/>
        <v>-0.47043063179524525</v>
      </c>
      <c r="G10" s="67">
        <f t="shared" si="4"/>
        <v>4.9415433083995035</v>
      </c>
      <c r="H10" s="100">
        <f t="shared" si="4"/>
        <v>-2.3759201419437104E-3</v>
      </c>
      <c r="I10" s="100">
        <f t="shared" si="4"/>
        <v>-6.0259525358219435E-4</v>
      </c>
      <c r="J10" s="49">
        <f>ABS(B10-B5)</f>
        <v>2.1080494605631994E-3</v>
      </c>
      <c r="K10" s="48">
        <f>ABS(J10/B10)*100</f>
        <v>0.2179556249855896</v>
      </c>
      <c r="L10" s="49" t="s">
        <v>24</v>
      </c>
      <c r="M10" s="48">
        <f>IF(M8&lt;0,M9,(B8-SQRT(M8))/2)</f>
        <v>0.26478468410237738</v>
      </c>
      <c r="N10" s="104" t="s">
        <v>30</v>
      </c>
      <c r="O10" s="49">
        <f>IF(M8&lt;0,-O9,"")</f>
        <v>-0.85977910546914815</v>
      </c>
      <c r="P10" s="104" t="s">
        <v>25</v>
      </c>
      <c r="Q10" s="15"/>
    </row>
    <row r="11" spans="1:19" ht="15.6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91"/>
      <c r="M11" s="91"/>
      <c r="N11" s="91"/>
      <c r="O11" s="91"/>
      <c r="P11" s="91"/>
      <c r="Q11" s="15"/>
    </row>
    <row r="12" spans="1:19" ht="15.6">
      <c r="A12" s="47"/>
      <c r="B12" s="53" t="s">
        <v>31</v>
      </c>
      <c r="C12" s="92">
        <f t="shared" ref="C12:I12" si="5">C7</f>
        <v>0</v>
      </c>
      <c r="D12" s="75">
        <f t="shared" si="5"/>
        <v>0</v>
      </c>
      <c r="E12" s="93">
        <f t="shared" si="5"/>
        <v>1</v>
      </c>
      <c r="F12" s="93">
        <f t="shared" si="5"/>
        <v>-1</v>
      </c>
      <c r="G12" s="93">
        <f t="shared" si="5"/>
        <v>6</v>
      </c>
      <c r="H12" s="93">
        <f t="shared" si="5"/>
        <v>-3</v>
      </c>
      <c r="I12" s="93">
        <f t="shared" si="5"/>
        <v>4</v>
      </c>
      <c r="J12" s="47"/>
      <c r="K12" s="47"/>
      <c r="L12" s="91"/>
      <c r="M12" s="91"/>
      <c r="N12" s="91"/>
      <c r="O12" s="91"/>
      <c r="P12" s="91"/>
      <c r="Q12" s="15"/>
    </row>
    <row r="13" spans="1:19" ht="15.6">
      <c r="A13" s="48" t="s">
        <v>19</v>
      </c>
      <c r="B13" s="80">
        <f>-(H7+B14*F10)/G10</f>
        <v>0.53003754294530037</v>
      </c>
      <c r="C13" s="47"/>
      <c r="D13" s="48">
        <f t="shared" ref="D13:I13" si="6">$B13*C15</f>
        <v>0</v>
      </c>
      <c r="E13" s="49">
        <f t="shared" si="6"/>
        <v>0</v>
      </c>
      <c r="F13" s="49">
        <f t="shared" si="6"/>
        <v>0.53003754294530037</v>
      </c>
      <c r="G13" s="49">
        <f t="shared" si="6"/>
        <v>-0.24909774601380924</v>
      </c>
      <c r="H13" s="49">
        <f t="shared" si="6"/>
        <v>2.6191479422753656</v>
      </c>
      <c r="I13" s="49">
        <f t="shared" si="6"/>
        <v>-2.3030222982307864E-4</v>
      </c>
      <c r="J13" s="47"/>
      <c r="K13" s="47"/>
      <c r="L13" s="49" t="s">
        <v>20</v>
      </c>
      <c r="M13" s="64">
        <f>B13^2+4*B14</f>
        <v>-2.9569150596279217</v>
      </c>
      <c r="N13" s="91"/>
      <c r="O13" s="91"/>
      <c r="P13" s="91"/>
      <c r="Q13" s="15"/>
    </row>
    <row r="14" spans="1:19" ht="16.149999999999999" thickBot="1">
      <c r="A14" s="48" t="s">
        <v>21</v>
      </c>
      <c r="B14" s="75">
        <f>-I7/G10</f>
        <v>-0.80946371413985319</v>
      </c>
      <c r="C14" s="103"/>
      <c r="D14" s="97"/>
      <c r="E14" s="98">
        <f>$B14*C15</f>
        <v>0</v>
      </c>
      <c r="F14" s="98">
        <f>$B14*D15</f>
        <v>0</v>
      </c>
      <c r="G14" s="98">
        <f>$B14*E15</f>
        <v>-0.80946371413985319</v>
      </c>
      <c r="H14" s="98">
        <f>$B14*F15</f>
        <v>0.3804175559937884</v>
      </c>
      <c r="I14" s="98">
        <f>$B14*G15</f>
        <v>-3.9999151936578299</v>
      </c>
      <c r="J14" s="47"/>
      <c r="K14" s="47"/>
      <c r="L14" s="49" t="s">
        <v>22</v>
      </c>
      <c r="M14" s="48">
        <f>IF(M13&lt;0,B13/2,(B13+SQRT(M13))/2)</f>
        <v>0.26501877147265018</v>
      </c>
      <c r="N14" s="49" t="s">
        <v>30</v>
      </c>
      <c r="O14" s="49">
        <f>IF(M13&lt;0,SQRT(ABS(M13))/2,"")</f>
        <v>0.8597841385528</v>
      </c>
      <c r="P14" s="49" t="str">
        <f>IF(M13&lt;0,"i","")</f>
        <v>i</v>
      </c>
      <c r="Q14" s="15"/>
    </row>
    <row r="15" spans="1:19" ht="15.6">
      <c r="A15" s="48" t="s">
        <v>23</v>
      </c>
      <c r="B15" s="67">
        <f>SQRT(SUMSQ(B13:B14))</f>
        <v>0.96755945628192641</v>
      </c>
      <c r="C15" s="67">
        <f t="shared" ref="C15:I15" si="7">SUM(C12:C14)</f>
        <v>0</v>
      </c>
      <c r="D15" s="84">
        <f t="shared" si="7"/>
        <v>0</v>
      </c>
      <c r="E15" s="67">
        <f t="shared" si="7"/>
        <v>1</v>
      </c>
      <c r="F15" s="67">
        <f t="shared" si="7"/>
        <v>-0.46996245705469963</v>
      </c>
      <c r="G15" s="67">
        <f t="shared" si="7"/>
        <v>4.9414385398463381</v>
      </c>
      <c r="H15" s="100">
        <f t="shared" si="7"/>
        <v>-4.3450173084597088E-4</v>
      </c>
      <c r="I15" s="100">
        <f t="shared" si="7"/>
        <v>-1.4549588765300214E-4</v>
      </c>
      <c r="J15" s="105">
        <f>ABS(B15-B10)</f>
        <v>3.6741400149631342E-4</v>
      </c>
      <c r="K15" s="48">
        <f>ABS(J15/B15)*100</f>
        <v>3.797327379840694E-2</v>
      </c>
      <c r="L15" s="49" t="s">
        <v>24</v>
      </c>
      <c r="M15" s="48">
        <f>IF(M13&lt;0,M14,(B13-SQRT(M13))/2)</f>
        <v>0.26501877147265018</v>
      </c>
      <c r="N15" s="104" t="s">
        <v>30</v>
      </c>
      <c r="O15" s="49">
        <f>IF(M13&lt;0,-O14,"")</f>
        <v>-0.8597841385528</v>
      </c>
      <c r="P15" s="104" t="s">
        <v>25</v>
      </c>
      <c r="Q15" s="15"/>
    </row>
    <row r="16" spans="1:19" ht="15.6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91"/>
      <c r="M16" s="91"/>
      <c r="N16" s="91"/>
      <c r="O16" s="91"/>
      <c r="P16" s="91"/>
      <c r="Q16" s="15"/>
    </row>
    <row r="17" spans="1:17" ht="15.6">
      <c r="A17" s="47"/>
      <c r="B17" s="53" t="s">
        <v>32</v>
      </c>
      <c r="C17" s="92">
        <f t="shared" ref="C17:I17" si="8">C12</f>
        <v>0</v>
      </c>
      <c r="D17" s="106">
        <f t="shared" si="8"/>
        <v>0</v>
      </c>
      <c r="E17" s="106">
        <f t="shared" si="8"/>
        <v>1</v>
      </c>
      <c r="F17" s="106">
        <f t="shared" si="8"/>
        <v>-1</v>
      </c>
      <c r="G17" s="106">
        <f t="shared" si="8"/>
        <v>6</v>
      </c>
      <c r="H17" s="106">
        <f t="shared" si="8"/>
        <v>-3</v>
      </c>
      <c r="I17" s="106">
        <f t="shared" si="8"/>
        <v>4</v>
      </c>
      <c r="J17" s="47"/>
      <c r="K17" s="47"/>
      <c r="L17" s="91"/>
      <c r="M17" s="91"/>
      <c r="N17" s="91"/>
      <c r="O17" s="91"/>
      <c r="P17" s="91"/>
      <c r="Q17" s="15"/>
    </row>
    <row r="18" spans="1:17" ht="15.6">
      <c r="A18" s="47" t="s">
        <v>28</v>
      </c>
      <c r="B18" s="74">
        <f>-(H12+B19*F15)/G15</f>
        <v>0.53012384091319931</v>
      </c>
      <c r="C18" s="47"/>
      <c r="D18" s="49">
        <f t="shared" ref="D18:I18" si="9">$B18*C20</f>
        <v>0</v>
      </c>
      <c r="E18" s="96">
        <f t="shared" si="9"/>
        <v>0</v>
      </c>
      <c r="F18" s="96">
        <f t="shared" si="9"/>
        <v>0.53012384091319931</v>
      </c>
      <c r="G18" s="96">
        <f t="shared" si="9"/>
        <v>-0.24909255420863627</v>
      </c>
      <c r="H18" s="96">
        <f t="shared" si="9"/>
        <v>2.6195680325467943</v>
      </c>
      <c r="I18" s="96">
        <f t="shared" si="9"/>
        <v>-4.0396702478592553E-5</v>
      </c>
      <c r="J18" s="47"/>
      <c r="K18" s="47"/>
      <c r="L18" s="49" t="s">
        <v>20</v>
      </c>
      <c r="M18" s="64">
        <f>B18^2+4*B19</f>
        <v>-2.9568922189670355</v>
      </c>
      <c r="N18" s="91"/>
      <c r="O18" s="91"/>
      <c r="P18" s="91"/>
      <c r="Q18" s="15"/>
    </row>
    <row r="19" spans="1:17" ht="16.149999999999999" thickBot="1">
      <c r="A19" s="47" t="s">
        <v>29</v>
      </c>
      <c r="B19" s="75">
        <f>-I12/G15</f>
        <v>-0.80948087641789968</v>
      </c>
      <c r="C19" s="103"/>
      <c r="D19" s="97"/>
      <c r="E19" s="98">
        <f>$B19*C20</f>
        <v>0</v>
      </c>
      <c r="F19" s="98">
        <f>$B19*D20</f>
        <v>0</v>
      </c>
      <c r="G19" s="98">
        <f>$B19*E20</f>
        <v>-0.80948087641789968</v>
      </c>
      <c r="H19" s="98">
        <f>$B19*F20</f>
        <v>0.38035576506545987</v>
      </c>
      <c r="I19" s="98">
        <f>$B19*G20</f>
        <v>-3.9999903101311269</v>
      </c>
      <c r="J19" s="47"/>
      <c r="K19" s="47"/>
      <c r="L19" s="49" t="s">
        <v>22</v>
      </c>
      <c r="M19" s="48">
        <f>IF(M18&lt;0,B18/2,(B18+SQRT(M18))/2)</f>
        <v>0.26506192045659965</v>
      </c>
      <c r="N19" s="49" t="s">
        <v>30</v>
      </c>
      <c r="O19" s="49">
        <f>IF(M18&lt;0,SQRT(ABS(M18))/2,"")</f>
        <v>0.85978081784938587</v>
      </c>
      <c r="P19" s="49" t="str">
        <f>IF(M18&lt;0,"i","")</f>
        <v>i</v>
      </c>
      <c r="Q19" s="15"/>
    </row>
    <row r="20" spans="1:17" ht="15.6">
      <c r="A20" s="47" t="s">
        <v>23</v>
      </c>
      <c r="B20" s="84">
        <f>SQRT(SUMSQ(B18:B19))</f>
        <v>0.96762109112547456</v>
      </c>
      <c r="C20" s="67">
        <f t="shared" ref="C20:I20" si="10">SUM(C17:C19)</f>
        <v>0</v>
      </c>
      <c r="D20" s="67">
        <f t="shared" si="10"/>
        <v>0</v>
      </c>
      <c r="E20" s="99">
        <f t="shared" si="10"/>
        <v>1</v>
      </c>
      <c r="F20" s="67">
        <f t="shared" si="10"/>
        <v>-0.46987615908680069</v>
      </c>
      <c r="G20" s="67">
        <f t="shared" si="10"/>
        <v>4.9414265693734638</v>
      </c>
      <c r="H20" s="100">
        <f t="shared" si="10"/>
        <v>-7.6202387745860634E-5</v>
      </c>
      <c r="I20" s="107">
        <f t="shared" si="10"/>
        <v>-3.0706833605620432E-5</v>
      </c>
      <c r="J20" s="49">
        <f>ABS(B20-B15)</f>
        <v>6.1634843548152851E-5</v>
      </c>
      <c r="K20" s="49">
        <f>ABS(J20/B20)*100</f>
        <v>6.3697292373467353E-3</v>
      </c>
      <c r="L20" s="105" t="s">
        <v>24</v>
      </c>
      <c r="M20" s="48">
        <f>IF(M18&lt;0,M19,(B18-SQRT(M18))/2)</f>
        <v>0.26506192045659965</v>
      </c>
      <c r="N20" s="104" t="s">
        <v>30</v>
      </c>
      <c r="O20" s="49">
        <f>IF(M18&lt;0,-O19,"")</f>
        <v>-0.85978081784938587</v>
      </c>
      <c r="P20" s="104" t="s">
        <v>25</v>
      </c>
      <c r="Q20" s="15"/>
    </row>
    <row r="21" spans="1:17" ht="15.6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91"/>
      <c r="M21" s="91"/>
      <c r="N21" s="91"/>
      <c r="O21" s="91"/>
      <c r="P21" s="91"/>
      <c r="Q21" s="15"/>
    </row>
    <row r="22" spans="1:17" ht="15.6">
      <c r="A22" s="47"/>
      <c r="B22" s="53" t="s">
        <v>33</v>
      </c>
      <c r="C22" s="92">
        <f t="shared" ref="C22:I22" si="11">C17</f>
        <v>0</v>
      </c>
      <c r="D22" s="106">
        <f t="shared" si="11"/>
        <v>0</v>
      </c>
      <c r="E22" s="106">
        <f t="shared" si="11"/>
        <v>1</v>
      </c>
      <c r="F22" s="106">
        <f t="shared" si="11"/>
        <v>-1</v>
      </c>
      <c r="G22" s="106">
        <f t="shared" si="11"/>
        <v>6</v>
      </c>
      <c r="H22" s="106">
        <f t="shared" si="11"/>
        <v>-3</v>
      </c>
      <c r="I22" s="106">
        <f t="shared" si="11"/>
        <v>4</v>
      </c>
      <c r="J22" s="47"/>
      <c r="K22" s="47"/>
      <c r="L22" s="91"/>
      <c r="M22" s="91"/>
      <c r="N22" s="91"/>
      <c r="O22" s="91"/>
      <c r="P22" s="91"/>
      <c r="Q22" s="15"/>
    </row>
    <row r="23" spans="1:17" ht="15.6">
      <c r="A23" s="47" t="s">
        <v>28</v>
      </c>
      <c r="B23" s="74">
        <f>-(H17+B24*F20)/G20</f>
        <v>0.5301390755797647</v>
      </c>
      <c r="C23" s="47"/>
      <c r="D23" s="49">
        <f t="shared" ref="D23:I23" si="12">$B23*C25</f>
        <v>0</v>
      </c>
      <c r="E23" s="96">
        <f t="shared" si="12"/>
        <v>0</v>
      </c>
      <c r="F23" s="96">
        <f t="shared" si="12"/>
        <v>0.5301390755797647</v>
      </c>
      <c r="G23" s="96">
        <f t="shared" si="12"/>
        <v>-0.24909163612319724</v>
      </c>
      <c r="H23" s="96">
        <f t="shared" si="12"/>
        <v>2.6196427606719945</v>
      </c>
      <c r="I23" s="96">
        <f t="shared" si="12"/>
        <v>-6.8308748887393188E-6</v>
      </c>
      <c r="J23" s="47"/>
      <c r="K23" s="47"/>
      <c r="L23" s="48" t="s">
        <v>20</v>
      </c>
      <c r="M23" s="64">
        <f>B23^2+4*B24</f>
        <v>-2.9568839099975803</v>
      </c>
      <c r="N23" s="91"/>
      <c r="O23" s="91"/>
      <c r="P23" s="91"/>
      <c r="Q23" s="15"/>
    </row>
    <row r="24" spans="1:17" ht="16.149999999999999" thickBot="1">
      <c r="A24" s="47" t="s">
        <v>29</v>
      </c>
      <c r="B24" s="75">
        <f>-I17/G20</f>
        <v>-0.80948283736353699</v>
      </c>
      <c r="C24" s="103"/>
      <c r="D24" s="97"/>
      <c r="E24" s="98">
        <f>$B24*C25</f>
        <v>0</v>
      </c>
      <c r="F24" s="98">
        <f>$B24*D25</f>
        <v>0</v>
      </c>
      <c r="G24" s="98">
        <f>$B24*E25</f>
        <v>-0.80948283736353699</v>
      </c>
      <c r="H24" s="98">
        <f>$B24*F25</f>
        <v>0.38034435426594648</v>
      </c>
      <c r="I24" s="98">
        <f>$B24*G25</f>
        <v>-3.999999155822568</v>
      </c>
      <c r="J24" s="47"/>
      <c r="K24" s="47"/>
      <c r="L24" s="49" t="s">
        <v>22</v>
      </c>
      <c r="M24" s="84">
        <f>IF(M23&lt;0,B23/2,(B23+SQRT(M23))/2)</f>
        <v>0.26506953778988235</v>
      </c>
      <c r="N24" s="49" t="s">
        <v>30</v>
      </c>
      <c r="O24" s="49">
        <f>IF(M23&lt;0,SQRT(ABS(M23))/2,"")</f>
        <v>0.85977960984161228</v>
      </c>
      <c r="P24" s="49" t="str">
        <f>IF(M23&lt;0,"i","")</f>
        <v>i</v>
      </c>
      <c r="Q24" s="15"/>
    </row>
    <row r="25" spans="1:17" ht="15.6">
      <c r="A25" s="47" t="s">
        <v>23</v>
      </c>
      <c r="B25" s="84">
        <f>SQRT(SUMSQ(B23:B24))</f>
        <v>0.96763107817116423</v>
      </c>
      <c r="C25" s="67">
        <f t="shared" ref="C25:I25" si="13">SUM(C22:C24)</f>
        <v>0</v>
      </c>
      <c r="D25" s="67">
        <f t="shared" si="13"/>
        <v>0</v>
      </c>
      <c r="E25" s="67">
        <f t="shared" si="13"/>
        <v>1</v>
      </c>
      <c r="F25" s="67">
        <f t="shared" si="13"/>
        <v>-0.4698609244202353</v>
      </c>
      <c r="G25" s="67">
        <f t="shared" si="13"/>
        <v>4.9414255265132656</v>
      </c>
      <c r="H25" s="100">
        <f t="shared" si="13"/>
        <v>-1.2885062058987096E-5</v>
      </c>
      <c r="I25" s="100">
        <f t="shared" si="13"/>
        <v>-5.9866974568834053E-6</v>
      </c>
      <c r="J25" s="49">
        <f>ABS(B25-B20)</f>
        <v>9.9870456896633542E-6</v>
      </c>
      <c r="K25" s="49">
        <f>ABS(J25/B25)*100</f>
        <v>1.0321129524424749E-3</v>
      </c>
      <c r="L25" s="105" t="s">
        <v>24</v>
      </c>
      <c r="M25" s="49">
        <f>IF(M23&lt;0,M24,(B23-SQRT(M23))/2)</f>
        <v>0.26506953778988235</v>
      </c>
      <c r="N25" s="108" t="s">
        <v>30</v>
      </c>
      <c r="O25" s="67">
        <f>IF(M23&lt;0,-O24,"")</f>
        <v>-0.85977960984161228</v>
      </c>
      <c r="P25" s="108" t="s">
        <v>25</v>
      </c>
      <c r="Q25" s="15"/>
    </row>
    <row r="26" spans="1:17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</row>
    <row r="27" spans="1:17" ht="15.6">
      <c r="A27" s="46" t="s">
        <v>34</v>
      </c>
      <c r="B27" s="47"/>
      <c r="C27" s="48" t="s">
        <v>1</v>
      </c>
      <c r="D27" s="49" t="s">
        <v>2</v>
      </c>
      <c r="E27" s="49" t="s">
        <v>3</v>
      </c>
      <c r="F27" s="49" t="s">
        <v>4</v>
      </c>
      <c r="G27" s="49" t="s">
        <v>5</v>
      </c>
      <c r="H27" s="49" t="s">
        <v>6</v>
      </c>
      <c r="I27" s="49" t="s">
        <v>7</v>
      </c>
      <c r="J27" s="50" t="s">
        <v>9</v>
      </c>
      <c r="K27" s="51" t="s">
        <v>10</v>
      </c>
      <c r="L27" s="91"/>
      <c r="M27" s="91"/>
      <c r="N27" s="91"/>
      <c r="O27" s="91"/>
      <c r="P27" s="91"/>
      <c r="Q27" s="15"/>
    </row>
    <row r="28" spans="1:17" ht="15.6">
      <c r="A28" s="47"/>
      <c r="B28" s="53" t="s">
        <v>18</v>
      </c>
      <c r="C28" s="92">
        <v>0</v>
      </c>
      <c r="D28" s="93">
        <v>0</v>
      </c>
      <c r="E28" s="57">
        <v>0</v>
      </c>
      <c r="F28" s="57">
        <v>0</v>
      </c>
      <c r="G28" s="57">
        <v>1</v>
      </c>
      <c r="H28" s="57">
        <v>-0.4698579243461436</v>
      </c>
      <c r="I28" s="57">
        <v>4.9414256267360051</v>
      </c>
      <c r="J28" s="94">
        <v>0.02</v>
      </c>
      <c r="K28" s="95"/>
      <c r="L28" s="47"/>
      <c r="M28" s="47"/>
      <c r="N28" s="91"/>
      <c r="O28" s="91"/>
      <c r="P28" s="91"/>
      <c r="Q28" s="15"/>
    </row>
    <row r="29" spans="1:17" ht="15.6">
      <c r="A29" s="48" t="s">
        <v>19</v>
      </c>
      <c r="B29" s="90">
        <v>1</v>
      </c>
      <c r="C29" s="47"/>
      <c r="D29" s="49">
        <f t="shared" ref="D29" si="14">$B29*C31</f>
        <v>0</v>
      </c>
      <c r="E29" s="96">
        <f t="shared" ref="E29" si="15">$B29*D31</f>
        <v>0</v>
      </c>
      <c r="F29" s="96">
        <f t="shared" ref="F29" si="16">$B29*E31</f>
        <v>0</v>
      </c>
      <c r="G29" s="96">
        <f t="shared" ref="G29" si="17">$B29*F31</f>
        <v>0</v>
      </c>
      <c r="H29" s="96">
        <f t="shared" ref="H29" si="18">$B29*G31</f>
        <v>1</v>
      </c>
      <c r="I29" s="96">
        <f t="shared" ref="I29" si="19">$B29*H31</f>
        <v>0.5301420756538564</v>
      </c>
      <c r="J29" s="47"/>
      <c r="K29" s="47"/>
      <c r="L29" s="49" t="s">
        <v>20</v>
      </c>
      <c r="M29" s="64">
        <f>B29^2+4*B30</f>
        <v>-3</v>
      </c>
      <c r="N29" s="91"/>
      <c r="O29" s="91"/>
      <c r="P29" s="91"/>
      <c r="Q29" s="15"/>
    </row>
    <row r="30" spans="1:17" ht="16.149999999999999" thickBot="1">
      <c r="A30" s="48" t="s">
        <v>21</v>
      </c>
      <c r="B30" s="74">
        <v>-1</v>
      </c>
      <c r="C30" s="97"/>
      <c r="D30" s="97"/>
      <c r="E30" s="98">
        <f>$B30*C31</f>
        <v>0</v>
      </c>
      <c r="F30" s="98">
        <f>$B30*D31</f>
        <v>0</v>
      </c>
      <c r="G30" s="98">
        <f>$B30*E31</f>
        <v>0</v>
      </c>
      <c r="H30" s="98">
        <f>$B30*F31</f>
        <v>0</v>
      </c>
      <c r="I30" s="98">
        <f>$B30*G31</f>
        <v>-1</v>
      </c>
      <c r="J30" s="47"/>
      <c r="K30" s="47"/>
      <c r="L30" s="49" t="s">
        <v>22</v>
      </c>
      <c r="M30" s="49">
        <f>IF(M29&lt;0,B29/2,(B29+SQRT(M29))/2)</f>
        <v>0.5</v>
      </c>
      <c r="N30" s="47" t="str">
        <f>IF(M29&lt;0,"+","")</f>
        <v>+</v>
      </c>
      <c r="O30" s="47">
        <f>IF(M29&lt;0,SQRT(ABS(M29))/2,"")</f>
        <v>0.8660254037844386</v>
      </c>
      <c r="P30" s="47" t="str">
        <f>IF(M29&lt;0,"i","")</f>
        <v>i</v>
      </c>
      <c r="Q30" s="15"/>
    </row>
    <row r="31" spans="1:17" ht="15.6">
      <c r="A31" s="48" t="s">
        <v>23</v>
      </c>
      <c r="B31" s="67">
        <f>SQRT(SUMSQ(B29:B30))</f>
        <v>1.4142135623730951</v>
      </c>
      <c r="C31" s="99">
        <f t="shared" ref="C31:I31" si="20">SUM(C28:C30)</f>
        <v>0</v>
      </c>
      <c r="D31" s="67">
        <f t="shared" si="20"/>
        <v>0</v>
      </c>
      <c r="E31" s="99">
        <f t="shared" si="20"/>
        <v>0</v>
      </c>
      <c r="F31" s="67">
        <f t="shared" si="20"/>
        <v>0</v>
      </c>
      <c r="G31" s="67">
        <f t="shared" si="20"/>
        <v>1</v>
      </c>
      <c r="H31" s="100">
        <f t="shared" si="20"/>
        <v>0.5301420756538564</v>
      </c>
      <c r="I31" s="100">
        <f t="shared" si="20"/>
        <v>4.4715677023898612</v>
      </c>
      <c r="J31" s="47"/>
      <c r="K31" s="47"/>
      <c r="L31" s="49" t="s">
        <v>24</v>
      </c>
      <c r="M31" s="49">
        <f>IF(M29&lt;0,M30,(B29-SQRT(M29))/2)</f>
        <v>0.5</v>
      </c>
      <c r="N31" s="101" t="str">
        <f>IF(M29&lt;0,"+","")</f>
        <v>+</v>
      </c>
      <c r="O31" s="47">
        <f>IF(M29&lt;0,-O30,"")</f>
        <v>-0.8660254037844386</v>
      </c>
      <c r="P31" s="101"/>
      <c r="Q31" s="15"/>
    </row>
    <row r="32" spans="1:17" ht="15.6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91"/>
      <c r="M32" s="91"/>
      <c r="N32" s="91"/>
      <c r="O32" s="91"/>
      <c r="P32" s="91"/>
      <c r="Q32" s="15"/>
    </row>
    <row r="33" spans="1:17" ht="15.6">
      <c r="A33" s="47"/>
      <c r="B33" s="53" t="s">
        <v>26</v>
      </c>
      <c r="C33" s="102">
        <f t="shared" ref="C33:I33" si="21">C28</f>
        <v>0</v>
      </c>
      <c r="D33" s="93">
        <f t="shared" si="21"/>
        <v>0</v>
      </c>
      <c r="E33" s="93">
        <f t="shared" si="21"/>
        <v>0</v>
      </c>
      <c r="F33" s="93">
        <f t="shared" si="21"/>
        <v>0</v>
      </c>
      <c r="G33" s="93">
        <f t="shared" si="21"/>
        <v>1</v>
      </c>
      <c r="H33" s="93">
        <f t="shared" si="21"/>
        <v>-0.4698579243461436</v>
      </c>
      <c r="I33" s="93">
        <f t="shared" si="21"/>
        <v>4.9414256267360051</v>
      </c>
      <c r="J33" s="47"/>
      <c r="K33" s="47"/>
      <c r="L33" s="47"/>
      <c r="M33" s="49" t="s">
        <v>27</v>
      </c>
      <c r="N33" s="91"/>
      <c r="O33" s="91"/>
      <c r="P33" s="91"/>
      <c r="Q33" s="15"/>
    </row>
    <row r="34" spans="1:17" ht="15.6">
      <c r="A34" s="48" t="s">
        <v>28</v>
      </c>
      <c r="B34" s="74">
        <f>-(H28+B35*F31)/G31</f>
        <v>0.4698579243461436</v>
      </c>
      <c r="C34" s="47"/>
      <c r="D34" s="49">
        <f t="shared" ref="D34" si="22">$B34*C36</f>
        <v>0</v>
      </c>
      <c r="E34" s="49">
        <f t="shared" ref="E34" si="23">$B34*D36</f>
        <v>0</v>
      </c>
      <c r="F34" s="49">
        <f t="shared" ref="F34" si="24">$B34*E36</f>
        <v>0</v>
      </c>
      <c r="G34" s="49">
        <f t="shared" ref="G34" si="25">$B34*F36</f>
        <v>0</v>
      </c>
      <c r="H34" s="49">
        <f t="shared" ref="H34" si="26">$B34*G36</f>
        <v>0.4698579243461436</v>
      </c>
      <c r="I34" s="49">
        <f t="shared" ref="I34" si="27">$B34*H36</f>
        <v>0</v>
      </c>
      <c r="J34" s="47"/>
      <c r="K34" s="47"/>
      <c r="L34" s="49" t="s">
        <v>20</v>
      </c>
      <c r="M34" s="64">
        <f>B34^2+4*B35</f>
        <v>-19.544936037873153</v>
      </c>
      <c r="N34" s="91"/>
      <c r="O34" s="91"/>
      <c r="P34" s="91"/>
      <c r="Q34" s="15"/>
    </row>
    <row r="35" spans="1:17" ht="16.149999999999999" thickBot="1">
      <c r="A35" s="48" t="s">
        <v>29</v>
      </c>
      <c r="B35" s="75">
        <f>-I28/G31</f>
        <v>-4.9414256267360051</v>
      </c>
      <c r="C35" s="103"/>
      <c r="D35" s="97"/>
      <c r="E35" s="98">
        <f>$B35*C36</f>
        <v>0</v>
      </c>
      <c r="F35" s="98">
        <f>$B35*D36</f>
        <v>0</v>
      </c>
      <c r="G35" s="98">
        <f>$B35*E36</f>
        <v>0</v>
      </c>
      <c r="H35" s="98">
        <f>$B35*F36</f>
        <v>0</v>
      </c>
      <c r="I35" s="98">
        <f>$B35*G36</f>
        <v>-4.9414256267360051</v>
      </c>
      <c r="J35" s="47"/>
      <c r="K35" s="47"/>
      <c r="L35" s="49" t="s">
        <v>22</v>
      </c>
      <c r="M35" s="48">
        <f>IF(M34&lt;0,B34/2,(B34+SQRT(M34))/2)</f>
        <v>0.2349289621730718</v>
      </c>
      <c r="N35" s="49" t="s">
        <v>30</v>
      </c>
      <c r="O35" s="49">
        <f>IF(M34&lt;0,SQRT(ABS(M34))/2,"")</f>
        <v>2.2104827548452595</v>
      </c>
      <c r="P35" s="49" t="str">
        <f>IF(M34&lt;0,"i","")</f>
        <v>i</v>
      </c>
      <c r="Q35" s="15"/>
    </row>
    <row r="36" spans="1:17" ht="15.6">
      <c r="A36" s="49" t="s">
        <v>23</v>
      </c>
      <c r="B36" s="67">
        <f>SQRT(SUMSQ(B34:B35))</f>
        <v>4.9637136998052362</v>
      </c>
      <c r="C36" s="67">
        <f t="shared" ref="C36:I36" si="28">SUM(C33:C35)</f>
        <v>0</v>
      </c>
      <c r="D36" s="67">
        <f t="shared" si="28"/>
        <v>0</v>
      </c>
      <c r="E36" s="67">
        <f t="shared" si="28"/>
        <v>0</v>
      </c>
      <c r="F36" s="67">
        <f t="shared" si="28"/>
        <v>0</v>
      </c>
      <c r="G36" s="67">
        <f t="shared" si="28"/>
        <v>1</v>
      </c>
      <c r="H36" s="100">
        <f t="shared" si="28"/>
        <v>0</v>
      </c>
      <c r="I36" s="100">
        <f t="shared" si="28"/>
        <v>0</v>
      </c>
      <c r="J36" s="49">
        <f>ABS(B36-B31)</f>
        <v>3.5495001374321413</v>
      </c>
      <c r="K36" s="48">
        <f>ABS(J36/B36)*100</f>
        <v>71.508961880122428</v>
      </c>
      <c r="L36" s="49" t="s">
        <v>24</v>
      </c>
      <c r="M36" s="48">
        <f>IF(M34&lt;0,M35,(B34-SQRT(M34))/2)</f>
        <v>0.2349289621730718</v>
      </c>
      <c r="N36" s="104" t="s">
        <v>30</v>
      </c>
      <c r="O36" s="49">
        <f>IF(M34&lt;0,-O35,"")</f>
        <v>-2.2104827548452595</v>
      </c>
      <c r="P36" s="104" t="s">
        <v>25</v>
      </c>
      <c r="Q36" s="15"/>
    </row>
    <row r="37" spans="1:17" ht="15.6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91"/>
      <c r="M37" s="91"/>
      <c r="N37" s="91"/>
      <c r="O37" s="91"/>
      <c r="P37" s="91"/>
      <c r="Q37" s="15"/>
    </row>
    <row r="38" spans="1:17" ht="15.6">
      <c r="A38" s="47"/>
      <c r="B38" s="53" t="s">
        <v>31</v>
      </c>
      <c r="C38" s="92">
        <f t="shared" ref="C38:I38" si="29">C33</f>
        <v>0</v>
      </c>
      <c r="D38" s="75">
        <f t="shared" si="29"/>
        <v>0</v>
      </c>
      <c r="E38" s="93">
        <f t="shared" si="29"/>
        <v>0</v>
      </c>
      <c r="F38" s="93">
        <f t="shared" si="29"/>
        <v>0</v>
      </c>
      <c r="G38" s="93">
        <f t="shared" si="29"/>
        <v>1</v>
      </c>
      <c r="H38" s="93">
        <f t="shared" si="29"/>
        <v>-0.4698579243461436</v>
      </c>
      <c r="I38" s="93">
        <f t="shared" si="29"/>
        <v>4.9414256267360051</v>
      </c>
      <c r="J38" s="47"/>
      <c r="K38" s="47"/>
      <c r="L38" s="91"/>
      <c r="M38" s="91"/>
      <c r="N38" s="91"/>
      <c r="O38" s="91"/>
      <c r="P38" s="91"/>
      <c r="Q38" s="15"/>
    </row>
    <row r="39" spans="1:17" ht="15.6">
      <c r="A39" s="48" t="s">
        <v>19</v>
      </c>
      <c r="B39" s="80">
        <f>-(H33+B40*F36)/G36</f>
        <v>0.4698579243461436</v>
      </c>
      <c r="C39" s="47"/>
      <c r="D39" s="48">
        <f t="shared" ref="D39" si="30">$B39*C41</f>
        <v>0</v>
      </c>
      <c r="E39" s="49">
        <f t="shared" ref="E39" si="31">$B39*D41</f>
        <v>0</v>
      </c>
      <c r="F39" s="49">
        <f t="shared" ref="F39" si="32">$B39*E41</f>
        <v>0</v>
      </c>
      <c r="G39" s="49">
        <f t="shared" ref="G39" si="33">$B39*F41</f>
        <v>0</v>
      </c>
      <c r="H39" s="49">
        <f t="shared" ref="H39" si="34">$B39*G41</f>
        <v>0.4698579243461436</v>
      </c>
      <c r="I39" s="49">
        <f t="shared" ref="I39" si="35">$B39*H41</f>
        <v>0</v>
      </c>
      <c r="J39" s="47"/>
      <c r="K39" s="47"/>
      <c r="L39" s="49" t="s">
        <v>20</v>
      </c>
      <c r="M39" s="64">
        <f>B39^2+4*B40</f>
        <v>-19.544936037873153</v>
      </c>
      <c r="N39" s="91"/>
      <c r="O39" s="91"/>
      <c r="P39" s="91"/>
      <c r="Q39" s="15"/>
    </row>
    <row r="40" spans="1:17" ht="16.149999999999999" thickBot="1">
      <c r="A40" s="48" t="s">
        <v>21</v>
      </c>
      <c r="B40" s="75">
        <f>-I33/G36</f>
        <v>-4.9414256267360051</v>
      </c>
      <c r="C40" s="103"/>
      <c r="D40" s="97"/>
      <c r="E40" s="98">
        <f>$B40*C41</f>
        <v>0</v>
      </c>
      <c r="F40" s="98">
        <f>$B40*D41</f>
        <v>0</v>
      </c>
      <c r="G40" s="98">
        <f>$B40*E41</f>
        <v>0</v>
      </c>
      <c r="H40" s="98">
        <f>$B40*F41</f>
        <v>0</v>
      </c>
      <c r="I40" s="98">
        <f>$B40*G41</f>
        <v>-4.9414256267360051</v>
      </c>
      <c r="J40" s="47"/>
      <c r="K40" s="47"/>
      <c r="L40" s="49" t="s">
        <v>22</v>
      </c>
      <c r="M40" s="48">
        <f>IF(M39&lt;0,B39/2,(B39+SQRT(M39))/2)</f>
        <v>0.2349289621730718</v>
      </c>
      <c r="N40" s="49" t="s">
        <v>30</v>
      </c>
      <c r="O40" s="49">
        <f>IF(M39&lt;0,SQRT(ABS(M39))/2,"")</f>
        <v>2.2104827548452595</v>
      </c>
      <c r="P40" s="49" t="str">
        <f>IF(M39&lt;0,"i","")</f>
        <v>i</v>
      </c>
      <c r="Q40" s="15"/>
    </row>
    <row r="41" spans="1:17" ht="15.6">
      <c r="A41" s="48" t="s">
        <v>23</v>
      </c>
      <c r="B41" s="67">
        <f>SQRT(SUMSQ(B39:B40))</f>
        <v>4.9637136998052362</v>
      </c>
      <c r="C41" s="67">
        <f t="shared" ref="C41:I41" si="36">SUM(C38:C40)</f>
        <v>0</v>
      </c>
      <c r="D41" s="84">
        <f t="shared" si="36"/>
        <v>0</v>
      </c>
      <c r="E41" s="67">
        <f t="shared" si="36"/>
        <v>0</v>
      </c>
      <c r="F41" s="67">
        <f t="shared" si="36"/>
        <v>0</v>
      </c>
      <c r="G41" s="67">
        <f t="shared" si="36"/>
        <v>1</v>
      </c>
      <c r="H41" s="100">
        <f t="shared" si="36"/>
        <v>0</v>
      </c>
      <c r="I41" s="100">
        <f t="shared" si="36"/>
        <v>0</v>
      </c>
      <c r="J41" s="105">
        <f>ABS(B41-B36)</f>
        <v>0</v>
      </c>
      <c r="K41" s="48">
        <f>ABS(J41/B41)*100</f>
        <v>0</v>
      </c>
      <c r="L41" s="49" t="s">
        <v>24</v>
      </c>
      <c r="M41" s="48">
        <f>IF(M39&lt;0,M40,(B39-SQRT(M39))/2)</f>
        <v>0.2349289621730718</v>
      </c>
      <c r="N41" s="104" t="s">
        <v>30</v>
      </c>
      <c r="O41" s="49">
        <f>IF(M39&lt;0,-O40,"")</f>
        <v>-2.2104827548452595</v>
      </c>
      <c r="P41" s="104" t="s">
        <v>25</v>
      </c>
      <c r="Q41" s="15"/>
    </row>
    <row r="42" spans="1:17" ht="15.6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91"/>
      <c r="M42" s="91"/>
      <c r="N42" s="91"/>
      <c r="O42" s="91"/>
      <c r="P42" s="91"/>
      <c r="Q42" s="15"/>
    </row>
    <row r="43" spans="1:17" ht="15.6">
      <c r="A43" s="47"/>
      <c r="B43" s="53" t="s">
        <v>32</v>
      </c>
      <c r="C43" s="92">
        <f t="shared" ref="C43:I43" si="37">C38</f>
        <v>0</v>
      </c>
      <c r="D43" s="106">
        <f t="shared" si="37"/>
        <v>0</v>
      </c>
      <c r="E43" s="106">
        <f t="shared" si="37"/>
        <v>0</v>
      </c>
      <c r="F43" s="106">
        <f t="shared" si="37"/>
        <v>0</v>
      </c>
      <c r="G43" s="106">
        <f t="shared" si="37"/>
        <v>1</v>
      </c>
      <c r="H43" s="106">
        <f t="shared" si="37"/>
        <v>-0.4698579243461436</v>
      </c>
      <c r="I43" s="106">
        <f t="shared" si="37"/>
        <v>4.9414256267360051</v>
      </c>
      <c r="J43" s="47"/>
      <c r="K43" s="47"/>
      <c r="L43" s="91"/>
      <c r="M43" s="91"/>
      <c r="N43" s="91"/>
      <c r="O43" s="91"/>
      <c r="P43" s="91"/>
      <c r="Q43" s="15"/>
    </row>
    <row r="44" spans="1:17" ht="15.6">
      <c r="A44" s="47" t="s">
        <v>28</v>
      </c>
      <c r="B44" s="74">
        <f>-(H38+B45*F41)/G41</f>
        <v>0.4698579243461436</v>
      </c>
      <c r="C44" s="47"/>
      <c r="D44" s="49">
        <f t="shared" ref="D44" si="38">$B44*C46</f>
        <v>0</v>
      </c>
      <c r="E44" s="96">
        <f t="shared" ref="E44" si="39">$B44*D46</f>
        <v>0</v>
      </c>
      <c r="F44" s="96">
        <f t="shared" ref="F44" si="40">$B44*E46</f>
        <v>0</v>
      </c>
      <c r="G44" s="96">
        <f t="shared" ref="G44" si="41">$B44*F46</f>
        <v>0</v>
      </c>
      <c r="H44" s="96">
        <f t="shared" ref="H44" si="42">$B44*G46</f>
        <v>0.4698579243461436</v>
      </c>
      <c r="I44" s="96">
        <f t="shared" ref="I44" si="43">$B44*H46</f>
        <v>0</v>
      </c>
      <c r="J44" s="47"/>
      <c r="K44" s="47"/>
      <c r="L44" s="49" t="s">
        <v>20</v>
      </c>
      <c r="M44" s="64">
        <f>B44^2+4*B45</f>
        <v>-19.544936037873153</v>
      </c>
      <c r="N44" s="91"/>
      <c r="O44" s="91"/>
      <c r="P44" s="91"/>
      <c r="Q44" s="15"/>
    </row>
    <row r="45" spans="1:17" ht="16.149999999999999" thickBot="1">
      <c r="A45" s="47" t="s">
        <v>29</v>
      </c>
      <c r="B45" s="75">
        <f>-I38/G41</f>
        <v>-4.9414256267360051</v>
      </c>
      <c r="C45" s="103"/>
      <c r="D45" s="97"/>
      <c r="E45" s="98">
        <f>$B45*C46</f>
        <v>0</v>
      </c>
      <c r="F45" s="98">
        <f>$B45*D46</f>
        <v>0</v>
      </c>
      <c r="G45" s="98">
        <f>$B45*E46</f>
        <v>0</v>
      </c>
      <c r="H45" s="98">
        <f>$B45*F46</f>
        <v>0</v>
      </c>
      <c r="I45" s="98">
        <f>$B45*G46</f>
        <v>-4.9414256267360051</v>
      </c>
      <c r="J45" s="47"/>
      <c r="K45" s="47"/>
      <c r="L45" s="49" t="s">
        <v>22</v>
      </c>
      <c r="M45" s="48">
        <f>IF(M44&lt;0,B44/2,(B44+SQRT(M44))/2)</f>
        <v>0.2349289621730718</v>
      </c>
      <c r="N45" s="49" t="s">
        <v>30</v>
      </c>
      <c r="O45" s="49">
        <f>IF(M44&lt;0,SQRT(ABS(M44))/2,"")</f>
        <v>2.2104827548452595</v>
      </c>
      <c r="P45" s="49" t="str">
        <f>IF(M44&lt;0,"i","")</f>
        <v>i</v>
      </c>
      <c r="Q45" s="15"/>
    </row>
    <row r="46" spans="1:17" ht="15.6">
      <c r="A46" s="47" t="s">
        <v>23</v>
      </c>
      <c r="B46" s="84">
        <f>SQRT(SUMSQ(B44:B45))</f>
        <v>4.9637136998052362</v>
      </c>
      <c r="C46" s="67">
        <f t="shared" ref="C46:I46" si="44">SUM(C43:C45)</f>
        <v>0</v>
      </c>
      <c r="D46" s="67">
        <f t="shared" si="44"/>
        <v>0</v>
      </c>
      <c r="E46" s="99">
        <f t="shared" si="44"/>
        <v>0</v>
      </c>
      <c r="F46" s="67">
        <f t="shared" si="44"/>
        <v>0</v>
      </c>
      <c r="G46" s="67">
        <f t="shared" si="44"/>
        <v>1</v>
      </c>
      <c r="H46" s="100">
        <f t="shared" si="44"/>
        <v>0</v>
      </c>
      <c r="I46" s="107">
        <f t="shared" si="44"/>
        <v>0</v>
      </c>
      <c r="J46" s="49">
        <f>ABS(B46-B41)</f>
        <v>0</v>
      </c>
      <c r="K46" s="49">
        <f>ABS(J46/B46)*100</f>
        <v>0</v>
      </c>
      <c r="L46" s="105" t="s">
        <v>24</v>
      </c>
      <c r="M46" s="48">
        <f>IF(M44&lt;0,M45,(B44-SQRT(M44))/2)</f>
        <v>0.2349289621730718</v>
      </c>
      <c r="N46" s="104" t="s">
        <v>30</v>
      </c>
      <c r="O46" s="49">
        <f>IF(M44&lt;0,-O45,"")</f>
        <v>-2.2104827548452595</v>
      </c>
      <c r="P46" s="104" t="s">
        <v>25</v>
      </c>
      <c r="Q46" s="15"/>
    </row>
    <row r="47" spans="1:17" ht="15.6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91"/>
      <c r="M47" s="91"/>
      <c r="N47" s="91"/>
      <c r="O47" s="91"/>
      <c r="P47" s="91"/>
      <c r="Q47" s="15"/>
    </row>
    <row r="48" spans="1:17" ht="15.6">
      <c r="A48" s="47"/>
      <c r="B48" s="53" t="s">
        <v>33</v>
      </c>
      <c r="C48" s="92">
        <f t="shared" ref="C48:I48" si="45">C43</f>
        <v>0</v>
      </c>
      <c r="D48" s="106">
        <f t="shared" si="45"/>
        <v>0</v>
      </c>
      <c r="E48" s="106">
        <f t="shared" si="45"/>
        <v>0</v>
      </c>
      <c r="F48" s="106">
        <f t="shared" si="45"/>
        <v>0</v>
      </c>
      <c r="G48" s="106">
        <f t="shared" si="45"/>
        <v>1</v>
      </c>
      <c r="H48" s="106">
        <f t="shared" si="45"/>
        <v>-0.4698579243461436</v>
      </c>
      <c r="I48" s="106">
        <f t="shared" si="45"/>
        <v>4.9414256267360051</v>
      </c>
      <c r="J48" s="47"/>
      <c r="K48" s="47"/>
      <c r="L48" s="91"/>
      <c r="M48" s="91"/>
      <c r="N48" s="91"/>
      <c r="O48" s="91"/>
      <c r="P48" s="91"/>
      <c r="Q48" s="15"/>
    </row>
    <row r="49" spans="1:17" ht="15.6">
      <c r="A49" s="47" t="s">
        <v>28</v>
      </c>
      <c r="B49" s="74">
        <f>-(H43+B50*F46)/G46</f>
        <v>0.4698579243461436</v>
      </c>
      <c r="C49" s="47"/>
      <c r="D49" s="49">
        <f t="shared" ref="D49" si="46">$B49*C51</f>
        <v>0</v>
      </c>
      <c r="E49" s="96">
        <f t="shared" ref="E49" si="47">$B49*D51</f>
        <v>0</v>
      </c>
      <c r="F49" s="96">
        <f t="shared" ref="F49" si="48">$B49*E51</f>
        <v>0</v>
      </c>
      <c r="G49" s="96">
        <f t="shared" ref="G49" si="49">$B49*F51</f>
        <v>0</v>
      </c>
      <c r="H49" s="96">
        <f t="shared" ref="H49" si="50">$B49*G51</f>
        <v>0.4698579243461436</v>
      </c>
      <c r="I49" s="96">
        <f t="shared" ref="I49" si="51">$B49*H51</f>
        <v>0</v>
      </c>
      <c r="J49" s="47"/>
      <c r="K49" s="47"/>
      <c r="L49" s="48" t="s">
        <v>20</v>
      </c>
      <c r="M49" s="64">
        <f>B49^2+4*B50</f>
        <v>-19.544936037873153</v>
      </c>
      <c r="N49" s="91"/>
      <c r="O49" s="91"/>
      <c r="P49" s="91"/>
      <c r="Q49" s="15"/>
    </row>
    <row r="50" spans="1:17" ht="16.149999999999999" thickBot="1">
      <c r="A50" s="47" t="s">
        <v>29</v>
      </c>
      <c r="B50" s="75">
        <f>-I43/G46</f>
        <v>-4.9414256267360051</v>
      </c>
      <c r="C50" s="103"/>
      <c r="D50" s="97"/>
      <c r="E50" s="98">
        <f>$B50*C51</f>
        <v>0</v>
      </c>
      <c r="F50" s="98">
        <f>$B50*D51</f>
        <v>0</v>
      </c>
      <c r="G50" s="98">
        <f>$B50*E51</f>
        <v>0</v>
      </c>
      <c r="H50" s="98">
        <f>$B50*F51</f>
        <v>0</v>
      </c>
      <c r="I50" s="98">
        <f>$B50*G51</f>
        <v>-4.9414256267360051</v>
      </c>
      <c r="J50" s="47"/>
      <c r="K50" s="47"/>
      <c r="L50" s="49" t="s">
        <v>22</v>
      </c>
      <c r="M50" s="84">
        <f>IF(M49&lt;0,B49/2,(B49+SQRT(M49))/2)</f>
        <v>0.2349289621730718</v>
      </c>
      <c r="N50" s="49" t="s">
        <v>30</v>
      </c>
      <c r="O50" s="49">
        <f>IF(M49&lt;0,SQRT(ABS(M49))/2,"")</f>
        <v>2.2104827548452595</v>
      </c>
      <c r="P50" s="49" t="str">
        <f>IF(M49&lt;0,"i","")</f>
        <v>i</v>
      </c>
      <c r="Q50" s="15"/>
    </row>
    <row r="51" spans="1:17" ht="15.6">
      <c r="A51" s="47" t="s">
        <v>23</v>
      </c>
      <c r="B51" s="84">
        <f>SQRT(SUMSQ(B49:B50))</f>
        <v>4.9637136998052362</v>
      </c>
      <c r="C51" s="67">
        <f t="shared" ref="C51:I51" si="52">SUM(C48:C50)</f>
        <v>0</v>
      </c>
      <c r="D51" s="67">
        <f t="shared" si="52"/>
        <v>0</v>
      </c>
      <c r="E51" s="67">
        <f t="shared" si="52"/>
        <v>0</v>
      </c>
      <c r="F51" s="67">
        <f t="shared" si="52"/>
        <v>0</v>
      </c>
      <c r="G51" s="67">
        <f t="shared" si="52"/>
        <v>1</v>
      </c>
      <c r="H51" s="100">
        <f t="shared" si="52"/>
        <v>0</v>
      </c>
      <c r="I51" s="100">
        <f t="shared" si="52"/>
        <v>0</v>
      </c>
      <c r="J51" s="49">
        <f>ABS(B51-B46)</f>
        <v>0</v>
      </c>
      <c r="K51" s="49">
        <f>ABS(J51/B51)*100</f>
        <v>0</v>
      </c>
      <c r="L51" s="105" t="s">
        <v>24</v>
      </c>
      <c r="M51" s="49">
        <f>IF(M49&lt;0,M50,(B49-SQRT(M49))/2)</f>
        <v>0.2349289621730718</v>
      </c>
      <c r="N51" s="108" t="s">
        <v>30</v>
      </c>
      <c r="O51" s="67">
        <f>IF(M49&lt;0,-O50,"")</f>
        <v>-2.2104827548452595</v>
      </c>
      <c r="P51" s="108" t="s">
        <v>25</v>
      </c>
      <c r="Q51" s="15"/>
    </row>
  </sheetData>
  <conditionalFormatting sqref="B10">
    <cfRule type="expression" dxfId="191" priority="8">
      <formula>J10&lt;$J$2</formula>
    </cfRule>
  </conditionalFormatting>
  <conditionalFormatting sqref="B15">
    <cfRule type="expression" dxfId="190" priority="13">
      <formula>K15&lt;$K$2</formula>
    </cfRule>
    <cfRule type="expression" dxfId="189" priority="14">
      <formula>J15&lt;$J$2</formula>
    </cfRule>
  </conditionalFormatting>
  <conditionalFormatting sqref="B20">
    <cfRule type="expression" dxfId="188" priority="11">
      <formula>K20&lt;$K$2</formula>
    </cfRule>
    <cfRule type="expression" dxfId="187" priority="12">
      <formula>J20&lt;$J$2</formula>
    </cfRule>
  </conditionalFormatting>
  <conditionalFormatting sqref="B25">
    <cfRule type="expression" dxfId="186" priority="9">
      <formula>K25&lt;$K$2</formula>
    </cfRule>
    <cfRule type="expression" dxfId="185" priority="10">
      <formula>J25&lt;$J$2</formula>
    </cfRule>
  </conditionalFormatting>
  <conditionalFormatting sqref="B36">
    <cfRule type="expression" dxfId="184" priority="1">
      <formula>J36&lt;$J$2</formula>
    </cfRule>
  </conditionalFormatting>
  <conditionalFormatting sqref="B41">
    <cfRule type="expression" dxfId="183" priority="6">
      <formula>K41&lt;$K$2</formula>
    </cfRule>
    <cfRule type="expression" dxfId="182" priority="7">
      <formula>J41&lt;$J$2</formula>
    </cfRule>
  </conditionalFormatting>
  <conditionalFormatting sqref="B46">
    <cfRule type="expression" dxfId="181" priority="4">
      <formula>K46&lt;$K$2</formula>
    </cfRule>
    <cfRule type="expression" dxfId="180" priority="5">
      <formula>J46&lt;$J$2</formula>
    </cfRule>
  </conditionalFormatting>
  <conditionalFormatting sqref="B51">
    <cfRule type="expression" dxfId="179" priority="2">
      <formula>K51&lt;$K$2</formula>
    </cfRule>
    <cfRule type="expression" dxfId="178" priority="3">
      <formula>J51&lt;$J$2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E6A3A-A09D-43EB-9982-CD1BC5E88B77}">
  <dimension ref="A1:K154"/>
  <sheetViews>
    <sheetView topLeftCell="B1" zoomScale="80" zoomScaleNormal="80" workbookViewId="0">
      <selection activeCell="E32" sqref="E32"/>
    </sheetView>
  </sheetViews>
  <sheetFormatPr defaultColWidth="11.42578125" defaultRowHeight="14.45"/>
  <cols>
    <col min="1" max="1" width="20" bestFit="1" customWidth="1"/>
    <col min="2" max="2" width="8.7109375" bestFit="1" customWidth="1"/>
    <col min="3" max="3" width="8" bestFit="1" customWidth="1"/>
    <col min="4" max="4" width="8.7109375" bestFit="1" customWidth="1"/>
    <col min="5" max="5" width="10" bestFit="1" customWidth="1"/>
    <col min="6" max="6" width="10.28515625" bestFit="1" customWidth="1"/>
    <col min="7" max="8" width="11.28515625" bestFit="1" customWidth="1"/>
    <col min="9" max="9" width="11.7109375" bestFit="1" customWidth="1"/>
    <col min="10" max="10" width="8" bestFit="1" customWidth="1"/>
    <col min="11" max="11" width="10.5703125" bestFit="1" customWidth="1"/>
    <col min="13" max="13" width="19.28515625" bestFit="1" customWidth="1"/>
    <col min="14" max="16" width="8.28515625" bestFit="1" customWidth="1"/>
    <col min="17" max="17" width="9" bestFit="1" customWidth="1"/>
    <col min="18" max="18" width="10.28515625" bestFit="1" customWidth="1"/>
    <col min="19" max="20" width="10.85546875" bestFit="1" customWidth="1"/>
    <col min="21" max="21" width="11.5703125" bestFit="1" customWidth="1"/>
    <col min="22" max="23" width="8.28515625" bestFit="1" customWidth="1"/>
    <col min="25" max="25" width="19.28515625" bestFit="1" customWidth="1"/>
    <col min="26" max="28" width="8.28515625" bestFit="1" customWidth="1"/>
    <col min="29" max="29" width="9" bestFit="1" customWidth="1"/>
    <col min="30" max="30" width="10.28515625" bestFit="1" customWidth="1"/>
    <col min="31" max="32" width="10.85546875" bestFit="1" customWidth="1"/>
    <col min="34" max="35" width="8.28515625" bestFit="1" customWidth="1"/>
    <col min="37" max="37" width="19.28515625" bestFit="1" customWidth="1"/>
    <col min="38" max="40" width="8.28515625" bestFit="1" customWidth="1"/>
    <col min="41" max="41" width="9" bestFit="1" customWidth="1"/>
    <col min="42" max="42" width="10.28515625" bestFit="1" customWidth="1"/>
    <col min="43" max="44" width="10.85546875" bestFit="1" customWidth="1"/>
    <col min="46" max="47" width="8.28515625" bestFit="1" customWidth="1"/>
    <col min="49" max="49" width="19.28515625" bestFit="1" customWidth="1"/>
    <col min="50" max="52" width="8.28515625" bestFit="1" customWidth="1"/>
    <col min="53" max="53" width="9" bestFit="1" customWidth="1"/>
    <col min="54" max="54" width="10.28515625" bestFit="1" customWidth="1"/>
    <col min="55" max="56" width="10.85546875" bestFit="1" customWidth="1"/>
    <col min="58" max="59" width="8.28515625" bestFit="1" customWidth="1"/>
  </cols>
  <sheetData>
    <row r="1" spans="1:11" ht="15.6">
      <c r="A1" s="16" t="s">
        <v>0</v>
      </c>
      <c r="B1" s="29"/>
      <c r="C1" s="30" t="s">
        <v>1</v>
      </c>
      <c r="D1" s="30" t="s">
        <v>2</v>
      </c>
      <c r="E1" s="30" t="s">
        <v>3</v>
      </c>
      <c r="F1" s="30" t="s">
        <v>4</v>
      </c>
      <c r="G1" s="30" t="s">
        <v>5</v>
      </c>
      <c r="H1" s="30" t="s">
        <v>6</v>
      </c>
      <c r="I1" s="30" t="s">
        <v>7</v>
      </c>
      <c r="J1" s="32">
        <v>1E-3</v>
      </c>
      <c r="K1" s="33"/>
    </row>
    <row r="2" spans="1:11" ht="15.6">
      <c r="A2" s="17"/>
      <c r="B2" s="25" t="s">
        <v>8</v>
      </c>
      <c r="C2" s="36">
        <v>0</v>
      </c>
      <c r="D2" s="31">
        <v>0</v>
      </c>
      <c r="E2" s="31">
        <v>0</v>
      </c>
      <c r="F2" s="31">
        <v>0</v>
      </c>
      <c r="G2" s="31">
        <v>0</v>
      </c>
      <c r="H2" s="31">
        <v>1</v>
      </c>
      <c r="I2" s="31">
        <v>-4.9999999792008101</v>
      </c>
      <c r="J2" s="18" t="s">
        <v>9</v>
      </c>
      <c r="K2" s="19" t="s">
        <v>10</v>
      </c>
    </row>
    <row r="3" spans="1:11" ht="15.6">
      <c r="A3" s="17"/>
      <c r="B3" s="37">
        <v>4.8</v>
      </c>
      <c r="C3" s="34"/>
      <c r="D3" s="2">
        <f t="shared" ref="D3:I3" si="0">$B3*C4</f>
        <v>0</v>
      </c>
      <c r="E3" s="2">
        <f t="shared" si="0"/>
        <v>0</v>
      </c>
      <c r="F3" s="2">
        <f t="shared" si="0"/>
        <v>0</v>
      </c>
      <c r="G3" s="2">
        <f t="shared" si="0"/>
        <v>0</v>
      </c>
      <c r="H3" s="2">
        <f t="shared" si="0"/>
        <v>0</v>
      </c>
      <c r="I3" s="2">
        <f t="shared" si="0"/>
        <v>4.8</v>
      </c>
      <c r="J3" s="5"/>
      <c r="K3" s="6"/>
    </row>
    <row r="4" spans="1:11" ht="15.6">
      <c r="B4" s="4"/>
      <c r="C4" s="20">
        <f>SUM(C2:C3)</f>
        <v>0</v>
      </c>
      <c r="D4" s="5">
        <f t="shared" ref="D4:I4" si="1">SUM(D2:D3)</f>
        <v>0</v>
      </c>
      <c r="E4" s="6">
        <f t="shared" si="1"/>
        <v>0</v>
      </c>
      <c r="F4" s="6">
        <f t="shared" si="1"/>
        <v>0</v>
      </c>
      <c r="G4" s="6">
        <f t="shared" si="1"/>
        <v>0</v>
      </c>
      <c r="H4" s="6">
        <f t="shared" si="1"/>
        <v>1</v>
      </c>
      <c r="I4" s="7">
        <f t="shared" si="1"/>
        <v>-0.19999997920081025</v>
      </c>
      <c r="J4" s="5"/>
      <c r="K4" s="6"/>
    </row>
    <row r="5" spans="1:11" ht="15.6" thickBot="1">
      <c r="C5" s="21"/>
      <c r="D5" s="22">
        <f>$B3*C6</f>
        <v>0</v>
      </c>
      <c r="E5" s="23">
        <f>$B3*D6</f>
        <v>0</v>
      </c>
      <c r="F5" s="23">
        <f>$B3*E6</f>
        <v>0</v>
      </c>
      <c r="G5" s="23">
        <f>$B3*F6</f>
        <v>0</v>
      </c>
      <c r="H5" s="24">
        <f>$B3*G6</f>
        <v>0</v>
      </c>
      <c r="I5" s="1"/>
      <c r="J5" s="6"/>
      <c r="K5" s="6"/>
    </row>
    <row r="6" spans="1:11" ht="15.6">
      <c r="C6" s="13">
        <f>SUM(C4:C5)</f>
        <v>0</v>
      </c>
      <c r="D6" s="13">
        <f t="shared" ref="D6:H6" si="2">SUM(D4:D5)</f>
        <v>0</v>
      </c>
      <c r="E6" s="13">
        <f t="shared" si="2"/>
        <v>0</v>
      </c>
      <c r="F6" s="13">
        <f t="shared" si="2"/>
        <v>0</v>
      </c>
      <c r="G6" s="13">
        <f t="shared" si="2"/>
        <v>0</v>
      </c>
      <c r="H6" s="8">
        <f t="shared" si="2"/>
        <v>1</v>
      </c>
      <c r="I6" s="9"/>
      <c r="J6" s="6"/>
      <c r="K6" s="5"/>
    </row>
    <row r="7" spans="1:11" ht="15">
      <c r="C7" s="9"/>
      <c r="D7" s="9"/>
      <c r="E7" s="9"/>
      <c r="F7" s="9"/>
      <c r="G7" s="9"/>
      <c r="H7" s="9"/>
      <c r="I7" s="9"/>
      <c r="J7" s="6"/>
      <c r="K7" s="5"/>
    </row>
    <row r="8" spans="1:11" ht="15">
      <c r="B8" s="25" t="s">
        <v>11</v>
      </c>
      <c r="C8" s="10">
        <f t="shared" ref="C8:I8" si="3">C2</f>
        <v>0</v>
      </c>
      <c r="D8" s="11">
        <f t="shared" si="3"/>
        <v>0</v>
      </c>
      <c r="E8" s="11">
        <f t="shared" si="3"/>
        <v>0</v>
      </c>
      <c r="F8" s="11">
        <f t="shared" si="3"/>
        <v>0</v>
      </c>
      <c r="G8" s="11">
        <f t="shared" si="3"/>
        <v>0</v>
      </c>
      <c r="H8" s="11">
        <f t="shared" si="3"/>
        <v>1</v>
      </c>
      <c r="I8" s="12">
        <f t="shared" si="3"/>
        <v>-4.9999999792008101</v>
      </c>
      <c r="J8" s="6"/>
      <c r="K8" s="5"/>
    </row>
    <row r="9" spans="1:11" ht="15">
      <c r="B9" s="12">
        <f>B3-I4/H6</f>
        <v>4.9999999792008101</v>
      </c>
      <c r="C9" s="40"/>
      <c r="D9" s="6">
        <f t="shared" ref="D9:I9" si="4">$B9*C10</f>
        <v>0</v>
      </c>
      <c r="E9" s="6">
        <f>$B9*D10</f>
        <v>0</v>
      </c>
      <c r="F9" s="6">
        <f t="shared" si="4"/>
        <v>0</v>
      </c>
      <c r="G9" s="6">
        <f t="shared" si="4"/>
        <v>0</v>
      </c>
      <c r="H9" s="6">
        <f t="shared" si="4"/>
        <v>0</v>
      </c>
      <c r="I9" s="6">
        <f t="shared" si="4"/>
        <v>4.9999999792008101</v>
      </c>
      <c r="J9" s="26">
        <f>ABS(B9-B3)</f>
        <v>0.19999997920081025</v>
      </c>
      <c r="K9" s="6">
        <f xml:space="preserve"> ABS(J9/B9)*100</f>
        <v>3.9999996006555549</v>
      </c>
    </row>
    <row r="10" spans="1:11" ht="15.6">
      <c r="B10" s="35"/>
      <c r="C10" s="26">
        <f t="shared" ref="C10:I10" si="5">SUM(C8:C9)</f>
        <v>0</v>
      </c>
      <c r="D10" s="13">
        <f t="shared" si="5"/>
        <v>0</v>
      </c>
      <c r="E10" s="13">
        <f t="shared" si="5"/>
        <v>0</v>
      </c>
      <c r="F10" s="13">
        <f>SUM(F8:F9)</f>
        <v>0</v>
      </c>
      <c r="G10" s="13">
        <f t="shared" si="5"/>
        <v>0</v>
      </c>
      <c r="H10" s="13">
        <f t="shared" si="5"/>
        <v>1</v>
      </c>
      <c r="I10" s="14">
        <f t="shared" si="5"/>
        <v>0</v>
      </c>
    </row>
    <row r="11" spans="1:11" ht="15.6" thickBot="1">
      <c r="B11" s="38"/>
      <c r="C11" s="42"/>
      <c r="D11" s="23">
        <f>$B9*C12</f>
        <v>0</v>
      </c>
      <c r="E11" s="23">
        <f>$B9*D12</f>
        <v>0</v>
      </c>
      <c r="F11" s="23">
        <f>$B9*E12</f>
        <v>0</v>
      </c>
      <c r="G11" s="23">
        <f>$B9*F12</f>
        <v>0</v>
      </c>
      <c r="H11" s="23">
        <f>$B9*G12</f>
        <v>0</v>
      </c>
      <c r="I11" s="39"/>
    </row>
    <row r="12" spans="1:11" ht="15.6">
      <c r="C12" s="13">
        <f t="shared" ref="C12:H12" si="6">SUM(C10:C11)</f>
        <v>0</v>
      </c>
      <c r="D12" s="13">
        <f t="shared" si="6"/>
        <v>0</v>
      </c>
      <c r="E12" s="13">
        <f t="shared" si="6"/>
        <v>0</v>
      </c>
      <c r="F12" s="13">
        <f t="shared" si="6"/>
        <v>0</v>
      </c>
      <c r="G12" s="13">
        <f t="shared" si="6"/>
        <v>0</v>
      </c>
      <c r="H12" s="8">
        <f t="shared" si="6"/>
        <v>1</v>
      </c>
    </row>
    <row r="14" spans="1:11" ht="15">
      <c r="B14" s="25" t="s">
        <v>12</v>
      </c>
      <c r="C14" s="27">
        <f t="shared" ref="C14:I14" si="7">C8</f>
        <v>0</v>
      </c>
      <c r="D14" s="28">
        <f t="shared" si="7"/>
        <v>0</v>
      </c>
      <c r="E14" s="28">
        <f t="shared" si="7"/>
        <v>0</v>
      </c>
      <c r="F14" s="28">
        <f t="shared" si="7"/>
        <v>0</v>
      </c>
      <c r="G14" s="28">
        <f t="shared" si="7"/>
        <v>0</v>
      </c>
      <c r="H14" s="28">
        <f t="shared" si="7"/>
        <v>1</v>
      </c>
      <c r="I14" s="28">
        <f t="shared" si="7"/>
        <v>-4.9999999792008101</v>
      </c>
    </row>
    <row r="15" spans="1:11" ht="15">
      <c r="B15" s="41">
        <f>B9-I10/H12</f>
        <v>4.9999999792008101</v>
      </c>
      <c r="C15" s="5"/>
      <c r="D15" s="6">
        <f t="shared" ref="D15:I15" si="8">$B15*C16</f>
        <v>0</v>
      </c>
      <c r="E15" s="6">
        <f t="shared" si="8"/>
        <v>0</v>
      </c>
      <c r="F15" s="6">
        <f t="shared" si="8"/>
        <v>0</v>
      </c>
      <c r="G15" s="6">
        <f t="shared" si="8"/>
        <v>0</v>
      </c>
      <c r="H15" s="6">
        <f t="shared" si="8"/>
        <v>0</v>
      </c>
      <c r="I15" s="6">
        <f t="shared" si="8"/>
        <v>4.9999999792008101</v>
      </c>
      <c r="J15" s="5">
        <f>ABS(B15-B9)</f>
        <v>0</v>
      </c>
      <c r="K15" s="6">
        <f xml:space="preserve"> ABS(J15/B15)*100</f>
        <v>0</v>
      </c>
    </row>
    <row r="16" spans="1:11" ht="15.6">
      <c r="B16" s="35"/>
      <c r="C16" s="26">
        <f t="shared" ref="C16:I16" si="9">SUM(C14:C15)</f>
        <v>0</v>
      </c>
      <c r="D16" s="13">
        <f t="shared" si="9"/>
        <v>0</v>
      </c>
      <c r="E16" s="13">
        <f t="shared" si="9"/>
        <v>0</v>
      </c>
      <c r="F16" s="13">
        <f t="shared" si="9"/>
        <v>0</v>
      </c>
      <c r="G16" s="13">
        <f t="shared" si="9"/>
        <v>0</v>
      </c>
      <c r="H16" s="13">
        <f t="shared" si="9"/>
        <v>1</v>
      </c>
      <c r="I16" s="14">
        <f t="shared" si="9"/>
        <v>0</v>
      </c>
    </row>
    <row r="17" spans="1:11" ht="15.6" thickBot="1">
      <c r="B17" s="38"/>
      <c r="C17" s="22"/>
      <c r="D17" s="23">
        <f>$B15*C18</f>
        <v>0</v>
      </c>
      <c r="E17" s="23">
        <f>$B15*D18</f>
        <v>0</v>
      </c>
      <c r="F17" s="23">
        <f>$B15*E18</f>
        <v>0</v>
      </c>
      <c r="G17" s="23">
        <f>$B15*F18</f>
        <v>0</v>
      </c>
      <c r="H17" s="23">
        <f>$B15*G18</f>
        <v>0</v>
      </c>
      <c r="I17" s="24"/>
    </row>
    <row r="18" spans="1:11" ht="15.6">
      <c r="C18" s="13">
        <f t="shared" ref="C18:H18" si="10">SUM(C16:C17)</f>
        <v>0</v>
      </c>
      <c r="D18" s="13">
        <f t="shared" si="10"/>
        <v>0</v>
      </c>
      <c r="E18" s="13">
        <f t="shared" si="10"/>
        <v>0</v>
      </c>
      <c r="F18" s="13">
        <f t="shared" si="10"/>
        <v>0</v>
      </c>
      <c r="G18" s="13">
        <f t="shared" si="10"/>
        <v>0</v>
      </c>
      <c r="H18" s="8">
        <f t="shared" si="10"/>
        <v>1</v>
      </c>
      <c r="I18" s="15"/>
    </row>
    <row r="20" spans="1:11" ht="15">
      <c r="B20" s="25" t="s">
        <v>13</v>
      </c>
      <c r="C20" s="27">
        <f t="shared" ref="C20:I20" si="11">C14</f>
        <v>0</v>
      </c>
      <c r="D20" s="28">
        <f t="shared" si="11"/>
        <v>0</v>
      </c>
      <c r="E20" s="28">
        <f t="shared" si="11"/>
        <v>0</v>
      </c>
      <c r="F20" s="28">
        <f t="shared" si="11"/>
        <v>0</v>
      </c>
      <c r="G20" s="28">
        <f t="shared" si="11"/>
        <v>0</v>
      </c>
      <c r="H20" s="28">
        <f t="shared" si="11"/>
        <v>1</v>
      </c>
      <c r="I20" s="28">
        <f t="shared" si="11"/>
        <v>-4.9999999792008101</v>
      </c>
      <c r="J20" s="15"/>
      <c r="K20" s="15"/>
    </row>
    <row r="21" spans="1:11" ht="15">
      <c r="B21" s="12">
        <f>B15-I16/H18</f>
        <v>4.9999999792008101</v>
      </c>
      <c r="C21" s="20"/>
      <c r="D21" s="6">
        <f t="shared" ref="D21:I21" si="12">$B21*C22</f>
        <v>0</v>
      </c>
      <c r="E21" s="6">
        <f t="shared" si="12"/>
        <v>0</v>
      </c>
      <c r="F21" s="6">
        <f t="shared" si="12"/>
        <v>0</v>
      </c>
      <c r="G21" s="6">
        <f t="shared" si="12"/>
        <v>0</v>
      </c>
      <c r="H21" s="6">
        <f t="shared" si="12"/>
        <v>0</v>
      </c>
      <c r="I21" s="6">
        <f t="shared" si="12"/>
        <v>4.9999999792008101</v>
      </c>
      <c r="J21" s="5">
        <f>ABS(B21-B15)</f>
        <v>0</v>
      </c>
      <c r="K21" s="6">
        <f xml:space="preserve"> ABS(J21/B21)*100</f>
        <v>0</v>
      </c>
    </row>
    <row r="22" spans="1:11" ht="15.6">
      <c r="B22" s="35"/>
      <c r="C22" s="26">
        <f t="shared" ref="C22:I22" si="13">SUM(C20:C21)</f>
        <v>0</v>
      </c>
      <c r="D22" s="13">
        <f t="shared" si="13"/>
        <v>0</v>
      </c>
      <c r="E22" s="13">
        <f t="shared" si="13"/>
        <v>0</v>
      </c>
      <c r="F22" s="13">
        <f t="shared" si="13"/>
        <v>0</v>
      </c>
      <c r="G22" s="13">
        <f t="shared" si="13"/>
        <v>0</v>
      </c>
      <c r="H22" s="13">
        <f t="shared" si="13"/>
        <v>1</v>
      </c>
      <c r="I22" s="14">
        <f t="shared" si="13"/>
        <v>0</v>
      </c>
      <c r="J22" s="15"/>
      <c r="K22" s="15"/>
    </row>
    <row r="23" spans="1:11" ht="15.6" thickBot="1">
      <c r="B23" s="38"/>
      <c r="C23" s="22"/>
      <c r="D23" s="23">
        <f>$B21*C24</f>
        <v>0</v>
      </c>
      <c r="E23" s="23">
        <f>$B21*D24</f>
        <v>0</v>
      </c>
      <c r="F23" s="23">
        <f>$B21*E24</f>
        <v>0</v>
      </c>
      <c r="G23" s="23">
        <f>$B21*F24</f>
        <v>0</v>
      </c>
      <c r="H23" s="23">
        <f>$B21*G24</f>
        <v>0</v>
      </c>
      <c r="I23" s="24"/>
      <c r="J23" s="15"/>
      <c r="K23" s="15"/>
    </row>
    <row r="24" spans="1:11" ht="15.6">
      <c r="C24" s="13">
        <f t="shared" ref="C24:H24" si="14">SUM(C22:C23)</f>
        <v>0</v>
      </c>
      <c r="D24" s="13">
        <f t="shared" si="14"/>
        <v>0</v>
      </c>
      <c r="E24" s="13">
        <f t="shared" si="14"/>
        <v>0</v>
      </c>
      <c r="F24" s="13">
        <f t="shared" si="14"/>
        <v>0</v>
      </c>
      <c r="G24" s="13">
        <f t="shared" si="14"/>
        <v>0</v>
      </c>
      <c r="H24" s="8">
        <f t="shared" si="14"/>
        <v>1</v>
      </c>
      <c r="I24" s="15"/>
      <c r="J24" s="15"/>
      <c r="K24" s="15"/>
    </row>
    <row r="26" spans="1:11" ht="15">
      <c r="B26" s="25" t="s">
        <v>14</v>
      </c>
      <c r="C26" s="27">
        <f t="shared" ref="C26:I26" si="15">C20</f>
        <v>0</v>
      </c>
      <c r="D26" s="28">
        <f t="shared" si="15"/>
        <v>0</v>
      </c>
      <c r="E26" s="28">
        <f t="shared" si="15"/>
        <v>0</v>
      </c>
      <c r="F26" s="28">
        <f t="shared" si="15"/>
        <v>0</v>
      </c>
      <c r="G26" s="28">
        <f t="shared" si="15"/>
        <v>0</v>
      </c>
      <c r="H26" s="28">
        <f t="shared" si="15"/>
        <v>1</v>
      </c>
      <c r="I26" s="28">
        <f t="shared" si="15"/>
        <v>-4.9999999792008101</v>
      </c>
      <c r="J26" s="15"/>
      <c r="K26" s="15"/>
    </row>
    <row r="27" spans="1:11" ht="15">
      <c r="B27" s="12">
        <f>B21-I22/H24</f>
        <v>4.9999999792008101</v>
      </c>
      <c r="C27" s="20"/>
      <c r="D27" s="6">
        <f t="shared" ref="D27:I27" si="16">$B27*C28</f>
        <v>0</v>
      </c>
      <c r="E27" s="6">
        <f t="shared" si="16"/>
        <v>0</v>
      </c>
      <c r="F27" s="6">
        <f t="shared" si="16"/>
        <v>0</v>
      </c>
      <c r="G27" s="6">
        <f t="shared" si="16"/>
        <v>0</v>
      </c>
      <c r="H27" s="6">
        <f t="shared" si="16"/>
        <v>0</v>
      </c>
      <c r="I27" s="6">
        <f t="shared" si="16"/>
        <v>4.9999999792008101</v>
      </c>
      <c r="J27" s="5">
        <f>ABS(B27-B21)</f>
        <v>0</v>
      </c>
      <c r="K27" s="6">
        <f xml:space="preserve"> ABS(J27/B27)*100</f>
        <v>0</v>
      </c>
    </row>
    <row r="28" spans="1:11" ht="15.6">
      <c r="B28" s="35"/>
      <c r="C28" s="26">
        <f t="shared" ref="C28:I28" si="17">SUM(C26:C27)</f>
        <v>0</v>
      </c>
      <c r="D28" s="13">
        <f t="shared" si="17"/>
        <v>0</v>
      </c>
      <c r="E28" s="13">
        <f t="shared" si="17"/>
        <v>0</v>
      </c>
      <c r="F28" s="13">
        <f t="shared" si="17"/>
        <v>0</v>
      </c>
      <c r="G28" s="13">
        <f t="shared" si="17"/>
        <v>0</v>
      </c>
      <c r="H28" s="13">
        <f t="shared" si="17"/>
        <v>1</v>
      </c>
      <c r="I28" s="14">
        <f t="shared" si="17"/>
        <v>0</v>
      </c>
      <c r="J28" s="15"/>
      <c r="K28" s="15"/>
    </row>
    <row r="29" spans="1:11" ht="15.6" thickBot="1">
      <c r="B29" s="38"/>
      <c r="C29" s="22"/>
      <c r="D29" s="23">
        <f>$B27*C30</f>
        <v>0</v>
      </c>
      <c r="E29" s="23">
        <f>$B27*D30</f>
        <v>0</v>
      </c>
      <c r="F29" s="23">
        <f>$B27*E30</f>
        <v>0</v>
      </c>
      <c r="G29" s="23">
        <f>$B27*F30</f>
        <v>0</v>
      </c>
      <c r="H29" s="23">
        <f>$B27*G30</f>
        <v>0</v>
      </c>
      <c r="I29" s="24"/>
      <c r="J29" s="15"/>
      <c r="K29" s="15"/>
    </row>
    <row r="30" spans="1:11" ht="15.6">
      <c r="C30" s="13">
        <f t="shared" ref="C30:H30" si="18">SUM(C28:C29)</f>
        <v>0</v>
      </c>
      <c r="D30" s="13">
        <f t="shared" si="18"/>
        <v>0</v>
      </c>
      <c r="E30" s="13">
        <f t="shared" si="18"/>
        <v>0</v>
      </c>
      <c r="F30" s="13">
        <f t="shared" si="18"/>
        <v>0</v>
      </c>
      <c r="G30" s="13">
        <f t="shared" si="18"/>
        <v>0</v>
      </c>
      <c r="H30" s="8">
        <f t="shared" si="18"/>
        <v>1</v>
      </c>
      <c r="I30" s="15"/>
      <c r="J30" s="15"/>
      <c r="K30" s="15"/>
    </row>
    <row r="32" spans="1:11" ht="15.6">
      <c r="A32" s="16" t="s">
        <v>0</v>
      </c>
      <c r="B32" s="29"/>
      <c r="C32" s="30" t="s">
        <v>1</v>
      </c>
      <c r="D32" s="30" t="s">
        <v>2</v>
      </c>
      <c r="E32" s="30" t="s">
        <v>3</v>
      </c>
      <c r="F32" s="30" t="s">
        <v>4</v>
      </c>
      <c r="G32" s="30" t="s">
        <v>5</v>
      </c>
      <c r="H32" s="30" t="s">
        <v>6</v>
      </c>
      <c r="I32" s="30" t="s">
        <v>7</v>
      </c>
      <c r="J32" s="32">
        <v>0.02</v>
      </c>
      <c r="K32" s="33"/>
    </row>
    <row r="33" spans="1:11" ht="15.6">
      <c r="A33" s="17"/>
      <c r="B33" s="25" t="s">
        <v>8</v>
      </c>
      <c r="C33" s="36">
        <v>0</v>
      </c>
      <c r="D33" s="31">
        <v>1</v>
      </c>
      <c r="E33" s="31">
        <v>-3</v>
      </c>
      <c r="F33" s="31">
        <v>-23</v>
      </c>
      <c r="G33" s="31">
        <v>55</v>
      </c>
      <c r="H33" s="31">
        <v>74</v>
      </c>
      <c r="I33" s="31">
        <v>-120</v>
      </c>
      <c r="J33" s="18" t="s">
        <v>9</v>
      </c>
      <c r="K33" s="19" t="s">
        <v>10</v>
      </c>
    </row>
    <row r="34" spans="1:11" ht="15.6">
      <c r="A34" s="17"/>
      <c r="B34" s="37">
        <v>2.5</v>
      </c>
      <c r="C34" s="34"/>
      <c r="D34" s="2">
        <f>$B34*C35</f>
        <v>0</v>
      </c>
      <c r="E34" s="2">
        <f t="shared" ref="E34:I34" si="19">$B34*D35</f>
        <v>2.5</v>
      </c>
      <c r="F34" s="2">
        <f t="shared" si="19"/>
        <v>-1.25</v>
      </c>
      <c r="G34" s="2">
        <f t="shared" si="19"/>
        <v>-60.625</v>
      </c>
      <c r="H34" s="2">
        <f t="shared" si="19"/>
        <v>-14.0625</v>
      </c>
      <c r="I34" s="2">
        <f t="shared" si="19"/>
        <v>149.84375</v>
      </c>
      <c r="J34" s="5"/>
      <c r="K34" s="6"/>
    </row>
    <row r="35" spans="1:11" ht="15.6">
      <c r="B35" s="4"/>
      <c r="C35" s="20">
        <f>SUM(C33:C34)</f>
        <v>0</v>
      </c>
      <c r="D35" s="5">
        <f t="shared" ref="D35:I35" si="20">SUM(D33:D34)</f>
        <v>1</v>
      </c>
      <c r="E35" s="6">
        <f t="shared" si="20"/>
        <v>-0.5</v>
      </c>
      <c r="F35" s="6">
        <f t="shared" si="20"/>
        <v>-24.25</v>
      </c>
      <c r="G35" s="6">
        <f t="shared" si="20"/>
        <v>-5.625</v>
      </c>
      <c r="H35" s="6">
        <f t="shared" si="20"/>
        <v>59.9375</v>
      </c>
      <c r="I35" s="7">
        <f t="shared" si="20"/>
        <v>29.84375</v>
      </c>
      <c r="J35" s="5"/>
      <c r="K35" s="6"/>
    </row>
    <row r="36" spans="1:11" ht="15.6" thickBot="1">
      <c r="C36" s="21"/>
      <c r="D36" s="22">
        <f>$B34*C37</f>
        <v>0</v>
      </c>
      <c r="E36" s="23">
        <f>$B34*D37</f>
        <v>2.5</v>
      </c>
      <c r="F36" s="23">
        <f>$B34*E37</f>
        <v>5</v>
      </c>
      <c r="G36" s="23">
        <f>$B34*F37</f>
        <v>-48.125</v>
      </c>
      <c r="H36" s="24">
        <f>$B34*G37</f>
        <v>-134.375</v>
      </c>
      <c r="I36" s="1"/>
      <c r="J36" s="6"/>
      <c r="K36" s="6"/>
    </row>
    <row r="37" spans="1:11" ht="15.6">
      <c r="C37" s="13">
        <f>SUM(C35:C36)</f>
        <v>0</v>
      </c>
      <c r="D37" s="13">
        <f t="shared" ref="D37:H37" si="21">SUM(D35:D36)</f>
        <v>1</v>
      </c>
      <c r="E37" s="13">
        <f t="shared" si="21"/>
        <v>2</v>
      </c>
      <c r="F37" s="13">
        <f t="shared" si="21"/>
        <v>-19.25</v>
      </c>
      <c r="G37" s="13">
        <f t="shared" si="21"/>
        <v>-53.75</v>
      </c>
      <c r="H37" s="8">
        <f t="shared" si="21"/>
        <v>-74.4375</v>
      </c>
      <c r="I37" s="9"/>
      <c r="J37" s="6"/>
      <c r="K37" s="5"/>
    </row>
    <row r="38" spans="1:11" ht="15">
      <c r="C38" s="9"/>
      <c r="D38" s="9"/>
      <c r="E38" s="9"/>
      <c r="F38" s="9"/>
      <c r="G38" s="9"/>
      <c r="H38" s="9"/>
      <c r="I38" s="9"/>
      <c r="J38" s="6"/>
      <c r="K38" s="5"/>
    </row>
    <row r="39" spans="1:11" ht="15">
      <c r="B39" s="25" t="s">
        <v>11</v>
      </c>
      <c r="C39" s="10">
        <f t="shared" ref="C39:I39" si="22">C33</f>
        <v>0</v>
      </c>
      <c r="D39" s="11">
        <f t="shared" si="22"/>
        <v>1</v>
      </c>
      <c r="E39" s="11">
        <f t="shared" si="22"/>
        <v>-3</v>
      </c>
      <c r="F39" s="11">
        <f t="shared" si="22"/>
        <v>-23</v>
      </c>
      <c r="G39" s="11">
        <f t="shared" si="22"/>
        <v>55</v>
      </c>
      <c r="H39" s="11">
        <f t="shared" si="22"/>
        <v>74</v>
      </c>
      <c r="I39" s="12">
        <f t="shared" si="22"/>
        <v>-120</v>
      </c>
      <c r="J39" s="6"/>
      <c r="K39" s="5"/>
    </row>
    <row r="40" spans="1:11" ht="15">
      <c r="B40" s="12">
        <f>B34-I35/H37</f>
        <v>2.9009235936188076</v>
      </c>
      <c r="C40" s="40"/>
      <c r="D40" s="6">
        <f t="shared" ref="D40:I40" si="23">$B40*C41</f>
        <v>0</v>
      </c>
      <c r="E40" s="6">
        <f>$B40*D41</f>
        <v>2.9009235936188076</v>
      </c>
      <c r="F40" s="6">
        <f t="shared" si="23"/>
        <v>-0.28741308484216604</v>
      </c>
      <c r="G40" s="6">
        <f t="shared" si="23"/>
        <v>-67.555006052165979</v>
      </c>
      <c r="H40" s="6">
        <f t="shared" si="23"/>
        <v>-36.421113274755207</v>
      </c>
      <c r="I40" s="6">
        <f t="shared" si="23"/>
        <v>109.01347912319123</v>
      </c>
      <c r="J40" s="26">
        <f>ABS(B40-B34)</f>
        <v>0.40092359361880758</v>
      </c>
      <c r="K40" s="6">
        <f xml:space="preserve"> ABS(J40/B40)*100</f>
        <v>13.820549927641096</v>
      </c>
    </row>
    <row r="41" spans="1:11" ht="15.6">
      <c r="B41" s="35"/>
      <c r="C41" s="26">
        <f t="shared" ref="C41:I41" si="24">SUM(C39:C40)</f>
        <v>0</v>
      </c>
      <c r="D41" s="13">
        <f t="shared" si="24"/>
        <v>1</v>
      </c>
      <c r="E41" s="13">
        <f t="shared" si="24"/>
        <v>-9.9076406381192417E-2</v>
      </c>
      <c r="F41" s="13">
        <f>SUM(F39:F40)</f>
        <v>-23.287413084842164</v>
      </c>
      <c r="G41" s="13">
        <f t="shared" si="24"/>
        <v>-12.555006052165979</v>
      </c>
      <c r="H41" s="13">
        <f t="shared" si="24"/>
        <v>37.578886725244793</v>
      </c>
      <c r="I41" s="14">
        <f t="shared" si="24"/>
        <v>-10.986520876808768</v>
      </c>
    </row>
    <row r="42" spans="1:11" ht="15.6" thickBot="1">
      <c r="B42" s="38"/>
      <c r="C42" s="42"/>
      <c r="D42" s="23">
        <f>$B40*C43</f>
        <v>0</v>
      </c>
      <c r="E42" s="23">
        <f>$B40*D43</f>
        <v>2.9009235936188076</v>
      </c>
      <c r="F42" s="23">
        <f>$B40*E43</f>
        <v>8.1279446111720901</v>
      </c>
      <c r="G42" s="23">
        <f>$B40*F43</f>
        <v>-43.976459761990014</v>
      </c>
      <c r="H42" s="23">
        <f>$B40*G43</f>
        <v>-163.99346296214017</v>
      </c>
      <c r="I42" s="39"/>
    </row>
    <row r="43" spans="1:11" ht="15.6">
      <c r="C43" s="13">
        <f t="shared" ref="C43:H43" si="25">SUM(C41:C42)</f>
        <v>0</v>
      </c>
      <c r="D43" s="13">
        <f t="shared" si="25"/>
        <v>1</v>
      </c>
      <c r="E43" s="13">
        <f t="shared" si="25"/>
        <v>2.8018471872376152</v>
      </c>
      <c r="F43" s="13">
        <f t="shared" si="25"/>
        <v>-15.159468473670074</v>
      </c>
      <c r="G43" s="13">
        <f t="shared" si="25"/>
        <v>-56.531465814155993</v>
      </c>
      <c r="H43" s="8">
        <f t="shared" si="25"/>
        <v>-126.41457623689539</v>
      </c>
    </row>
    <row r="45" spans="1:11" ht="15">
      <c r="B45" s="25" t="s">
        <v>12</v>
      </c>
      <c r="C45" s="27">
        <f t="shared" ref="C45:I45" si="26">C39</f>
        <v>0</v>
      </c>
      <c r="D45" s="28">
        <f t="shared" si="26"/>
        <v>1</v>
      </c>
      <c r="E45" s="28">
        <f t="shared" si="26"/>
        <v>-3</v>
      </c>
      <c r="F45" s="28">
        <f t="shared" si="26"/>
        <v>-23</v>
      </c>
      <c r="G45" s="28">
        <f t="shared" si="26"/>
        <v>55</v>
      </c>
      <c r="H45" s="28">
        <f t="shared" si="26"/>
        <v>74</v>
      </c>
      <c r="I45" s="28">
        <f t="shared" si="26"/>
        <v>-120</v>
      </c>
    </row>
    <row r="46" spans="1:11" ht="15">
      <c r="B46" s="41">
        <f>B40-I41/H43</f>
        <v>2.8140149379569754</v>
      </c>
      <c r="C46" s="5"/>
      <c r="D46" s="6">
        <f t="shared" ref="D46:I46" si="27">$B46*C47</f>
        <v>0</v>
      </c>
      <c r="E46" s="6">
        <f t="shared" si="27"/>
        <v>2.8140149379569754</v>
      </c>
      <c r="F46" s="6">
        <f t="shared" si="27"/>
        <v>-0.52336474282592604</v>
      </c>
      <c r="G46" s="6">
        <f t="shared" si="27"/>
        <v>-66.195099777322596</v>
      </c>
      <c r="H46" s="6">
        <f t="shared" si="27"/>
        <v>-31.503178005304594</v>
      </c>
      <c r="I46" s="6">
        <f t="shared" si="27"/>
        <v>119.58669190877143</v>
      </c>
      <c r="J46" s="5">
        <f>ABS(B46-B40)</f>
        <v>8.6908655661832146E-2</v>
      </c>
      <c r="K46" s="6">
        <f xml:space="preserve"> ABS(J46/B46)*100</f>
        <v>3.0884219728033626</v>
      </c>
    </row>
    <row r="47" spans="1:11" ht="15.6">
      <c r="B47" s="35"/>
      <c r="C47" s="26">
        <f t="shared" ref="C47:I47" si="28">SUM(C45:C46)</f>
        <v>0</v>
      </c>
      <c r="D47" s="13">
        <f t="shared" si="28"/>
        <v>1</v>
      </c>
      <c r="E47" s="13">
        <f t="shared" si="28"/>
        <v>-0.18598506204302456</v>
      </c>
      <c r="F47" s="13">
        <f t="shared" si="28"/>
        <v>-23.523364742825926</v>
      </c>
      <c r="G47" s="13">
        <f t="shared" si="28"/>
        <v>-11.195099777322596</v>
      </c>
      <c r="H47" s="13">
        <f t="shared" si="28"/>
        <v>42.496821994695409</v>
      </c>
      <c r="I47" s="14">
        <f t="shared" si="28"/>
        <v>-0.41330809122857204</v>
      </c>
    </row>
    <row r="48" spans="1:11" ht="15.6" thickBot="1">
      <c r="B48" s="38"/>
      <c r="C48" s="22"/>
      <c r="D48" s="23">
        <f>$B46*C49</f>
        <v>0</v>
      </c>
      <c r="E48" s="23">
        <f>$B46*D49</f>
        <v>2.8140149379569754</v>
      </c>
      <c r="F48" s="23">
        <f>$B46*E49</f>
        <v>7.3953153282190742</v>
      </c>
      <c r="G48" s="23">
        <f>$B46*F49</f>
        <v>-45.384571972811933</v>
      </c>
      <c r="H48" s="23">
        <f>$B46*G49</f>
        <v>-159.21604148958085</v>
      </c>
      <c r="I48" s="24"/>
    </row>
    <row r="49" spans="1:11" ht="15.6">
      <c r="C49" s="13">
        <f t="shared" ref="C49:H49" si="29">SUM(C47:C48)</f>
        <v>0</v>
      </c>
      <c r="D49" s="13">
        <f t="shared" si="29"/>
        <v>1</v>
      </c>
      <c r="E49" s="13">
        <f t="shared" si="29"/>
        <v>2.6280298759139509</v>
      </c>
      <c r="F49" s="13">
        <f t="shared" si="29"/>
        <v>-16.128049414606853</v>
      </c>
      <c r="G49" s="13">
        <f t="shared" si="29"/>
        <v>-56.57967175013453</v>
      </c>
      <c r="H49" s="8">
        <f t="shared" si="29"/>
        <v>-116.71921949488544</v>
      </c>
      <c r="I49" s="15"/>
    </row>
    <row r="51" spans="1:11" ht="15">
      <c r="B51" s="25" t="s">
        <v>13</v>
      </c>
      <c r="C51" s="27">
        <f t="shared" ref="C51:I51" si="30">C45</f>
        <v>0</v>
      </c>
      <c r="D51" s="28">
        <f t="shared" si="30"/>
        <v>1</v>
      </c>
      <c r="E51" s="28">
        <f t="shared" si="30"/>
        <v>-3</v>
      </c>
      <c r="F51" s="28">
        <f t="shared" si="30"/>
        <v>-23</v>
      </c>
      <c r="G51" s="28">
        <f t="shared" si="30"/>
        <v>55</v>
      </c>
      <c r="H51" s="28">
        <f t="shared" si="30"/>
        <v>74</v>
      </c>
      <c r="I51" s="28">
        <f t="shared" si="30"/>
        <v>-120</v>
      </c>
      <c r="J51" s="15"/>
      <c r="K51" s="15"/>
    </row>
    <row r="52" spans="1:11" ht="15">
      <c r="B52" s="12">
        <f>B46-I47/H49</f>
        <v>2.8104738922490173</v>
      </c>
      <c r="C52" s="20"/>
      <c r="D52" s="6">
        <f t="shared" ref="D52:I52" si="31">$B52*C53</f>
        <v>0</v>
      </c>
      <c r="E52" s="6">
        <f t="shared" si="31"/>
        <v>2.8104738922490173</v>
      </c>
      <c r="F52" s="6">
        <f t="shared" si="31"/>
        <v>-0.53265817773371094</v>
      </c>
      <c r="G52" s="6">
        <f t="shared" si="31"/>
        <v>-66.137921423740934</v>
      </c>
      <c r="H52" s="6">
        <f t="shared" si="31"/>
        <v>-31.3028373753449</v>
      </c>
      <c r="I52" s="6">
        <f t="shared" si="31"/>
        <v>119.99926082970369</v>
      </c>
      <c r="J52" s="5">
        <f>ABS(B52-B46)</f>
        <v>3.5410457079581015E-3</v>
      </c>
      <c r="K52" s="6">
        <f xml:space="preserve"> ABS(J52/B52)*100</f>
        <v>0.12599461314064941</v>
      </c>
    </row>
    <row r="53" spans="1:11" ht="15.6">
      <c r="B53" s="35"/>
      <c r="C53" s="26">
        <f t="shared" ref="C53:I53" si="32">SUM(C51:C52)</f>
        <v>0</v>
      </c>
      <c r="D53" s="13">
        <f t="shared" si="32"/>
        <v>1</v>
      </c>
      <c r="E53" s="13">
        <f t="shared" si="32"/>
        <v>-0.18952610775098266</v>
      </c>
      <c r="F53" s="13">
        <f t="shared" si="32"/>
        <v>-23.532658177733712</v>
      </c>
      <c r="G53" s="13">
        <f t="shared" si="32"/>
        <v>-11.137921423740934</v>
      </c>
      <c r="H53" s="13">
        <f t="shared" si="32"/>
        <v>42.6971626246551</v>
      </c>
      <c r="I53" s="14">
        <f t="shared" si="32"/>
        <v>-7.3917029631331843E-4</v>
      </c>
      <c r="J53" s="15"/>
      <c r="K53" s="15"/>
    </row>
    <row r="54" spans="1:11" ht="15.6" thickBot="1">
      <c r="B54" s="38"/>
      <c r="C54" s="22"/>
      <c r="D54" s="23">
        <f>$B52*C55</f>
        <v>0</v>
      </c>
      <c r="E54" s="23">
        <f>$B52*D55</f>
        <v>2.8104738922490173</v>
      </c>
      <c r="F54" s="23">
        <f>$B52*E55</f>
        <v>7.3661053212796306</v>
      </c>
      <c r="G54" s="23">
        <f>$B52*F55</f>
        <v>-45.435674730727975</v>
      </c>
      <c r="H54" s="23">
        <f>$B52*G55</f>
        <v>-158.99861498277428</v>
      </c>
      <c r="I54" s="24"/>
      <c r="J54" s="15"/>
      <c r="K54" s="15"/>
    </row>
    <row r="55" spans="1:11" ht="15.6">
      <c r="C55" s="13">
        <f t="shared" ref="C55:H55" si="33">SUM(C53:C54)</f>
        <v>0</v>
      </c>
      <c r="D55" s="13">
        <f t="shared" si="33"/>
        <v>1</v>
      </c>
      <c r="E55" s="13">
        <f t="shared" si="33"/>
        <v>2.6209477844980347</v>
      </c>
      <c r="F55" s="13">
        <f t="shared" si="33"/>
        <v>-16.166552856454082</v>
      </c>
      <c r="G55" s="13">
        <f t="shared" si="33"/>
        <v>-56.573596154468909</v>
      </c>
      <c r="H55" s="8">
        <f t="shared" si="33"/>
        <v>-116.30145235811918</v>
      </c>
      <c r="I55" s="15"/>
      <c r="J55" s="15"/>
      <c r="K55" s="15"/>
    </row>
    <row r="57" spans="1:11" ht="15">
      <c r="B57" s="25" t="s">
        <v>14</v>
      </c>
      <c r="C57" s="27">
        <f t="shared" ref="C57:I57" si="34">C51</f>
        <v>0</v>
      </c>
      <c r="D57" s="28">
        <f t="shared" si="34"/>
        <v>1</v>
      </c>
      <c r="E57" s="28">
        <f t="shared" si="34"/>
        <v>-3</v>
      </c>
      <c r="F57" s="28">
        <f t="shared" si="34"/>
        <v>-23</v>
      </c>
      <c r="G57" s="28">
        <f t="shared" si="34"/>
        <v>55</v>
      </c>
      <c r="H57" s="28">
        <f t="shared" si="34"/>
        <v>74</v>
      </c>
      <c r="I57" s="28">
        <f t="shared" si="34"/>
        <v>-120</v>
      </c>
      <c r="J57" s="15"/>
      <c r="K57" s="15"/>
    </row>
    <row r="58" spans="1:11" ht="15">
      <c r="B58" s="12">
        <f>B52-I53/H55</f>
        <v>2.810467536607868</v>
      </c>
      <c r="C58" s="20"/>
      <c r="D58" s="6">
        <f t="shared" ref="D58:I58" si="35">$B58*C59</f>
        <v>0</v>
      </c>
      <c r="E58" s="6">
        <f t="shared" si="35"/>
        <v>2.810467536607868</v>
      </c>
      <c r="F58" s="6">
        <f t="shared" si="35"/>
        <v>-0.5326748354969062</v>
      </c>
      <c r="G58" s="6">
        <f t="shared" si="35"/>
        <v>-66.137818674712946</v>
      </c>
      <c r="H58" s="6">
        <f t="shared" si="35"/>
        <v>-31.302477813905604</v>
      </c>
      <c r="I58" s="6">
        <f t="shared" si="35"/>
        <v>119.99999999761251</v>
      </c>
      <c r="J58" s="5">
        <f>ABS(B58-B52)</f>
        <v>6.3556411493692622E-6</v>
      </c>
      <c r="K58" s="6">
        <f xml:space="preserve"> ABS(J58/B58)*100</f>
        <v>2.2614177415620639E-4</v>
      </c>
    </row>
    <row r="59" spans="1:11" ht="15.6">
      <c r="B59" s="35"/>
      <c r="C59" s="26">
        <f t="shared" ref="C59:I59" si="36">SUM(C57:C58)</f>
        <v>0</v>
      </c>
      <c r="D59" s="13">
        <f t="shared" si="36"/>
        <v>1</v>
      </c>
      <c r="E59" s="13">
        <f t="shared" si="36"/>
        <v>-0.18953246339213203</v>
      </c>
      <c r="F59" s="13">
        <f t="shared" si="36"/>
        <v>-23.532674835496906</v>
      </c>
      <c r="G59" s="13">
        <f t="shared" si="36"/>
        <v>-11.137818674712946</v>
      </c>
      <c r="H59" s="13">
        <f t="shared" si="36"/>
        <v>42.697522186094396</v>
      </c>
      <c r="I59" s="14">
        <f t="shared" si="36"/>
        <v>-2.3874946464275126E-9</v>
      </c>
      <c r="J59" s="15"/>
      <c r="K59" s="15"/>
    </row>
    <row r="60" spans="1:11" ht="15.6" thickBot="1">
      <c r="B60" s="38"/>
      <c r="C60" s="22"/>
      <c r="D60" s="23">
        <f>$B58*C61</f>
        <v>0</v>
      </c>
      <c r="E60" s="23">
        <f>$B58*D61</f>
        <v>2.810467536607868</v>
      </c>
      <c r="F60" s="23">
        <f>$B58*E61</f>
        <v>7.3660529388297915</v>
      </c>
      <c r="G60" s="23">
        <f>$B58*F61</f>
        <v>-45.43576601719684</v>
      </c>
      <c r="H60" s="23">
        <f>$B58*G61</f>
        <v>-158.99822320614828</v>
      </c>
      <c r="I60" s="24"/>
      <c r="J60" s="15"/>
      <c r="K60" s="15"/>
    </row>
    <row r="61" spans="1:11" ht="15.6">
      <c r="C61" s="13">
        <f t="shared" ref="C61:H61" si="37">SUM(C59:C60)</f>
        <v>0</v>
      </c>
      <c r="D61" s="13">
        <f t="shared" si="37"/>
        <v>1</v>
      </c>
      <c r="E61" s="13">
        <f t="shared" si="37"/>
        <v>2.6209350732157359</v>
      </c>
      <c r="F61" s="13">
        <f t="shared" si="37"/>
        <v>-16.166621896667113</v>
      </c>
      <c r="G61" s="13">
        <f t="shared" si="37"/>
        <v>-56.573584691909787</v>
      </c>
      <c r="H61" s="8">
        <f t="shared" si="37"/>
        <v>-116.30070102005388</v>
      </c>
      <c r="I61" s="15"/>
      <c r="J61" s="15"/>
      <c r="K61" s="15"/>
    </row>
    <row r="63" spans="1:11" ht="15.6">
      <c r="A63" s="16" t="s">
        <v>0</v>
      </c>
      <c r="B63" s="29"/>
      <c r="C63" s="30" t="s">
        <v>1</v>
      </c>
      <c r="D63" s="30" t="s">
        <v>2</v>
      </c>
      <c r="E63" s="30" t="s">
        <v>3</v>
      </c>
      <c r="F63" s="30" t="s">
        <v>4</v>
      </c>
      <c r="G63" s="30" t="s">
        <v>5</v>
      </c>
      <c r="H63" s="30" t="s">
        <v>6</v>
      </c>
      <c r="I63" s="30" t="s">
        <v>7</v>
      </c>
      <c r="J63" s="32">
        <v>0.02</v>
      </c>
      <c r="K63" s="33"/>
    </row>
    <row r="64" spans="1:11" ht="15.6">
      <c r="A64" s="17"/>
      <c r="B64" s="25" t="s">
        <v>8</v>
      </c>
      <c r="C64" s="36">
        <v>0</v>
      </c>
      <c r="D64" s="31">
        <v>1</v>
      </c>
      <c r="E64" s="31">
        <v>-3</v>
      </c>
      <c r="F64" s="31">
        <v>-23</v>
      </c>
      <c r="G64" s="31">
        <v>55</v>
      </c>
      <c r="H64" s="31">
        <v>74</v>
      </c>
      <c r="I64" s="31">
        <v>-120</v>
      </c>
      <c r="J64" s="18" t="s">
        <v>9</v>
      </c>
      <c r="K64" s="19" t="s">
        <v>10</v>
      </c>
    </row>
    <row r="65" spans="1:11" ht="15.6">
      <c r="A65" s="17"/>
      <c r="B65" s="37">
        <v>1</v>
      </c>
      <c r="C65" s="34"/>
      <c r="D65" s="2">
        <f t="shared" ref="D65:I65" si="38">$B65*C66</f>
        <v>0</v>
      </c>
      <c r="E65" s="2">
        <f t="shared" si="38"/>
        <v>1</v>
      </c>
      <c r="F65" s="2">
        <f t="shared" si="38"/>
        <v>-2</v>
      </c>
      <c r="G65" s="2">
        <f t="shared" si="38"/>
        <v>-25</v>
      </c>
      <c r="H65" s="2">
        <f t="shared" si="38"/>
        <v>30</v>
      </c>
      <c r="I65" s="2">
        <f t="shared" si="38"/>
        <v>104</v>
      </c>
      <c r="J65" s="5"/>
      <c r="K65" s="6"/>
    </row>
    <row r="66" spans="1:11" ht="15.6">
      <c r="B66" s="4"/>
      <c r="C66" s="20">
        <f>SUM(C64:C65)</f>
        <v>0</v>
      </c>
      <c r="D66" s="5">
        <f t="shared" ref="D66:I66" si="39">SUM(D64:D65)</f>
        <v>1</v>
      </c>
      <c r="E66" s="6">
        <f t="shared" si="39"/>
        <v>-2</v>
      </c>
      <c r="F66" s="6">
        <f t="shared" si="39"/>
        <v>-25</v>
      </c>
      <c r="G66" s="6">
        <f t="shared" si="39"/>
        <v>30</v>
      </c>
      <c r="H66" s="6">
        <f t="shared" si="39"/>
        <v>104</v>
      </c>
      <c r="I66" s="7">
        <f t="shared" si="39"/>
        <v>-16</v>
      </c>
      <c r="J66" s="5"/>
      <c r="K66" s="6"/>
    </row>
    <row r="67" spans="1:11" ht="15.6" thickBot="1">
      <c r="C67" s="21"/>
      <c r="D67" s="22">
        <f>$B65*C68</f>
        <v>0</v>
      </c>
      <c r="E67" s="23">
        <f>$B65*D68</f>
        <v>1</v>
      </c>
      <c r="F67" s="23">
        <f>$B65*E68</f>
        <v>-1</v>
      </c>
      <c r="G67" s="23">
        <f>$B65*F68</f>
        <v>-26</v>
      </c>
      <c r="H67" s="24">
        <f>$B65*G68</f>
        <v>4</v>
      </c>
      <c r="I67" s="1"/>
      <c r="J67" s="6"/>
      <c r="K67" s="6"/>
    </row>
    <row r="68" spans="1:11" ht="15.6">
      <c r="C68" s="13">
        <f>SUM(C66:C67)</f>
        <v>0</v>
      </c>
      <c r="D68" s="13">
        <f t="shared" ref="D68:H68" si="40">SUM(D66:D67)</f>
        <v>1</v>
      </c>
      <c r="E68" s="13">
        <f t="shared" si="40"/>
        <v>-1</v>
      </c>
      <c r="F68" s="13">
        <f t="shared" si="40"/>
        <v>-26</v>
      </c>
      <c r="G68" s="13">
        <f t="shared" si="40"/>
        <v>4</v>
      </c>
      <c r="H68" s="8">
        <f t="shared" si="40"/>
        <v>108</v>
      </c>
      <c r="I68" s="9"/>
      <c r="J68" s="6"/>
      <c r="K68" s="5"/>
    </row>
    <row r="69" spans="1:11" ht="15">
      <c r="C69" s="9"/>
      <c r="D69" s="9"/>
      <c r="E69" s="9"/>
      <c r="F69" s="9"/>
      <c r="G69" s="9"/>
      <c r="H69" s="9"/>
      <c r="I69" s="9"/>
      <c r="J69" s="6"/>
      <c r="K69" s="5"/>
    </row>
    <row r="70" spans="1:11" ht="15">
      <c r="B70" s="25" t="s">
        <v>11</v>
      </c>
      <c r="C70" s="10">
        <f t="shared" ref="C70:I70" si="41">C64</f>
        <v>0</v>
      </c>
      <c r="D70" s="11">
        <f t="shared" si="41"/>
        <v>1</v>
      </c>
      <c r="E70" s="11">
        <f t="shared" si="41"/>
        <v>-3</v>
      </c>
      <c r="F70" s="11">
        <f t="shared" si="41"/>
        <v>-23</v>
      </c>
      <c r="G70" s="11">
        <f t="shared" si="41"/>
        <v>55</v>
      </c>
      <c r="H70" s="11">
        <f t="shared" si="41"/>
        <v>74</v>
      </c>
      <c r="I70" s="12">
        <f t="shared" si="41"/>
        <v>-120</v>
      </c>
      <c r="J70" s="6"/>
      <c r="K70" s="5"/>
    </row>
    <row r="71" spans="1:11" ht="15">
      <c r="B71" s="12">
        <f>B65-I66/H68</f>
        <v>1.1481481481481481</v>
      </c>
      <c r="C71" s="40"/>
      <c r="D71" s="6">
        <f t="shared" ref="D71:I71" si="42">$B71*C72</f>
        <v>0</v>
      </c>
      <c r="E71" s="6">
        <f>$B71*D72</f>
        <v>1.1481481481481481</v>
      </c>
      <c r="F71" s="6">
        <f t="shared" si="42"/>
        <v>-2.1262002743484225</v>
      </c>
      <c r="G71" s="6">
        <f t="shared" si="42"/>
        <v>-28.848600314992634</v>
      </c>
      <c r="H71" s="6">
        <f t="shared" si="42"/>
        <v>30.025681119823272</v>
      </c>
      <c r="I71" s="6">
        <f t="shared" si="42"/>
        <v>119.43689313757487</v>
      </c>
      <c r="J71" s="26">
        <f>ABS(B71-B65)</f>
        <v>0.14814814814814814</v>
      </c>
      <c r="K71" s="6">
        <f xml:space="preserve"> ABS(J71/B71)*100</f>
        <v>12.903225806451612</v>
      </c>
    </row>
    <row r="72" spans="1:11" ht="15.6">
      <c r="B72" s="35"/>
      <c r="C72" s="26">
        <f t="shared" ref="C72:I72" si="43">SUM(C70:C71)</f>
        <v>0</v>
      </c>
      <c r="D72" s="13">
        <f t="shared" si="43"/>
        <v>1</v>
      </c>
      <c r="E72" s="13">
        <f t="shared" si="43"/>
        <v>-1.8518518518518519</v>
      </c>
      <c r="F72" s="13">
        <f>SUM(F70:F71)</f>
        <v>-25.126200274348424</v>
      </c>
      <c r="G72" s="13">
        <f t="shared" si="43"/>
        <v>26.151399685007366</v>
      </c>
      <c r="H72" s="13">
        <f t="shared" si="43"/>
        <v>104.02568111982328</v>
      </c>
      <c r="I72" s="14">
        <f t="shared" si="43"/>
        <v>-0.56310686242512986</v>
      </c>
    </row>
    <row r="73" spans="1:11" ht="15.6" thickBot="1">
      <c r="B73" s="38"/>
      <c r="C73" s="42"/>
      <c r="D73" s="23">
        <f>$B71*C74</f>
        <v>0</v>
      </c>
      <c r="E73" s="23">
        <f>$B71*D74</f>
        <v>1.1481481481481481</v>
      </c>
      <c r="F73" s="23">
        <f>$B71*E74</f>
        <v>-0.80795610425240061</v>
      </c>
      <c r="G73" s="23">
        <f>$B71*F74</f>
        <v>-29.776253619875021</v>
      </c>
      <c r="H73" s="23">
        <f>$B71*G74</f>
        <v>-4.1618693326258267</v>
      </c>
      <c r="I73" s="39"/>
    </row>
    <row r="74" spans="1:11" ht="15.6">
      <c r="C74" s="13">
        <f t="shared" ref="C74:H74" si="44">SUM(C72:C73)</f>
        <v>0</v>
      </c>
      <c r="D74" s="13">
        <f t="shared" si="44"/>
        <v>1</v>
      </c>
      <c r="E74" s="13">
        <f t="shared" si="44"/>
        <v>-0.70370370370370372</v>
      </c>
      <c r="F74" s="13">
        <f t="shared" si="44"/>
        <v>-25.934156378600825</v>
      </c>
      <c r="G74" s="13">
        <f t="shared" si="44"/>
        <v>-3.6248539348676552</v>
      </c>
      <c r="H74" s="8">
        <f t="shared" si="44"/>
        <v>99.863811787197449</v>
      </c>
    </row>
    <row r="76" spans="1:11" ht="15">
      <c r="B76" s="25" t="s">
        <v>12</v>
      </c>
      <c r="C76" s="27">
        <f t="shared" ref="C76:I76" si="45">C70</f>
        <v>0</v>
      </c>
      <c r="D76" s="28">
        <f t="shared" si="45"/>
        <v>1</v>
      </c>
      <c r="E76" s="28">
        <f t="shared" si="45"/>
        <v>-3</v>
      </c>
      <c r="F76" s="28">
        <f t="shared" si="45"/>
        <v>-23</v>
      </c>
      <c r="G76" s="28">
        <f t="shared" si="45"/>
        <v>55</v>
      </c>
      <c r="H76" s="28">
        <f t="shared" si="45"/>
        <v>74</v>
      </c>
      <c r="I76" s="28">
        <f t="shared" si="45"/>
        <v>-120</v>
      </c>
    </row>
    <row r="77" spans="1:11" ht="15">
      <c r="B77" s="41">
        <f>B71-I72/H74</f>
        <v>1.1537868960824356</v>
      </c>
      <c r="C77" s="5"/>
      <c r="D77" s="6">
        <f t="shared" ref="D77:I77" si="46">$B77*C78</f>
        <v>0</v>
      </c>
      <c r="E77" s="6">
        <f t="shared" si="46"/>
        <v>1.1537868960824356</v>
      </c>
      <c r="F77" s="6">
        <f t="shared" si="46"/>
        <v>-2.1301364866757657</v>
      </c>
      <c r="G77" s="6">
        <f t="shared" si="46"/>
        <v>-28.994822175089595</v>
      </c>
      <c r="H77" s="6">
        <f t="shared" si="46"/>
        <v>30.004433404675158</v>
      </c>
      <c r="I77" s="6">
        <f t="shared" si="46"/>
        <v>119.99895239679252</v>
      </c>
      <c r="J77" s="5">
        <f>ABS(B77-B71)</f>
        <v>5.6387479342874247E-3</v>
      </c>
      <c r="K77" s="6">
        <f xml:space="preserve"> ABS(J77/B77)*100</f>
        <v>0.48871658652331829</v>
      </c>
    </row>
    <row r="78" spans="1:11" ht="15.6">
      <c r="B78" s="35"/>
      <c r="C78" s="26">
        <f t="shared" ref="C78:I78" si="47">SUM(C76:C77)</f>
        <v>0</v>
      </c>
      <c r="D78" s="13">
        <f t="shared" si="47"/>
        <v>1</v>
      </c>
      <c r="E78" s="13">
        <f t="shared" si="47"/>
        <v>-1.8462131039175644</v>
      </c>
      <c r="F78" s="13">
        <f t="shared" si="47"/>
        <v>-25.130136486675767</v>
      </c>
      <c r="G78" s="13">
        <f t="shared" si="47"/>
        <v>26.005177824910405</v>
      </c>
      <c r="H78" s="13">
        <f t="shared" si="47"/>
        <v>104.00443340467515</v>
      </c>
      <c r="I78" s="14">
        <f t="shared" si="47"/>
        <v>-1.0476032074819841E-3</v>
      </c>
    </row>
    <row r="79" spans="1:11" ht="15.6" thickBot="1">
      <c r="B79" s="38"/>
      <c r="C79" s="22"/>
      <c r="D79" s="23">
        <f>$B77*C80</f>
        <v>0</v>
      </c>
      <c r="E79" s="23">
        <f>$B77*D80</f>
        <v>1.1537868960824356</v>
      </c>
      <c r="F79" s="23">
        <f>$B77*E80</f>
        <v>-0.79891228510422474</v>
      </c>
      <c r="G79" s="23">
        <f>$B77*F80</f>
        <v>-29.916596700762128</v>
      </c>
      <c r="H79" s="23">
        <f>$B77*G80</f>
        <v>-4.5129438440472089</v>
      </c>
      <c r="I79" s="24"/>
    </row>
    <row r="80" spans="1:11" ht="15.6">
      <c r="C80" s="13">
        <f t="shared" ref="C80:H80" si="48">SUM(C78:C79)</f>
        <v>0</v>
      </c>
      <c r="D80" s="13">
        <f t="shared" si="48"/>
        <v>1</v>
      </c>
      <c r="E80" s="13">
        <f t="shared" si="48"/>
        <v>-0.69242620783512887</v>
      </c>
      <c r="F80" s="13">
        <f t="shared" si="48"/>
        <v>-25.929048771779993</v>
      </c>
      <c r="G80" s="13">
        <f t="shared" si="48"/>
        <v>-3.911418875851723</v>
      </c>
      <c r="H80" s="8">
        <f t="shared" si="48"/>
        <v>99.49148956062794</v>
      </c>
      <c r="I80" s="15"/>
    </row>
    <row r="82" spans="1:11" ht="15">
      <c r="B82" s="25" t="s">
        <v>13</v>
      </c>
      <c r="C82" s="27">
        <f t="shared" ref="C82:I82" si="49">C76</f>
        <v>0</v>
      </c>
      <c r="D82" s="28">
        <f t="shared" si="49"/>
        <v>1</v>
      </c>
      <c r="E82" s="28">
        <f t="shared" si="49"/>
        <v>-3</v>
      </c>
      <c r="F82" s="28">
        <f t="shared" si="49"/>
        <v>-23</v>
      </c>
      <c r="G82" s="28">
        <f t="shared" si="49"/>
        <v>55</v>
      </c>
      <c r="H82" s="28">
        <f t="shared" si="49"/>
        <v>74</v>
      </c>
      <c r="I82" s="28">
        <f t="shared" si="49"/>
        <v>-120</v>
      </c>
      <c r="J82" s="15"/>
      <c r="K82" s="15"/>
    </row>
    <row r="83" spans="1:11" ht="15">
      <c r="B83" s="12">
        <f>B77-I78/H80</f>
        <v>1.153797425658504</v>
      </c>
      <c r="C83" s="20"/>
      <c r="D83" s="6">
        <f t="shared" ref="D83:I83" si="50">$B83*C84</f>
        <v>0</v>
      </c>
      <c r="E83" s="6">
        <f t="shared" si="50"/>
        <v>1.153797425658504</v>
      </c>
      <c r="F83" s="6">
        <f t="shared" si="50"/>
        <v>-2.1301437775193208</v>
      </c>
      <c r="G83" s="6">
        <f t="shared" si="50"/>
        <v>-28.995095196929867</v>
      </c>
      <c r="H83" s="6">
        <f t="shared" si="50"/>
        <v>30.004392216276784</v>
      </c>
      <c r="I83" s="6">
        <f t="shared" si="50"/>
        <v>119.9999999963175</v>
      </c>
      <c r="J83" s="5">
        <f>ABS(B83-B77)</f>
        <v>1.0529576068396551E-5</v>
      </c>
      <c r="K83" s="6">
        <f xml:space="preserve"> ABS(J83/B83)*100</f>
        <v>9.1260179943520258E-4</v>
      </c>
    </row>
    <row r="84" spans="1:11" ht="15.6">
      <c r="B84" s="35"/>
      <c r="C84" s="26">
        <f t="shared" ref="C84:I84" si="51">SUM(C82:C83)</f>
        <v>0</v>
      </c>
      <c r="D84" s="13">
        <f t="shared" si="51"/>
        <v>1</v>
      </c>
      <c r="E84" s="13">
        <f t="shared" si="51"/>
        <v>-1.846202574341496</v>
      </c>
      <c r="F84" s="13">
        <f t="shared" si="51"/>
        <v>-25.130143777519322</v>
      </c>
      <c r="G84" s="13">
        <f t="shared" si="51"/>
        <v>26.004904803070133</v>
      </c>
      <c r="H84" s="13">
        <f t="shared" si="51"/>
        <v>104.00439221627678</v>
      </c>
      <c r="I84" s="14">
        <f t="shared" si="51"/>
        <v>-3.6825014149144408E-9</v>
      </c>
      <c r="J84" s="15"/>
      <c r="K84" s="15"/>
    </row>
    <row r="85" spans="1:11" ht="15.6" thickBot="1">
      <c r="B85" s="38"/>
      <c r="C85" s="22"/>
      <c r="D85" s="23">
        <f>$B83*C86</f>
        <v>0</v>
      </c>
      <c r="E85" s="23">
        <f>$B83*D86</f>
        <v>1.153797425658504</v>
      </c>
      <c r="F85" s="23">
        <f>$B83*E86</f>
        <v>-0.79889527806312999</v>
      </c>
      <c r="G85" s="23">
        <f>$B83*F86</f>
        <v>-29.916858512129842</v>
      </c>
      <c r="H85" s="23">
        <f>$B83*G86</f>
        <v>-4.5136021188083291</v>
      </c>
      <c r="I85" s="24"/>
      <c r="J85" s="15"/>
      <c r="K85" s="15"/>
    </row>
    <row r="86" spans="1:11" ht="15.6">
      <c r="C86" s="13">
        <f t="shared" ref="C86:H86" si="52">SUM(C84:C85)</f>
        <v>0</v>
      </c>
      <c r="D86" s="13">
        <f t="shared" si="52"/>
        <v>1</v>
      </c>
      <c r="E86" s="13">
        <f t="shared" si="52"/>
        <v>-0.69240514868299208</v>
      </c>
      <c r="F86" s="13">
        <f t="shared" si="52"/>
        <v>-25.929039055582454</v>
      </c>
      <c r="G86" s="13">
        <f t="shared" si="52"/>
        <v>-3.9119537090597092</v>
      </c>
      <c r="H86" s="8">
        <f t="shared" si="52"/>
        <v>99.490790097468448</v>
      </c>
      <c r="I86" s="15"/>
      <c r="J86" s="15"/>
      <c r="K86" s="15"/>
    </row>
    <row r="88" spans="1:11" ht="15">
      <c r="B88" s="25" t="s">
        <v>14</v>
      </c>
      <c r="C88" s="27">
        <f t="shared" ref="C88:I88" si="53">C82</f>
        <v>0</v>
      </c>
      <c r="D88" s="28">
        <f t="shared" si="53"/>
        <v>1</v>
      </c>
      <c r="E88" s="28">
        <f t="shared" si="53"/>
        <v>-3</v>
      </c>
      <c r="F88" s="28">
        <f t="shared" si="53"/>
        <v>-23</v>
      </c>
      <c r="G88" s="28">
        <f t="shared" si="53"/>
        <v>55</v>
      </c>
      <c r="H88" s="28">
        <f t="shared" si="53"/>
        <v>74</v>
      </c>
      <c r="I88" s="28">
        <f t="shared" si="53"/>
        <v>-120</v>
      </c>
      <c r="J88" s="15"/>
      <c r="K88" s="15"/>
    </row>
    <row r="89" spans="1:11" ht="15">
      <c r="B89" s="12">
        <f>B83-I84/H86</f>
        <v>1.1537974256955175</v>
      </c>
      <c r="C89" s="20"/>
      <c r="D89" s="6">
        <f t="shared" ref="D89:I89" si="54">$B89*C90</f>
        <v>0</v>
      </c>
      <c r="E89" s="6">
        <f t="shared" si="54"/>
        <v>1.1537974256955175</v>
      </c>
      <c r="F89" s="6">
        <f t="shared" si="54"/>
        <v>-2.1301437775449492</v>
      </c>
      <c r="G89" s="6">
        <f t="shared" si="54"/>
        <v>-28.995095197889587</v>
      </c>
      <c r="H89" s="6">
        <f t="shared" si="54"/>
        <v>30.004392216131993</v>
      </c>
      <c r="I89" s="6">
        <f t="shared" si="54"/>
        <v>120</v>
      </c>
      <c r="J89" s="5">
        <f>ABS(B89-B83)</f>
        <v>3.7013503373373169E-11</v>
      </c>
      <c r="K89" s="6">
        <f xml:space="preserve"> ABS(J89/B89)*100</f>
        <v>3.207972435114523E-9</v>
      </c>
    </row>
    <row r="90" spans="1:11" ht="15.6">
      <c r="B90" s="35"/>
      <c r="C90" s="26">
        <f t="shared" ref="C90:I90" si="55">SUM(C88:C89)</f>
        <v>0</v>
      </c>
      <c r="D90" s="13">
        <f t="shared" si="55"/>
        <v>1</v>
      </c>
      <c r="E90" s="13">
        <f t="shared" si="55"/>
        <v>-1.8462025743044825</v>
      </c>
      <c r="F90" s="13">
        <f t="shared" si="55"/>
        <v>-25.130143777544948</v>
      </c>
      <c r="G90" s="13">
        <f t="shared" si="55"/>
        <v>26.004904802110413</v>
      </c>
      <c r="H90" s="13">
        <f t="shared" si="55"/>
        <v>104.00439221613199</v>
      </c>
      <c r="I90" s="14">
        <f t="shared" si="55"/>
        <v>0</v>
      </c>
      <c r="J90" s="15"/>
      <c r="K90" s="15"/>
    </row>
    <row r="91" spans="1:11" ht="15.6" thickBot="1">
      <c r="B91" s="38"/>
      <c r="C91" s="22"/>
      <c r="D91" s="23">
        <f>$B89*C92</f>
        <v>0</v>
      </c>
      <c r="E91" s="23">
        <f>$B89*D92</f>
        <v>1.1537974256955175</v>
      </c>
      <c r="F91" s="23">
        <f>$B89*E92</f>
        <v>-0.79889527800334614</v>
      </c>
      <c r="G91" s="23">
        <f>$B89*F92</f>
        <v>-29.916858513050155</v>
      </c>
      <c r="H91" s="23">
        <f>$B89*G92</f>
        <v>-4.5136021211223003</v>
      </c>
      <c r="I91" s="24"/>
      <c r="J91" s="15"/>
      <c r="K91" s="15"/>
    </row>
    <row r="92" spans="1:11" ht="15.6">
      <c r="C92" s="13">
        <f t="shared" ref="C92:H92" si="56">SUM(C90:C91)</f>
        <v>0</v>
      </c>
      <c r="D92" s="13">
        <f t="shared" si="56"/>
        <v>1</v>
      </c>
      <c r="E92" s="13">
        <f t="shared" si="56"/>
        <v>-0.69240514860896507</v>
      </c>
      <c r="F92" s="13">
        <f t="shared" si="56"/>
        <v>-25.929039055548294</v>
      </c>
      <c r="G92" s="13">
        <f t="shared" si="56"/>
        <v>-3.9119537109397413</v>
      </c>
      <c r="H92" s="8">
        <f t="shared" si="56"/>
        <v>99.490790095009686</v>
      </c>
      <c r="I92" s="15"/>
      <c r="J92" s="15"/>
      <c r="K92" s="15"/>
    </row>
    <row r="94" spans="1:11" ht="15.6">
      <c r="A94" s="16" t="s">
        <v>0</v>
      </c>
      <c r="B94" s="29"/>
      <c r="C94" s="30" t="s">
        <v>1</v>
      </c>
      <c r="D94" s="30" t="s">
        <v>2</v>
      </c>
      <c r="E94" s="30" t="s">
        <v>3</v>
      </c>
      <c r="F94" s="30" t="s">
        <v>4</v>
      </c>
      <c r="G94" s="30" t="s">
        <v>5</v>
      </c>
      <c r="H94" s="30" t="s">
        <v>6</v>
      </c>
      <c r="I94" s="30" t="s">
        <v>7</v>
      </c>
      <c r="J94" s="32">
        <v>0.02</v>
      </c>
      <c r="K94" s="33"/>
    </row>
    <row r="95" spans="1:11" ht="15.6">
      <c r="A95" s="17"/>
      <c r="B95" s="25" t="s">
        <v>8</v>
      </c>
      <c r="C95" s="36">
        <v>0</v>
      </c>
      <c r="D95" s="31">
        <v>1</v>
      </c>
      <c r="E95" s="31">
        <v>-3</v>
      </c>
      <c r="F95" s="31">
        <v>-23</v>
      </c>
      <c r="G95" s="31">
        <v>55</v>
      </c>
      <c r="H95" s="31">
        <v>74</v>
      </c>
      <c r="I95" s="31">
        <v>-120</v>
      </c>
      <c r="J95" s="18" t="s">
        <v>9</v>
      </c>
      <c r="K95" s="19" t="s">
        <v>10</v>
      </c>
    </row>
    <row r="96" spans="1:11" ht="15.6">
      <c r="A96" s="17"/>
      <c r="B96" s="37">
        <v>-1.5</v>
      </c>
      <c r="C96" s="34"/>
      <c r="D96" s="2">
        <f t="shared" ref="D96:I96" si="57">$B96*C97</f>
        <v>0</v>
      </c>
      <c r="E96" s="2">
        <f t="shared" si="57"/>
        <v>-1.5</v>
      </c>
      <c r="F96" s="2">
        <f t="shared" si="57"/>
        <v>6.75</v>
      </c>
      <c r="G96" s="2">
        <f t="shared" si="57"/>
        <v>24.375</v>
      </c>
      <c r="H96" s="2">
        <f t="shared" si="57"/>
        <v>-119.0625</v>
      </c>
      <c r="I96" s="2">
        <f t="shared" si="57"/>
        <v>67.59375</v>
      </c>
      <c r="J96" s="5"/>
      <c r="K96" s="6"/>
    </row>
    <row r="97" spans="2:11" ht="15.6">
      <c r="B97" s="4"/>
      <c r="C97" s="20">
        <f>SUM(C95:C96)</f>
        <v>0</v>
      </c>
      <c r="D97" s="5">
        <f t="shared" ref="D97:I97" si="58">SUM(D95:D96)</f>
        <v>1</v>
      </c>
      <c r="E97" s="6">
        <f t="shared" si="58"/>
        <v>-4.5</v>
      </c>
      <c r="F97" s="6">
        <f t="shared" si="58"/>
        <v>-16.25</v>
      </c>
      <c r="G97" s="6">
        <f t="shared" si="58"/>
        <v>79.375</v>
      </c>
      <c r="H97" s="6">
        <f t="shared" si="58"/>
        <v>-45.0625</v>
      </c>
      <c r="I97" s="7">
        <f t="shared" si="58"/>
        <v>-52.40625</v>
      </c>
      <c r="J97" s="5"/>
      <c r="K97" s="6"/>
    </row>
    <row r="98" spans="2:11" ht="15.6" thickBot="1">
      <c r="C98" s="21"/>
      <c r="D98" s="22">
        <f>$B96*C99</f>
        <v>0</v>
      </c>
      <c r="E98" s="23">
        <f>$B96*D99</f>
        <v>-1.5</v>
      </c>
      <c r="F98" s="23">
        <f>$B96*E99</f>
        <v>9</v>
      </c>
      <c r="G98" s="23">
        <f>$B96*F99</f>
        <v>10.875</v>
      </c>
      <c r="H98" s="24">
        <f>$B96*G99</f>
        <v>-135.375</v>
      </c>
      <c r="I98" s="1"/>
      <c r="J98" s="6"/>
      <c r="K98" s="6"/>
    </row>
    <row r="99" spans="2:11" ht="15.6">
      <c r="C99" s="13">
        <f>SUM(C97:C98)</f>
        <v>0</v>
      </c>
      <c r="D99" s="13">
        <f t="shared" ref="D99:H99" si="59">SUM(D97:D98)</f>
        <v>1</v>
      </c>
      <c r="E99" s="13">
        <f t="shared" si="59"/>
        <v>-6</v>
      </c>
      <c r="F99" s="13">
        <f t="shared" si="59"/>
        <v>-7.25</v>
      </c>
      <c r="G99" s="13">
        <f t="shared" si="59"/>
        <v>90.25</v>
      </c>
      <c r="H99" s="8">
        <f t="shared" si="59"/>
        <v>-180.4375</v>
      </c>
      <c r="I99" s="9"/>
      <c r="J99" s="6"/>
      <c r="K99" s="5"/>
    </row>
    <row r="100" spans="2:11" ht="15">
      <c r="C100" s="9"/>
      <c r="D100" s="9"/>
      <c r="E100" s="9"/>
      <c r="F100" s="9"/>
      <c r="G100" s="9"/>
      <c r="H100" s="9"/>
      <c r="I100" s="9"/>
      <c r="J100" s="6"/>
      <c r="K100" s="5"/>
    </row>
    <row r="101" spans="2:11" ht="15">
      <c r="B101" s="25" t="s">
        <v>11</v>
      </c>
      <c r="C101" s="10">
        <f t="shared" ref="C101:I101" si="60">C95</f>
        <v>0</v>
      </c>
      <c r="D101" s="11">
        <f t="shared" si="60"/>
        <v>1</v>
      </c>
      <c r="E101" s="11">
        <f t="shared" si="60"/>
        <v>-3</v>
      </c>
      <c r="F101" s="11">
        <f t="shared" si="60"/>
        <v>-23</v>
      </c>
      <c r="G101" s="11">
        <f t="shared" si="60"/>
        <v>55</v>
      </c>
      <c r="H101" s="11">
        <f t="shared" si="60"/>
        <v>74</v>
      </c>
      <c r="I101" s="12">
        <f t="shared" si="60"/>
        <v>-120</v>
      </c>
      <c r="J101" s="6"/>
      <c r="K101" s="5"/>
    </row>
    <row r="102" spans="2:11" ht="15">
      <c r="B102" s="12">
        <f>B96-I97/H99</f>
        <v>-1.790439903013509</v>
      </c>
      <c r="C102" s="40"/>
      <c r="D102" s="6">
        <f t="shared" ref="D102:I102" si="61">$B102*C103</f>
        <v>0</v>
      </c>
      <c r="E102" s="6">
        <f>$B102*D103</f>
        <v>-1.790439903013509</v>
      </c>
      <c r="F102" s="6">
        <f t="shared" si="61"/>
        <v>8.5769947553435504</v>
      </c>
      <c r="G102" s="6">
        <f t="shared" si="61"/>
        <v>25.823524111406027</v>
      </c>
      <c r="H102" s="6">
        <f t="shared" si="61"/>
        <v>-144.7096626712358</v>
      </c>
      <c r="I102" s="6">
        <f t="shared" si="61"/>
        <v>126.60140157520537</v>
      </c>
      <c r="J102" s="26">
        <f>ABS(B102-B96)</f>
        <v>0.29043990301350897</v>
      </c>
      <c r="K102" s="6">
        <f xml:space="preserve"> ABS(J102/B102)*100</f>
        <v>16.22170632617528</v>
      </c>
    </row>
    <row r="103" spans="2:11" ht="15.6">
      <c r="B103" s="35"/>
      <c r="C103" s="26">
        <f t="shared" ref="C103:I103" si="62">SUM(C101:C102)</f>
        <v>0</v>
      </c>
      <c r="D103" s="13">
        <f t="shared" si="62"/>
        <v>1</v>
      </c>
      <c r="E103" s="13">
        <f t="shared" si="62"/>
        <v>-4.7904399030135085</v>
      </c>
      <c r="F103" s="13">
        <f>SUM(F101:F102)</f>
        <v>-14.42300524465645</v>
      </c>
      <c r="G103" s="13">
        <f t="shared" si="62"/>
        <v>80.82352411140603</v>
      </c>
      <c r="H103" s="13">
        <f t="shared" si="62"/>
        <v>-70.709662671235805</v>
      </c>
      <c r="I103" s="14">
        <f t="shared" si="62"/>
        <v>6.6014015752053723</v>
      </c>
    </row>
    <row r="104" spans="2:11" ht="15.6" thickBot="1">
      <c r="B104" s="38"/>
      <c r="C104" s="42"/>
      <c r="D104" s="23">
        <f>$B102*C105</f>
        <v>0</v>
      </c>
      <c r="E104" s="23">
        <f>$B102*D105</f>
        <v>-1.790439903013509</v>
      </c>
      <c r="F104" s="23">
        <f>$B102*E105</f>
        <v>11.782669801646572</v>
      </c>
      <c r="G104" s="23">
        <f>$B102*F105</f>
        <v>4.7273619345057361</v>
      </c>
      <c r="H104" s="23">
        <f>$B102*G105</f>
        <v>-153.17372011476203</v>
      </c>
      <c r="I104" s="39"/>
    </row>
    <row r="105" spans="2:11" ht="15.6">
      <c r="C105" s="13">
        <f t="shared" ref="C105:H105" si="63">SUM(C103:C104)</f>
        <v>0</v>
      </c>
      <c r="D105" s="13">
        <f t="shared" si="63"/>
        <v>1</v>
      </c>
      <c r="E105" s="13">
        <f t="shared" si="63"/>
        <v>-6.5808798060270171</v>
      </c>
      <c r="F105" s="13">
        <f t="shared" si="63"/>
        <v>-2.640335443009878</v>
      </c>
      <c r="G105" s="13">
        <f t="shared" si="63"/>
        <v>85.550886045911767</v>
      </c>
      <c r="H105" s="8">
        <f t="shared" si="63"/>
        <v>-223.88338278599784</v>
      </c>
    </row>
    <row r="107" spans="2:11" ht="15">
      <c r="B107" s="25" t="s">
        <v>12</v>
      </c>
      <c r="C107" s="27">
        <f t="shared" ref="C107:I107" si="64">C101</f>
        <v>0</v>
      </c>
      <c r="D107" s="28">
        <f t="shared" si="64"/>
        <v>1</v>
      </c>
      <c r="E107" s="28">
        <f t="shared" si="64"/>
        <v>-3</v>
      </c>
      <c r="F107" s="28">
        <f t="shared" si="64"/>
        <v>-23</v>
      </c>
      <c r="G107" s="28">
        <f t="shared" si="64"/>
        <v>55</v>
      </c>
      <c r="H107" s="28">
        <f t="shared" si="64"/>
        <v>74</v>
      </c>
      <c r="I107" s="28">
        <f t="shared" si="64"/>
        <v>-120</v>
      </c>
    </row>
    <row r="108" spans="2:11" ht="15">
      <c r="B108" s="41">
        <f>B102-I103/H105</f>
        <v>-1.7609540095404976</v>
      </c>
      <c r="C108" s="5"/>
      <c r="D108" s="6">
        <f t="shared" ref="D108:I108" si="65">$B108*C109</f>
        <v>0</v>
      </c>
      <c r="E108" s="6">
        <f t="shared" si="65"/>
        <v>-1.7609540095404976</v>
      </c>
      <c r="F108" s="6">
        <f t="shared" si="65"/>
        <v>8.3838210523382486</v>
      </c>
      <c r="G108" s="6">
        <f t="shared" si="65"/>
        <v>25.738418922046371</v>
      </c>
      <c r="H108" s="6">
        <f t="shared" si="65"/>
        <v>-142.17664252473796</v>
      </c>
      <c r="I108" s="6">
        <f t="shared" si="65"/>
        <v>120.05593201094651</v>
      </c>
      <c r="J108" s="5">
        <f>ABS(B108-B102)</f>
        <v>2.9485893473011338E-2</v>
      </c>
      <c r="K108" s="6">
        <f xml:space="preserve"> ABS(J108/B108)*100</f>
        <v>1.6744272316745721</v>
      </c>
    </row>
    <row r="109" spans="2:11" ht="15.6">
      <c r="B109" s="35"/>
      <c r="C109" s="26">
        <f t="shared" ref="C109:I109" si="66">SUM(C107:C108)</f>
        <v>0</v>
      </c>
      <c r="D109" s="13">
        <f t="shared" si="66"/>
        <v>1</v>
      </c>
      <c r="E109" s="13">
        <f t="shared" si="66"/>
        <v>-4.7609540095404981</v>
      </c>
      <c r="F109" s="13">
        <f t="shared" si="66"/>
        <v>-14.616178947661751</v>
      </c>
      <c r="G109" s="13">
        <f t="shared" si="66"/>
        <v>80.738418922046378</v>
      </c>
      <c r="H109" s="13">
        <f t="shared" si="66"/>
        <v>-68.176642524737957</v>
      </c>
      <c r="I109" s="14">
        <f t="shared" si="66"/>
        <v>5.5932010946506239E-2</v>
      </c>
    </row>
    <row r="110" spans="2:11" ht="15.6" thickBot="1">
      <c r="B110" s="38"/>
      <c r="C110" s="22"/>
      <c r="D110" s="23">
        <f>$B108*C111</f>
        <v>0</v>
      </c>
      <c r="E110" s="23">
        <f>$B108*D111</f>
        <v>-1.7609540095404976</v>
      </c>
      <c r="F110" s="23">
        <f>$B108*E111</f>
        <v>11.484780076055005</v>
      </c>
      <c r="G110" s="23">
        <f>$B108*F111</f>
        <v>5.5142493984264904</v>
      </c>
      <c r="H110" s="23">
        <f>$B108*G111</f>
        <v>-151.88698211250335</v>
      </c>
      <c r="I110" s="24"/>
    </row>
    <row r="111" spans="2:11" ht="15.6">
      <c r="C111" s="13">
        <f t="shared" ref="C111:H111" si="67">SUM(C109:C110)</f>
        <v>0</v>
      </c>
      <c r="D111" s="13">
        <f t="shared" si="67"/>
        <v>1</v>
      </c>
      <c r="E111" s="13">
        <f t="shared" si="67"/>
        <v>-6.5219080190809962</v>
      </c>
      <c r="F111" s="13">
        <f t="shared" si="67"/>
        <v>-3.1313988716067467</v>
      </c>
      <c r="G111" s="13">
        <f t="shared" si="67"/>
        <v>86.252668320472864</v>
      </c>
      <c r="H111" s="8">
        <f t="shared" si="67"/>
        <v>-220.0636246372413</v>
      </c>
      <c r="I111" s="15"/>
    </row>
    <row r="113" spans="1:11" ht="15">
      <c r="B113" s="25" t="s">
        <v>13</v>
      </c>
      <c r="C113" s="27">
        <f t="shared" ref="C113:I113" si="68">C107</f>
        <v>0</v>
      </c>
      <c r="D113" s="28">
        <f t="shared" si="68"/>
        <v>1</v>
      </c>
      <c r="E113" s="28">
        <f t="shared" si="68"/>
        <v>-3</v>
      </c>
      <c r="F113" s="28">
        <f t="shared" si="68"/>
        <v>-23</v>
      </c>
      <c r="G113" s="28">
        <f t="shared" si="68"/>
        <v>55</v>
      </c>
      <c r="H113" s="28">
        <f t="shared" si="68"/>
        <v>74</v>
      </c>
      <c r="I113" s="28">
        <f t="shared" si="68"/>
        <v>-120</v>
      </c>
      <c r="J113" s="15"/>
      <c r="K113" s="15"/>
    </row>
    <row r="114" spans="1:11" ht="15">
      <c r="B114" s="12">
        <f>B108-I109/H111</f>
        <v>-1.7606998466317538</v>
      </c>
      <c r="C114" s="20"/>
      <c r="D114" s="6">
        <f t="shared" ref="D114:I114" si="69">$B114*C115</f>
        <v>0</v>
      </c>
      <c r="E114" s="6">
        <f t="shared" si="69"/>
        <v>-1.7606998466317538</v>
      </c>
      <c r="F114" s="6">
        <f t="shared" si="69"/>
        <v>8.3821634898243431</v>
      </c>
      <c r="G114" s="6">
        <f t="shared" si="69"/>
        <v>25.737622501554331</v>
      </c>
      <c r="H114" s="6">
        <f t="shared" si="69"/>
        <v>-142.15471955589913</v>
      </c>
      <c r="I114" s="6">
        <f t="shared" si="69"/>
        <v>120.0000042693018</v>
      </c>
      <c r="J114" s="5">
        <f>ABS(B114-B108)</f>
        <v>2.5416290874380465E-4</v>
      </c>
      <c r="K114" s="6">
        <f xml:space="preserve"> ABS(J114/B114)*100</f>
        <v>1.4435334292214668E-2</v>
      </c>
    </row>
    <row r="115" spans="1:11" ht="15.6">
      <c r="B115" s="35"/>
      <c r="C115" s="26">
        <f t="shared" ref="C115:I115" si="70">SUM(C113:C114)</f>
        <v>0</v>
      </c>
      <c r="D115" s="13">
        <f t="shared" si="70"/>
        <v>1</v>
      </c>
      <c r="E115" s="13">
        <f t="shared" si="70"/>
        <v>-4.7606998466317538</v>
      </c>
      <c r="F115" s="13">
        <f t="shared" si="70"/>
        <v>-14.617836510175657</v>
      </c>
      <c r="G115" s="13">
        <f t="shared" si="70"/>
        <v>80.737622501554327</v>
      </c>
      <c r="H115" s="13">
        <f t="shared" si="70"/>
        <v>-68.154719555899135</v>
      </c>
      <c r="I115" s="14">
        <f t="shared" si="70"/>
        <v>4.2693017974215763E-6</v>
      </c>
      <c r="J115" s="15"/>
      <c r="K115" s="15"/>
    </row>
    <row r="116" spans="1:11" ht="15.6" thickBot="1">
      <c r="B116" s="38"/>
      <c r="C116" s="22"/>
      <c r="D116" s="23">
        <f>$B114*C117</f>
        <v>0</v>
      </c>
      <c r="E116" s="23">
        <f>$B114*D117</f>
        <v>-1.7606998466317538</v>
      </c>
      <c r="F116" s="23">
        <f>$B114*E117</f>
        <v>11.482227439753425</v>
      </c>
      <c r="G116" s="23">
        <f>$B114*F117</f>
        <v>5.5208664093895603</v>
      </c>
      <c r="H116" s="23">
        <f>$B114*G117</f>
        <v>-151.87530819618573</v>
      </c>
      <c r="I116" s="24"/>
      <c r="J116" s="15"/>
      <c r="K116" s="15"/>
    </row>
    <row r="117" spans="1:11" ht="15.6">
      <c r="C117" s="13">
        <f t="shared" ref="C117:H117" si="71">SUM(C115:C116)</f>
        <v>0</v>
      </c>
      <c r="D117" s="13">
        <f t="shared" si="71"/>
        <v>1</v>
      </c>
      <c r="E117" s="13">
        <f t="shared" si="71"/>
        <v>-6.5213996932635077</v>
      </c>
      <c r="F117" s="13">
        <f t="shared" si="71"/>
        <v>-3.1356090704222321</v>
      </c>
      <c r="G117" s="13">
        <f t="shared" si="71"/>
        <v>86.258488910943882</v>
      </c>
      <c r="H117" s="8">
        <f t="shared" si="71"/>
        <v>-220.03002775208486</v>
      </c>
      <c r="I117" s="15"/>
      <c r="J117" s="15"/>
      <c r="K117" s="15"/>
    </row>
    <row r="119" spans="1:11" ht="15">
      <c r="B119" s="25" t="s">
        <v>14</v>
      </c>
      <c r="C119" s="27">
        <f t="shared" ref="C119:I119" si="72">C113</f>
        <v>0</v>
      </c>
      <c r="D119" s="28">
        <f t="shared" si="72"/>
        <v>1</v>
      </c>
      <c r="E119" s="28">
        <f t="shared" si="72"/>
        <v>-3</v>
      </c>
      <c r="F119" s="28">
        <f t="shared" si="72"/>
        <v>-23</v>
      </c>
      <c r="G119" s="28">
        <f t="shared" si="72"/>
        <v>55</v>
      </c>
      <c r="H119" s="28">
        <f t="shared" si="72"/>
        <v>74</v>
      </c>
      <c r="I119" s="28">
        <f t="shared" si="72"/>
        <v>-120</v>
      </c>
      <c r="J119" s="15"/>
      <c r="K119" s="15"/>
    </row>
    <row r="120" spans="1:11" ht="15">
      <c r="B120" s="12">
        <f>B114-I115/H117</f>
        <v>-1.7606998272284848</v>
      </c>
      <c r="C120" s="20"/>
      <c r="D120" s="6">
        <f t="shared" ref="D120:I120" si="73">$B120*C121</f>
        <v>0</v>
      </c>
      <c r="E120" s="6">
        <f t="shared" si="73"/>
        <v>-1.7606998272284848</v>
      </c>
      <c r="F120" s="6">
        <f t="shared" si="73"/>
        <v>8.3821633632878711</v>
      </c>
      <c r="G120" s="6">
        <f t="shared" si="73"/>
        <v>25.73762244071326</v>
      </c>
      <c r="H120" s="6">
        <f t="shared" si="73"/>
        <v>-142.15471788220248</v>
      </c>
      <c r="I120" s="6">
        <f t="shared" si="73"/>
        <v>120.00000000000003</v>
      </c>
      <c r="J120" s="5">
        <f>ABS(B120-B114)</f>
        <v>1.9403268991524669E-8</v>
      </c>
      <c r="K120" s="6">
        <f xml:space="preserve"> ABS(J120/B120)*100</f>
        <v>1.1020202700915425E-6</v>
      </c>
    </row>
    <row r="121" spans="1:11" ht="15.6">
      <c r="B121" s="35"/>
      <c r="C121" s="26">
        <f t="shared" ref="C121:I121" si="74">SUM(C119:C120)</f>
        <v>0</v>
      </c>
      <c r="D121" s="13">
        <f t="shared" si="74"/>
        <v>1</v>
      </c>
      <c r="E121" s="13">
        <f t="shared" si="74"/>
        <v>-4.7606998272284846</v>
      </c>
      <c r="F121" s="13">
        <f t="shared" si="74"/>
        <v>-14.617836636712129</v>
      </c>
      <c r="G121" s="13">
        <f t="shared" si="74"/>
        <v>80.737622440713267</v>
      </c>
      <c r="H121" s="13">
        <f t="shared" si="74"/>
        <v>-68.154717882202476</v>
      </c>
      <c r="I121" s="14">
        <f t="shared" si="74"/>
        <v>0</v>
      </c>
      <c r="J121" s="15"/>
      <c r="K121" s="15"/>
    </row>
    <row r="122" spans="1:11" ht="15.6" thickBot="1">
      <c r="B122" s="38"/>
      <c r="C122" s="22"/>
      <c r="D122" s="23">
        <f>$B120*C123</f>
        <v>0</v>
      </c>
      <c r="E122" s="23">
        <f>$B120*D123</f>
        <v>-1.7606998272284848</v>
      </c>
      <c r="F122" s="23">
        <f>$B120*E123</f>
        <v>11.482227244890286</v>
      </c>
      <c r="G122" s="23">
        <f>$B120*F123</f>
        <v>5.5208669144367333</v>
      </c>
      <c r="H122" s="23">
        <f>$B120*G123</f>
        <v>-151.8753073046027</v>
      </c>
      <c r="I122" s="24"/>
      <c r="J122" s="15"/>
      <c r="K122" s="15"/>
    </row>
    <row r="123" spans="1:11" ht="15.6">
      <c r="C123" s="13">
        <f t="shared" ref="C123:H123" si="75">SUM(C121:C122)</f>
        <v>0</v>
      </c>
      <c r="D123" s="13">
        <f t="shared" si="75"/>
        <v>1</v>
      </c>
      <c r="E123" s="13">
        <f t="shared" si="75"/>
        <v>-6.5213996544569692</v>
      </c>
      <c r="F123" s="13">
        <f t="shared" si="75"/>
        <v>-3.1356093918218431</v>
      </c>
      <c r="G123" s="13">
        <f t="shared" si="75"/>
        <v>86.258489355150004</v>
      </c>
      <c r="H123" s="8">
        <f t="shared" si="75"/>
        <v>-220.03002518680518</v>
      </c>
      <c r="I123" s="15"/>
      <c r="J123" s="15"/>
      <c r="K123" s="15"/>
    </row>
    <row r="125" spans="1:11" ht="15.6">
      <c r="A125" s="16" t="s">
        <v>0</v>
      </c>
      <c r="B125" s="29"/>
      <c r="C125" s="30" t="s">
        <v>1</v>
      </c>
      <c r="D125" s="30" t="s">
        <v>2</v>
      </c>
      <c r="E125" s="30" t="s">
        <v>3</v>
      </c>
      <c r="F125" s="30" t="s">
        <v>4</v>
      </c>
      <c r="G125" s="30" t="s">
        <v>5</v>
      </c>
      <c r="H125" s="30" t="s">
        <v>6</v>
      </c>
      <c r="I125" s="30" t="s">
        <v>7</v>
      </c>
      <c r="J125" s="32">
        <v>0.02</v>
      </c>
      <c r="K125" s="33"/>
    </row>
    <row r="126" spans="1:11" ht="15.6">
      <c r="A126" s="17"/>
      <c r="B126" s="25" t="s">
        <v>8</v>
      </c>
      <c r="C126" s="36">
        <v>0</v>
      </c>
      <c r="D126" s="31">
        <v>1</v>
      </c>
      <c r="E126" s="31">
        <v>-3</v>
      </c>
      <c r="F126" s="31">
        <v>-23</v>
      </c>
      <c r="G126" s="31">
        <v>55</v>
      </c>
      <c r="H126" s="31">
        <v>74</v>
      </c>
      <c r="I126" s="31">
        <v>-120</v>
      </c>
      <c r="J126" s="18" t="s">
        <v>9</v>
      </c>
      <c r="K126" s="19" t="s">
        <v>10</v>
      </c>
    </row>
    <row r="127" spans="1:11" ht="15.6">
      <c r="A127" s="17"/>
      <c r="B127" s="37">
        <v>-4</v>
      </c>
      <c r="C127" s="34"/>
      <c r="D127" s="2">
        <f t="shared" ref="D127:I127" si="76">$B127*C128</f>
        <v>0</v>
      </c>
      <c r="E127" s="2">
        <f t="shared" si="76"/>
        <v>-4</v>
      </c>
      <c r="F127" s="2">
        <f t="shared" si="76"/>
        <v>28</v>
      </c>
      <c r="G127" s="2">
        <f t="shared" si="76"/>
        <v>-20</v>
      </c>
      <c r="H127" s="2">
        <f t="shared" si="76"/>
        <v>-140</v>
      </c>
      <c r="I127" s="2">
        <f t="shared" si="76"/>
        <v>264</v>
      </c>
      <c r="J127" s="5"/>
      <c r="K127" s="6"/>
    </row>
    <row r="128" spans="1:11" ht="15.6">
      <c r="B128" s="4"/>
      <c r="C128" s="20">
        <f>SUM(C126:C127)</f>
        <v>0</v>
      </c>
      <c r="D128" s="5">
        <f t="shared" ref="D128:I128" si="77">SUM(D126:D127)</f>
        <v>1</v>
      </c>
      <c r="E128" s="6">
        <f t="shared" si="77"/>
        <v>-7</v>
      </c>
      <c r="F128" s="6">
        <f t="shared" si="77"/>
        <v>5</v>
      </c>
      <c r="G128" s="6">
        <f t="shared" si="77"/>
        <v>35</v>
      </c>
      <c r="H128" s="6">
        <f t="shared" si="77"/>
        <v>-66</v>
      </c>
      <c r="I128" s="7">
        <f t="shared" si="77"/>
        <v>144</v>
      </c>
      <c r="J128" s="5"/>
      <c r="K128" s="6"/>
    </row>
    <row r="129" spans="2:11" ht="15.6" thickBot="1">
      <c r="C129" s="21"/>
      <c r="D129" s="22">
        <f>$B127*C130</f>
        <v>0</v>
      </c>
      <c r="E129" s="23">
        <f>$B127*D130</f>
        <v>-4</v>
      </c>
      <c r="F129" s="23">
        <f>$B127*E130</f>
        <v>44</v>
      </c>
      <c r="G129" s="23">
        <f>$B127*F130</f>
        <v>-196</v>
      </c>
      <c r="H129" s="24">
        <f>$B127*G130</f>
        <v>644</v>
      </c>
      <c r="I129" s="1"/>
      <c r="J129" s="6"/>
      <c r="K129" s="6"/>
    </row>
    <row r="130" spans="2:11" ht="15.6">
      <c r="C130" s="13">
        <f>SUM(C128:C129)</f>
        <v>0</v>
      </c>
      <c r="D130" s="13">
        <f t="shared" ref="D130:H130" si="78">SUM(D128:D129)</f>
        <v>1</v>
      </c>
      <c r="E130" s="13">
        <f t="shared" si="78"/>
        <v>-11</v>
      </c>
      <c r="F130" s="13">
        <f t="shared" si="78"/>
        <v>49</v>
      </c>
      <c r="G130" s="13">
        <f t="shared" si="78"/>
        <v>-161</v>
      </c>
      <c r="H130" s="8">
        <f t="shared" si="78"/>
        <v>578</v>
      </c>
      <c r="I130" s="9"/>
      <c r="J130" s="6"/>
      <c r="K130" s="5"/>
    </row>
    <row r="131" spans="2:11" ht="15">
      <c r="C131" s="9"/>
      <c r="D131" s="9"/>
      <c r="E131" s="9"/>
      <c r="F131" s="9"/>
      <c r="G131" s="9"/>
      <c r="H131" s="9"/>
      <c r="I131" s="9"/>
      <c r="J131" s="6"/>
      <c r="K131" s="5"/>
    </row>
    <row r="132" spans="2:11" ht="15">
      <c r="B132" s="25" t="s">
        <v>11</v>
      </c>
      <c r="C132" s="10">
        <f t="shared" ref="C132:I132" si="79">C126</f>
        <v>0</v>
      </c>
      <c r="D132" s="11">
        <f t="shared" si="79"/>
        <v>1</v>
      </c>
      <c r="E132" s="11">
        <f t="shared" si="79"/>
        <v>-3</v>
      </c>
      <c r="F132" s="11">
        <f t="shared" si="79"/>
        <v>-23</v>
      </c>
      <c r="G132" s="11">
        <f t="shared" si="79"/>
        <v>55</v>
      </c>
      <c r="H132" s="11">
        <f t="shared" si="79"/>
        <v>74</v>
      </c>
      <c r="I132" s="12">
        <f t="shared" si="79"/>
        <v>-120</v>
      </c>
      <c r="J132" s="6"/>
      <c r="K132" s="5"/>
    </row>
    <row r="133" spans="2:11" ht="15">
      <c r="B133" s="12">
        <f>B127-I128/H130</f>
        <v>-4.2491349480968861</v>
      </c>
      <c r="C133" s="40"/>
      <c r="D133" s="6">
        <f t="shared" ref="D133:I133" si="80">$B133*C134</f>
        <v>0</v>
      </c>
      <c r="E133" s="6">
        <f>$B133*D134</f>
        <v>-4.2491349480968861</v>
      </c>
      <c r="F133" s="6">
        <f t="shared" si="80"/>
        <v>30.802552651428986</v>
      </c>
      <c r="G133" s="6">
        <f t="shared" si="80"/>
        <v>-33.154099155552927</v>
      </c>
      <c r="H133" s="6">
        <f t="shared" si="80"/>
        <v>-92.826180750799338</v>
      </c>
      <c r="I133" s="6">
        <f t="shared" si="80"/>
        <v>79.994982567410347</v>
      </c>
      <c r="J133" s="26">
        <f>ABS(B133-B127)</f>
        <v>0.24913494809688608</v>
      </c>
      <c r="K133" s="6">
        <f xml:space="preserve"> ABS(J133/B133)*100</f>
        <v>5.8631921824104296</v>
      </c>
    </row>
    <row r="134" spans="2:11" ht="15.6">
      <c r="B134" s="35"/>
      <c r="C134" s="26">
        <f t="shared" ref="C134:I134" si="81">SUM(C132:C133)</f>
        <v>0</v>
      </c>
      <c r="D134" s="13">
        <f t="shared" si="81"/>
        <v>1</v>
      </c>
      <c r="E134" s="13">
        <f t="shared" si="81"/>
        <v>-7.2491349480968861</v>
      </c>
      <c r="F134" s="13">
        <f>SUM(F132:F133)</f>
        <v>7.8025526514289858</v>
      </c>
      <c r="G134" s="13">
        <f t="shared" si="81"/>
        <v>21.845900844447073</v>
      </c>
      <c r="H134" s="13">
        <f t="shared" si="81"/>
        <v>-18.826180750799338</v>
      </c>
      <c r="I134" s="14">
        <f t="shared" si="81"/>
        <v>-40.005017432589653</v>
      </c>
    </row>
    <row r="135" spans="2:11" ht="15.6" thickBot="1">
      <c r="B135" s="38"/>
      <c r="C135" s="42"/>
      <c r="D135" s="23">
        <f>$B133*C136</f>
        <v>0</v>
      </c>
      <c r="E135" s="23">
        <f>$B133*D136</f>
        <v>-4.2491349480968861</v>
      </c>
      <c r="F135" s="23">
        <f>$B133*E136</f>
        <v>48.857700458567315</v>
      </c>
      <c r="G135" s="23">
        <f>$B133*F136</f>
        <v>-240.75706165770058</v>
      </c>
      <c r="H135" s="23">
        <f>$B133*G136</f>
        <v>930.18306394005299</v>
      </c>
      <c r="I135" s="39"/>
    </row>
    <row r="136" spans="2:11" ht="15.6">
      <c r="C136" s="13">
        <f t="shared" ref="C136:H136" si="82">SUM(C134:C135)</f>
        <v>0</v>
      </c>
      <c r="D136" s="13">
        <f t="shared" si="82"/>
        <v>1</v>
      </c>
      <c r="E136" s="13">
        <f t="shared" si="82"/>
        <v>-11.498269896193772</v>
      </c>
      <c r="F136" s="13">
        <f t="shared" si="82"/>
        <v>56.660253109996304</v>
      </c>
      <c r="G136" s="13">
        <f t="shared" si="82"/>
        <v>-218.9111608132535</v>
      </c>
      <c r="H136" s="8">
        <f t="shared" si="82"/>
        <v>911.35688318925361</v>
      </c>
    </row>
    <row r="138" spans="2:11" ht="15">
      <c r="B138" s="25" t="s">
        <v>12</v>
      </c>
      <c r="C138" s="27">
        <f t="shared" ref="C138:I138" si="83">C132</f>
        <v>0</v>
      </c>
      <c r="D138" s="28">
        <f t="shared" si="83"/>
        <v>1</v>
      </c>
      <c r="E138" s="28">
        <f t="shared" si="83"/>
        <v>-3</v>
      </c>
      <c r="F138" s="28">
        <f t="shared" si="83"/>
        <v>-23</v>
      </c>
      <c r="G138" s="28">
        <f t="shared" si="83"/>
        <v>55</v>
      </c>
      <c r="H138" s="28">
        <f t="shared" si="83"/>
        <v>74</v>
      </c>
      <c r="I138" s="28">
        <f t="shared" si="83"/>
        <v>-120</v>
      </c>
    </row>
    <row r="139" spans="2:11" ht="15">
      <c r="B139" s="41">
        <f>B133-I134/H136</f>
        <v>-4.205238843101669</v>
      </c>
      <c r="C139" s="5"/>
      <c r="D139" s="6">
        <f t="shared" ref="D139:I139" si="84">$B139*C140</f>
        <v>0</v>
      </c>
      <c r="E139" s="6">
        <f t="shared" si="84"/>
        <v>-4.205238843101669</v>
      </c>
      <c r="F139" s="6">
        <f t="shared" si="84"/>
        <v>30.29975025683607</v>
      </c>
      <c r="G139" s="6">
        <f t="shared" si="84"/>
        <v>-30.697193324988426</v>
      </c>
      <c r="H139" s="6">
        <f t="shared" si="84"/>
        <v>-102.19910662614919</v>
      </c>
      <c r="I139" s="6">
        <f t="shared" si="84"/>
        <v>118.58397852504822</v>
      </c>
      <c r="J139" s="5">
        <f>ABS(B139-B133)</f>
        <v>4.3896104995217122E-2</v>
      </c>
      <c r="K139" s="6">
        <f xml:space="preserve"> ABS(J139/B139)*100</f>
        <v>1.0438433257417683</v>
      </c>
    </row>
    <row r="140" spans="2:11" ht="15.6">
      <c r="B140" s="35"/>
      <c r="C140" s="26">
        <f t="shared" ref="C140:I140" si="85">SUM(C138:C139)</f>
        <v>0</v>
      </c>
      <c r="D140" s="13">
        <f t="shared" si="85"/>
        <v>1</v>
      </c>
      <c r="E140" s="13">
        <f t="shared" si="85"/>
        <v>-7.205238843101669</v>
      </c>
      <c r="F140" s="13">
        <f t="shared" si="85"/>
        <v>7.2997502568360702</v>
      </c>
      <c r="G140" s="13">
        <f t="shared" si="85"/>
        <v>24.302806675011574</v>
      </c>
      <c r="H140" s="13">
        <f t="shared" si="85"/>
        <v>-28.199106626149188</v>
      </c>
      <c r="I140" s="14">
        <f t="shared" si="85"/>
        <v>-1.4160214749517763</v>
      </c>
    </row>
    <row r="141" spans="2:11" ht="15.6" thickBot="1">
      <c r="B141" s="38"/>
      <c r="C141" s="22"/>
      <c r="D141" s="23">
        <f>$B139*C142</f>
        <v>0</v>
      </c>
      <c r="E141" s="23">
        <f>$B139*D142</f>
        <v>-4.205238843101669</v>
      </c>
      <c r="F141" s="23">
        <f>$B139*E142</f>
        <v>47.983783984367136</v>
      </c>
      <c r="G141" s="23">
        <f>$B139*F142</f>
        <v>-232.48046557504887</v>
      </c>
      <c r="H141" s="23">
        <f>$B139*G142</f>
        <v>875.43677747240667</v>
      </c>
      <c r="I141" s="24"/>
    </row>
    <row r="142" spans="2:11" ht="15.6">
      <c r="C142" s="13">
        <f t="shared" ref="C142:H142" si="86">SUM(C140:C141)</f>
        <v>0</v>
      </c>
      <c r="D142" s="13">
        <f t="shared" si="86"/>
        <v>1</v>
      </c>
      <c r="E142" s="13">
        <f t="shared" si="86"/>
        <v>-11.410477686203338</v>
      </c>
      <c r="F142" s="13">
        <f t="shared" si="86"/>
        <v>55.283534241203206</v>
      </c>
      <c r="G142" s="13">
        <f t="shared" si="86"/>
        <v>-208.1776589000373</v>
      </c>
      <c r="H142" s="8">
        <f t="shared" si="86"/>
        <v>847.23767084625752</v>
      </c>
      <c r="I142" s="15"/>
    </row>
    <row r="144" spans="2:11" ht="15">
      <c r="B144" s="25" t="s">
        <v>13</v>
      </c>
      <c r="C144" s="27">
        <f t="shared" ref="C144:I144" si="87">C138</f>
        <v>0</v>
      </c>
      <c r="D144" s="28">
        <f t="shared" si="87"/>
        <v>1</v>
      </c>
      <c r="E144" s="28">
        <f t="shared" si="87"/>
        <v>-3</v>
      </c>
      <c r="F144" s="28">
        <f t="shared" si="87"/>
        <v>-23</v>
      </c>
      <c r="G144" s="28">
        <f t="shared" si="87"/>
        <v>55</v>
      </c>
      <c r="H144" s="28">
        <f t="shared" si="87"/>
        <v>74</v>
      </c>
      <c r="I144" s="28">
        <f t="shared" si="87"/>
        <v>-120</v>
      </c>
      <c r="J144" s="15"/>
      <c r="K144" s="15"/>
    </row>
    <row r="145" spans="2:11" ht="15">
      <c r="B145" s="12">
        <f>B139-I140/H142</f>
        <v>-4.2035675039678253</v>
      </c>
      <c r="C145" s="20"/>
      <c r="D145" s="6">
        <f t="shared" ref="D145:I145" si="88">$B145*C146</f>
        <v>0</v>
      </c>
      <c r="E145" s="6">
        <f t="shared" si="88"/>
        <v>-4.2035675039678253</v>
      </c>
      <c r="F145" s="6">
        <f t="shared" si="88"/>
        <v>30.280682272317769</v>
      </c>
      <c r="G145" s="6">
        <f t="shared" si="88"/>
        <v>-30.604839406629598</v>
      </c>
      <c r="H145" s="6">
        <f t="shared" si="88"/>
        <v>-102.54670432436828</v>
      </c>
      <c r="I145" s="6">
        <f t="shared" si="88"/>
        <v>119.99799864329229</v>
      </c>
      <c r="J145" s="5">
        <f>ABS(B145-B139)</f>
        <v>1.6713391338436523E-3</v>
      </c>
      <c r="K145" s="6">
        <f xml:space="preserve"> ABS(J145/B145)*100</f>
        <v>3.9760016516115042E-2</v>
      </c>
    </row>
    <row r="146" spans="2:11" ht="15.6">
      <c r="B146" s="35"/>
      <c r="C146" s="26">
        <f t="shared" ref="C146:I146" si="89">SUM(C144:C145)</f>
        <v>0</v>
      </c>
      <c r="D146" s="13">
        <f t="shared" si="89"/>
        <v>1</v>
      </c>
      <c r="E146" s="13">
        <f t="shared" si="89"/>
        <v>-7.2035675039678253</v>
      </c>
      <c r="F146" s="13">
        <f t="shared" si="89"/>
        <v>7.2806822723177689</v>
      </c>
      <c r="G146" s="13">
        <f t="shared" si="89"/>
        <v>24.395160593370402</v>
      </c>
      <c r="H146" s="13">
        <f t="shared" si="89"/>
        <v>-28.546704324368278</v>
      </c>
      <c r="I146" s="14">
        <f t="shared" si="89"/>
        <v>-2.0013567077086236E-3</v>
      </c>
      <c r="J146" s="15"/>
      <c r="K146" s="15"/>
    </row>
    <row r="147" spans="2:11" ht="15.6" thickBot="1">
      <c r="B147" s="38"/>
      <c r="C147" s="22"/>
      <c r="D147" s="23">
        <f>$B145*C148</f>
        <v>0</v>
      </c>
      <c r="E147" s="23">
        <f>$B145*D148</f>
        <v>-4.2035675039678253</v>
      </c>
      <c r="F147" s="23">
        <f>$B145*E148</f>
        <v>47.950662032732062</v>
      </c>
      <c r="G147" s="23">
        <f>$B145*F148</f>
        <v>-232.16868412116588</v>
      </c>
      <c r="H147" s="23">
        <f>$B145*G148</f>
        <v>873.39003168633542</v>
      </c>
      <c r="I147" s="24"/>
      <c r="J147" s="15"/>
      <c r="K147" s="15"/>
    </row>
    <row r="148" spans="2:11" ht="15.6">
      <c r="C148" s="13">
        <f t="shared" ref="C148:H148" si="90">SUM(C146:C147)</f>
        <v>0</v>
      </c>
      <c r="D148" s="13">
        <f t="shared" si="90"/>
        <v>1</v>
      </c>
      <c r="E148" s="13">
        <f t="shared" si="90"/>
        <v>-11.407135007935651</v>
      </c>
      <c r="F148" s="13">
        <f t="shared" si="90"/>
        <v>55.231344305049831</v>
      </c>
      <c r="G148" s="13">
        <f t="shared" si="90"/>
        <v>-207.77352352779548</v>
      </c>
      <c r="H148" s="8">
        <f t="shared" si="90"/>
        <v>844.84332736196711</v>
      </c>
      <c r="I148" s="15"/>
      <c r="J148" s="15"/>
      <c r="K148" s="15"/>
    </row>
    <row r="150" spans="2:11" ht="15">
      <c r="B150" s="25" t="s">
        <v>14</v>
      </c>
      <c r="C150" s="27">
        <f t="shared" ref="C150:I150" si="91">C144</f>
        <v>0</v>
      </c>
      <c r="D150" s="28">
        <f t="shared" si="91"/>
        <v>1</v>
      </c>
      <c r="E150" s="28">
        <f t="shared" si="91"/>
        <v>-3</v>
      </c>
      <c r="F150" s="28">
        <f t="shared" si="91"/>
        <v>-23</v>
      </c>
      <c r="G150" s="28">
        <f t="shared" si="91"/>
        <v>55</v>
      </c>
      <c r="H150" s="28">
        <f t="shared" si="91"/>
        <v>74</v>
      </c>
      <c r="I150" s="28">
        <f t="shared" si="91"/>
        <v>-120</v>
      </c>
      <c r="J150" s="15"/>
      <c r="K150" s="15"/>
    </row>
    <row r="151" spans="2:11" ht="15">
      <c r="B151" s="12">
        <f>B145-I146/H148</f>
        <v>-4.2035651350591259</v>
      </c>
      <c r="C151" s="20"/>
      <c r="D151" s="6">
        <f t="shared" ref="D151:I151" si="92">$B151*C152</f>
        <v>0</v>
      </c>
      <c r="E151" s="6">
        <f t="shared" si="92"/>
        <v>-4.2035651350591259</v>
      </c>
      <c r="F151" s="6">
        <f t="shared" si="92"/>
        <v>30.280655249862026</v>
      </c>
      <c r="G151" s="6">
        <f t="shared" si="92"/>
        <v>-30.604708568705199</v>
      </c>
      <c r="H151" s="6">
        <f t="shared" si="92"/>
        <v>-102.54719652019746</v>
      </c>
      <c r="I151" s="6">
        <f t="shared" si="92"/>
        <v>119.99999999598325</v>
      </c>
      <c r="J151" s="5">
        <f>ABS(B151-B145)</f>
        <v>2.3689086994238551E-6</v>
      </c>
      <c r="K151" s="6">
        <f xml:space="preserve"> ABS(J151/B151)*100</f>
        <v>5.6354751819268167E-5</v>
      </c>
    </row>
    <row r="152" spans="2:11" ht="15.6">
      <c r="B152" s="35"/>
      <c r="C152" s="26">
        <f t="shared" ref="C152:I152" si="93">SUM(C150:C151)</f>
        <v>0</v>
      </c>
      <c r="D152" s="13">
        <f t="shared" si="93"/>
        <v>1</v>
      </c>
      <c r="E152" s="13">
        <f t="shared" si="93"/>
        <v>-7.2035651350591259</v>
      </c>
      <c r="F152" s="13">
        <f t="shared" si="93"/>
        <v>7.2806552498620256</v>
      </c>
      <c r="G152" s="13">
        <f t="shared" si="93"/>
        <v>24.395291431294801</v>
      </c>
      <c r="H152" s="13">
        <f t="shared" si="93"/>
        <v>-28.54719652019746</v>
      </c>
      <c r="I152" s="14">
        <f t="shared" si="93"/>
        <v>-4.0167549286707072E-9</v>
      </c>
      <c r="J152" s="15"/>
      <c r="K152" s="15"/>
    </row>
    <row r="153" spans="2:11" ht="15.6" thickBot="1">
      <c r="B153" s="38"/>
      <c r="C153" s="22"/>
      <c r="D153" s="23">
        <f>$B151*C154</f>
        <v>0</v>
      </c>
      <c r="E153" s="23">
        <f>$B151*D154</f>
        <v>-4.2035651350591259</v>
      </c>
      <c r="F153" s="23">
        <f>$B151*E154</f>
        <v>47.95061509454667</v>
      </c>
      <c r="G153" s="23">
        <f>$B151*F154</f>
        <v>-232.16824238478145</v>
      </c>
      <c r="H153" s="23">
        <f>$B151*G154</f>
        <v>873.38713263642626</v>
      </c>
      <c r="I153" s="24"/>
      <c r="J153" s="15"/>
      <c r="K153" s="15"/>
    </row>
    <row r="154" spans="2:11" ht="15.6">
      <c r="C154" s="13">
        <f t="shared" ref="C154:H154" si="94">SUM(C152:C153)</f>
        <v>0</v>
      </c>
      <c r="D154" s="13">
        <f t="shared" si="94"/>
        <v>1</v>
      </c>
      <c r="E154" s="13">
        <f t="shared" si="94"/>
        <v>-11.407130270118252</v>
      </c>
      <c r="F154" s="13">
        <f t="shared" si="94"/>
        <v>55.231270344408699</v>
      </c>
      <c r="G154" s="13">
        <f t="shared" si="94"/>
        <v>-207.77295095348666</v>
      </c>
      <c r="H154" s="8">
        <f t="shared" si="94"/>
        <v>844.83993611622884</v>
      </c>
      <c r="I154" s="15"/>
      <c r="J154" s="15"/>
      <c r="K154" s="15"/>
    </row>
  </sheetData>
  <conditionalFormatting sqref="B9">
    <cfRule type="expression" dxfId="177" priority="20">
      <formula xml:space="preserve"> J9 &lt; $J$1</formula>
    </cfRule>
  </conditionalFormatting>
  <conditionalFormatting sqref="B15">
    <cfRule type="expression" dxfId="176" priority="19">
      <formula>J15&lt;$J$1</formula>
    </cfRule>
  </conditionalFormatting>
  <conditionalFormatting sqref="B21">
    <cfRule type="expression" dxfId="175" priority="18">
      <formula>J21&lt;$J$1</formula>
    </cfRule>
  </conditionalFormatting>
  <conditionalFormatting sqref="B27">
    <cfRule type="expression" dxfId="174" priority="17">
      <formula>J27&lt;$J$1</formula>
    </cfRule>
  </conditionalFormatting>
  <conditionalFormatting sqref="B40">
    <cfRule type="expression" dxfId="173" priority="16">
      <formula xml:space="preserve"> J40 &lt; $J$1</formula>
    </cfRule>
  </conditionalFormatting>
  <conditionalFormatting sqref="B46">
    <cfRule type="expression" dxfId="172" priority="15">
      <formula>J46&lt;$J$1</formula>
    </cfRule>
  </conditionalFormatting>
  <conditionalFormatting sqref="B52">
    <cfRule type="expression" dxfId="171" priority="14">
      <formula>J52&lt;$J$1</formula>
    </cfRule>
  </conditionalFormatting>
  <conditionalFormatting sqref="B58">
    <cfRule type="expression" dxfId="170" priority="13">
      <formula>J58&lt;$J$1</formula>
    </cfRule>
  </conditionalFormatting>
  <conditionalFormatting sqref="B71">
    <cfRule type="expression" dxfId="169" priority="12">
      <formula xml:space="preserve"> J71 &lt; $J$1</formula>
    </cfRule>
  </conditionalFormatting>
  <conditionalFormatting sqref="B77">
    <cfRule type="expression" dxfId="168" priority="11">
      <formula>J77&lt;$J$1</formula>
    </cfRule>
  </conditionalFormatting>
  <conditionalFormatting sqref="B83">
    <cfRule type="expression" dxfId="167" priority="10">
      <formula>J83&lt;$J$1</formula>
    </cfRule>
  </conditionalFormatting>
  <conditionalFormatting sqref="B89">
    <cfRule type="expression" dxfId="166" priority="9">
      <formula>J89&lt;$J$1</formula>
    </cfRule>
  </conditionalFormatting>
  <conditionalFormatting sqref="B102">
    <cfRule type="expression" dxfId="165" priority="8">
      <formula xml:space="preserve"> J102 &lt; $J$1</formula>
    </cfRule>
  </conditionalFormatting>
  <conditionalFormatting sqref="B108">
    <cfRule type="expression" dxfId="164" priority="7">
      <formula>J108&lt;$J$1</formula>
    </cfRule>
  </conditionalFormatting>
  <conditionalFormatting sqref="B114">
    <cfRule type="expression" dxfId="163" priority="6">
      <formula>J114&lt;$J$1</formula>
    </cfRule>
  </conditionalFormatting>
  <conditionalFormatting sqref="B120">
    <cfRule type="expression" dxfId="162" priority="5">
      <formula>J120&lt;$J$1</formula>
    </cfRule>
  </conditionalFormatting>
  <conditionalFormatting sqref="B133">
    <cfRule type="expression" dxfId="161" priority="4">
      <formula xml:space="preserve"> J133 &lt; $J$1</formula>
    </cfRule>
  </conditionalFormatting>
  <conditionalFormatting sqref="B139">
    <cfRule type="expression" dxfId="160" priority="3">
      <formula>J139&lt;$J$1</formula>
    </cfRule>
  </conditionalFormatting>
  <conditionalFormatting sqref="B145">
    <cfRule type="expression" dxfId="159" priority="2">
      <formula>J145&lt;$J$1</formula>
    </cfRule>
  </conditionalFormatting>
  <conditionalFormatting sqref="B151">
    <cfRule type="expression" dxfId="158" priority="1">
      <formula>J151&lt;$J$1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03C5A-90C6-4B18-B493-2A24B9F5D019}">
  <dimension ref="A1:P52"/>
  <sheetViews>
    <sheetView workbookViewId="0">
      <selection activeCell="D15" sqref="D15"/>
    </sheetView>
  </sheetViews>
  <sheetFormatPr defaultColWidth="11.42578125" defaultRowHeight="14.45"/>
  <cols>
    <col min="1" max="1" width="7.7109375" bestFit="1" customWidth="1"/>
    <col min="2" max="2" width="10.5703125" bestFit="1" customWidth="1"/>
    <col min="3" max="4" width="9.140625" bestFit="1" customWidth="1"/>
    <col min="5" max="5" width="10" bestFit="1" customWidth="1"/>
    <col min="6" max="6" width="11.42578125" bestFit="1" customWidth="1"/>
    <col min="7" max="7" width="10.5703125" bestFit="1" customWidth="1"/>
    <col min="8" max="8" width="11.42578125" bestFit="1" customWidth="1"/>
    <col min="9" max="9" width="12.85546875" bestFit="1" customWidth="1"/>
    <col min="10" max="11" width="8.28515625" bestFit="1" customWidth="1"/>
    <col min="12" max="12" width="11.28515625" bestFit="1" customWidth="1"/>
    <col min="13" max="13" width="15.140625" bestFit="1" customWidth="1"/>
    <col min="14" max="14" width="2.5703125" bestFit="1" customWidth="1"/>
    <col min="15" max="15" width="9" bestFit="1" customWidth="1"/>
    <col min="16" max="16" width="1.5703125" bestFit="1" customWidth="1"/>
  </cols>
  <sheetData>
    <row r="1" spans="1:16" ht="15.6">
      <c r="A1" s="46" t="s">
        <v>34</v>
      </c>
      <c r="B1" s="47"/>
      <c r="C1" s="48" t="s">
        <v>1</v>
      </c>
      <c r="D1" s="49" t="s">
        <v>2</v>
      </c>
      <c r="E1" s="49" t="s">
        <v>3</v>
      </c>
      <c r="F1" s="49" t="s">
        <v>4</v>
      </c>
      <c r="G1" s="49" t="s">
        <v>5</v>
      </c>
      <c r="H1" s="49" t="s">
        <v>6</v>
      </c>
      <c r="I1" s="49" t="s">
        <v>7</v>
      </c>
      <c r="J1" s="50" t="s">
        <v>9</v>
      </c>
      <c r="K1" s="51" t="s">
        <v>10</v>
      </c>
      <c r="L1" s="91"/>
      <c r="M1" s="91"/>
      <c r="N1" s="91"/>
      <c r="O1" s="91"/>
      <c r="P1" s="91"/>
    </row>
    <row r="2" spans="1:16" ht="15.6">
      <c r="A2" s="47"/>
      <c r="B2" s="53" t="s">
        <v>18</v>
      </c>
      <c r="C2" s="92">
        <v>0</v>
      </c>
      <c r="D2" s="93">
        <v>1</v>
      </c>
      <c r="E2" s="57">
        <v>-3</v>
      </c>
      <c r="F2" s="57">
        <v>-23</v>
      </c>
      <c r="G2" s="57">
        <v>55</v>
      </c>
      <c r="H2" s="57">
        <v>74</v>
      </c>
      <c r="I2" s="57">
        <v>-120</v>
      </c>
      <c r="J2" s="94">
        <v>1E-3</v>
      </c>
      <c r="K2" s="95"/>
      <c r="L2" s="47"/>
      <c r="M2" s="47"/>
      <c r="N2" s="91"/>
      <c r="O2" s="91"/>
      <c r="P2" s="91"/>
    </row>
    <row r="3" spans="1:16" ht="15.6">
      <c r="A3" s="48" t="s">
        <v>19</v>
      </c>
      <c r="B3" s="90">
        <v>-0.60710272481995142</v>
      </c>
      <c r="C3" s="47"/>
      <c r="D3" s="49">
        <f t="shared" ref="D3:I3" si="0">$B3*C5</f>
        <v>0</v>
      </c>
      <c r="E3" s="96">
        <f t="shared" si="0"/>
        <v>-0.60710272481995142</v>
      </c>
      <c r="F3" s="96">
        <f t="shared" si="0"/>
        <v>2.1898818929436641</v>
      </c>
      <c r="G3" s="96">
        <f t="shared" si="0"/>
        <v>11.400913554137656</v>
      </c>
      <c r="H3" s="96">
        <f t="shared" si="0"/>
        <v>-35.864741063155925</v>
      </c>
      <c r="I3" s="96">
        <f t="shared" si="0"/>
        <v>2.1131640403496857E-3</v>
      </c>
      <c r="J3" s="47"/>
      <c r="K3" s="47"/>
      <c r="L3" s="49" t="s">
        <v>20</v>
      </c>
      <c r="M3" s="64">
        <f>B3^2+4*B4</f>
        <v>8.4921798370161667</v>
      </c>
      <c r="N3" s="91"/>
      <c r="O3" s="91"/>
      <c r="P3" s="91"/>
    </row>
    <row r="4" spans="1:16" ht="16.149999999999999" thickBot="1">
      <c r="A4" s="48" t="s">
        <v>21</v>
      </c>
      <c r="B4" s="74">
        <v>2.0309015296330895</v>
      </c>
      <c r="C4" s="97"/>
      <c r="D4" s="97"/>
      <c r="E4" s="98">
        <f>$B4*C5</f>
        <v>0</v>
      </c>
      <c r="F4" s="98">
        <f>$B4*D5</f>
        <v>2.0309015296330895</v>
      </c>
      <c r="G4" s="98">
        <f>$B4*E5</f>
        <v>-7.3256704413805247</v>
      </c>
      <c r="H4" s="98">
        <f>$B4*F5</f>
        <v>-38.13873967239995</v>
      </c>
      <c r="I4" s="98">
        <f>$B4*G5</f>
        <v>119.9760016011451</v>
      </c>
      <c r="J4" s="47"/>
      <c r="K4" s="47"/>
      <c r="L4" s="49" t="s">
        <v>22</v>
      </c>
      <c r="M4" s="49">
        <f>IF(M3&lt;0,B3/2,(B3+SQRT(M3))/2)</f>
        <v>1.1535158835515968</v>
      </c>
      <c r="N4" s="47" t="str">
        <f>IF(M3&lt;0,"+","")</f>
        <v/>
      </c>
      <c r="O4" s="47" t="str">
        <f>IF(M3&lt;0,SQRT(ABS(M3))/2,"")</f>
        <v/>
      </c>
      <c r="P4" s="47" t="str">
        <f>IF(M3&lt;0,"i","")</f>
        <v/>
      </c>
    </row>
    <row r="5" spans="1:16" ht="15.6">
      <c r="A5" s="48" t="s">
        <v>23</v>
      </c>
      <c r="B5" s="67">
        <f>SQRT(SUMSQ(B3:B4))</f>
        <v>2.1197015689831984</v>
      </c>
      <c r="C5" s="99">
        <f t="shared" ref="C5:I5" si="1">SUM(C2:C4)</f>
        <v>0</v>
      </c>
      <c r="D5" s="67">
        <f t="shared" si="1"/>
        <v>1</v>
      </c>
      <c r="E5" s="99">
        <f t="shared" si="1"/>
        <v>-3.6071027248199514</v>
      </c>
      <c r="F5" s="67">
        <f t="shared" si="1"/>
        <v>-18.779216577423249</v>
      </c>
      <c r="G5" s="67">
        <f t="shared" si="1"/>
        <v>59.075243112757136</v>
      </c>
      <c r="H5" s="100">
        <f t="shared" si="1"/>
        <v>-3.4807355558754693E-3</v>
      </c>
      <c r="I5" s="100">
        <f t="shared" si="1"/>
        <v>-2.1885234814547516E-2</v>
      </c>
      <c r="J5" s="47"/>
      <c r="K5" s="47"/>
      <c r="L5" s="49" t="s">
        <v>24</v>
      </c>
      <c r="M5" s="49">
        <f>IF(M3&lt;0,M4,(B3-SQRT(M3))/2)</f>
        <v>-1.7606186083715483</v>
      </c>
      <c r="N5" s="101" t="str">
        <f>IF(M3&lt;0,"+","")</f>
        <v/>
      </c>
      <c r="O5" s="47" t="str">
        <f>IF(M3&lt;0,-O4,"")</f>
        <v/>
      </c>
      <c r="P5" s="101"/>
    </row>
    <row r="6" spans="1:16" ht="15.6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91"/>
      <c r="M6" s="91"/>
      <c r="N6" s="91"/>
      <c r="O6" s="91"/>
      <c r="P6" s="91"/>
    </row>
    <row r="7" spans="1:16" ht="15.6">
      <c r="A7" s="47"/>
      <c r="B7" s="53" t="s">
        <v>26</v>
      </c>
      <c r="C7" s="102">
        <f t="shared" ref="C7:I7" si="2">C2</f>
        <v>0</v>
      </c>
      <c r="D7" s="93">
        <f t="shared" si="2"/>
        <v>1</v>
      </c>
      <c r="E7" s="93">
        <f t="shared" si="2"/>
        <v>-3</v>
      </c>
      <c r="F7" s="93">
        <f t="shared" si="2"/>
        <v>-23</v>
      </c>
      <c r="G7" s="93">
        <f t="shared" si="2"/>
        <v>55</v>
      </c>
      <c r="H7" s="93">
        <f t="shared" si="2"/>
        <v>74</v>
      </c>
      <c r="I7" s="93">
        <f t="shared" si="2"/>
        <v>-120</v>
      </c>
      <c r="J7" s="47"/>
      <c r="K7" s="47"/>
      <c r="L7" s="47"/>
      <c r="M7" s="49" t="s">
        <v>27</v>
      </c>
      <c r="N7" s="91"/>
      <c r="O7" s="91"/>
      <c r="P7" s="91"/>
    </row>
    <row r="8" spans="1:16" ht="15.6">
      <c r="A8" s="48" t="s">
        <v>28</v>
      </c>
      <c r="B8" s="74">
        <f>-(H2+B9*F5)/G5</f>
        <v>-0.60691466803549043</v>
      </c>
      <c r="C8" s="47"/>
      <c r="D8" s="49">
        <f t="shared" ref="D8:I8" si="3">$B8*C10</f>
        <v>0</v>
      </c>
      <c r="E8" s="49">
        <f t="shared" si="3"/>
        <v>-0.60691466803549043</v>
      </c>
      <c r="F8" s="49">
        <f t="shared" si="3"/>
        <v>2.1890894183831011</v>
      </c>
      <c r="G8" s="49">
        <f t="shared" si="3"/>
        <v>11.3976164098423</v>
      </c>
      <c r="H8" s="49">
        <f t="shared" si="3"/>
        <v>-35.850972989895013</v>
      </c>
      <c r="I8" s="49">
        <f t="shared" si="3"/>
        <v>-1.1373583689804618E-3</v>
      </c>
      <c r="J8" s="47"/>
      <c r="K8" s="47"/>
      <c r="L8" s="49" t="s">
        <v>20</v>
      </c>
      <c r="M8" s="64">
        <f>B8^2+4*B9</f>
        <v>8.4935764706063033</v>
      </c>
      <c r="N8" s="91"/>
      <c r="O8" s="91"/>
      <c r="P8" s="91"/>
    </row>
    <row r="9" spans="1:16" ht="16.149999999999999" thickBot="1">
      <c r="A9" s="48" t="s">
        <v>29</v>
      </c>
      <c r="B9" s="75">
        <f>-I2/G5</f>
        <v>2.0313077640824186</v>
      </c>
      <c r="C9" s="103"/>
      <c r="D9" s="97"/>
      <c r="E9" s="98">
        <f>$B9*C10</f>
        <v>0</v>
      </c>
      <c r="F9" s="98">
        <f>$B9*D10</f>
        <v>2.0313077640824186</v>
      </c>
      <c r="G9" s="98">
        <f>$B9*E10</f>
        <v>-7.3267537695632514</v>
      </c>
      <c r="H9" s="98">
        <f>$B9*F10</f>
        <v>-38.147153009641855</v>
      </c>
      <c r="I9" s="98">
        <f>$B9*G10</f>
        <v>119.9911019122449</v>
      </c>
      <c r="J9" s="47"/>
      <c r="K9" s="47"/>
      <c r="L9" s="49" t="s">
        <v>22</v>
      </c>
      <c r="M9" s="48">
        <f>IF(M8&lt;0,B8/2,(B8+SQRT(M8))/2)</f>
        <v>1.1537297224892686</v>
      </c>
      <c r="N9" s="49" t="s">
        <v>30</v>
      </c>
      <c r="O9" s="49" t="str">
        <f>IF(M8&lt;0,SQRT(ABS(M8))/2,"")</f>
        <v/>
      </c>
      <c r="P9" s="49" t="str">
        <f>IF(M8&lt;0,"i","")</f>
        <v/>
      </c>
    </row>
    <row r="10" spans="1:16" ht="15.6">
      <c r="A10" s="49" t="s">
        <v>23</v>
      </c>
      <c r="B10" s="67">
        <f>SQRT(SUMSQ(B8:B9))</f>
        <v>2.1200369446540654</v>
      </c>
      <c r="C10" s="67">
        <f t="shared" ref="C10:I10" si="4">SUM(C7:C9)</f>
        <v>0</v>
      </c>
      <c r="D10" s="67">
        <f t="shared" si="4"/>
        <v>1</v>
      </c>
      <c r="E10" s="67">
        <f t="shared" si="4"/>
        <v>-3.6069146680354907</v>
      </c>
      <c r="F10" s="67">
        <f t="shared" si="4"/>
        <v>-18.779602817534482</v>
      </c>
      <c r="G10" s="67">
        <f t="shared" si="4"/>
        <v>59.070862640279046</v>
      </c>
      <c r="H10" s="100">
        <f t="shared" si="4"/>
        <v>1.8740004631325746E-3</v>
      </c>
      <c r="I10" s="100">
        <f t="shared" si="4"/>
        <v>-1.0035446124078362E-2</v>
      </c>
      <c r="J10" s="49">
        <f>ABS(B10-B5)</f>
        <v>3.3537567086705522E-4</v>
      </c>
      <c r="K10" s="48">
        <f>ABS(J10/B10)*100</f>
        <v>1.5819331437253788E-2</v>
      </c>
      <c r="L10" s="49" t="s">
        <v>24</v>
      </c>
      <c r="M10" s="48">
        <f>IF(M8&lt;0,M9,(B8-SQRT(M8))/2)</f>
        <v>-1.7606443905247593</v>
      </c>
      <c r="N10" s="104" t="s">
        <v>30</v>
      </c>
      <c r="O10" s="49" t="str">
        <f>IF(M8&lt;0,-O9,"")</f>
        <v/>
      </c>
      <c r="P10" s="104" t="s">
        <v>25</v>
      </c>
    </row>
    <row r="11" spans="1:16" ht="15.6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91"/>
      <c r="M11" s="91"/>
      <c r="N11" s="91"/>
      <c r="O11" s="91"/>
      <c r="P11" s="91"/>
    </row>
    <row r="12" spans="1:16" ht="15.6">
      <c r="A12" s="47"/>
      <c r="B12" s="53" t="s">
        <v>31</v>
      </c>
      <c r="C12" s="92">
        <f t="shared" ref="C12:I12" si="5">C7</f>
        <v>0</v>
      </c>
      <c r="D12" s="75">
        <f t="shared" si="5"/>
        <v>1</v>
      </c>
      <c r="E12" s="93">
        <f t="shared" si="5"/>
        <v>-3</v>
      </c>
      <c r="F12" s="93">
        <f t="shared" si="5"/>
        <v>-23</v>
      </c>
      <c r="G12" s="93">
        <f t="shared" si="5"/>
        <v>55</v>
      </c>
      <c r="H12" s="93">
        <f t="shared" si="5"/>
        <v>74</v>
      </c>
      <c r="I12" s="93">
        <f t="shared" si="5"/>
        <v>-120</v>
      </c>
      <c r="J12" s="47"/>
      <c r="K12" s="47"/>
      <c r="L12" s="91"/>
      <c r="M12" s="91"/>
      <c r="N12" s="91"/>
      <c r="O12" s="91"/>
      <c r="P12" s="91"/>
    </row>
    <row r="13" spans="1:16" ht="15.6">
      <c r="A13" s="48" t="s">
        <v>19</v>
      </c>
      <c r="B13" s="80">
        <f>-(H7+B14*F10)/G10</f>
        <v>-0.60689850357558917</v>
      </c>
      <c r="C13" s="47"/>
      <c r="D13" s="48">
        <f t="shared" ref="D13:I13" si="6">$B13*C15</f>
        <v>0</v>
      </c>
      <c r="E13" s="49">
        <f t="shared" si="6"/>
        <v>-0.60689850357558917</v>
      </c>
      <c r="F13" s="49">
        <f t="shared" si="6"/>
        <v>2.189021304369057</v>
      </c>
      <c r="G13" s="49">
        <f t="shared" si="6"/>
        <v>11.397262766373244</v>
      </c>
      <c r="H13" s="49">
        <f t="shared" si="6"/>
        <v>-35.849493701809841</v>
      </c>
      <c r="I13" s="49">
        <f t="shared" si="6"/>
        <v>-4.2001968773964197E-4</v>
      </c>
      <c r="J13" s="47"/>
      <c r="K13" s="47"/>
      <c r="L13" s="49" t="s">
        <v>20</v>
      </c>
      <c r="M13" s="64">
        <f>B13^2+4*B14</f>
        <v>8.4941593864752338</v>
      </c>
      <c r="N13" s="91"/>
      <c r="O13" s="91"/>
      <c r="P13" s="91"/>
    </row>
    <row r="14" spans="1:16" ht="16.149999999999999" thickBot="1">
      <c r="A14" s="48" t="s">
        <v>21</v>
      </c>
      <c r="B14" s="75">
        <f>-I7/G10</f>
        <v>2.0314583982082359</v>
      </c>
      <c r="C14" s="103"/>
      <c r="D14" s="97"/>
      <c r="E14" s="98">
        <f>$B14*C15</f>
        <v>0</v>
      </c>
      <c r="F14" s="98">
        <f>$B14*D15</f>
        <v>2.0314583982082359</v>
      </c>
      <c r="G14" s="98">
        <f>$B14*E15</f>
        <v>-7.3272642565733497</v>
      </c>
      <c r="H14" s="98">
        <f>$B14*F15</f>
        <v>-38.149814222521385</v>
      </c>
      <c r="I14" s="98">
        <f>$B14*G15</f>
        <v>119.99824455488098</v>
      </c>
      <c r="J14" s="47"/>
      <c r="K14" s="47"/>
      <c r="L14" s="49" t="s">
        <v>22</v>
      </c>
      <c r="M14" s="48">
        <f>IF(M13&lt;0,B13/2,(B13+SQRT(M13))/2)</f>
        <v>1.1537878073823351</v>
      </c>
      <c r="N14" s="49" t="s">
        <v>30</v>
      </c>
      <c r="O14" s="49" t="str">
        <f>IF(M13&lt;0,SQRT(ABS(M13))/2,"")</f>
        <v/>
      </c>
      <c r="P14" s="49" t="str">
        <f>IF(M13&lt;0,"i","")</f>
        <v/>
      </c>
    </row>
    <row r="15" spans="1:16" ht="15.6">
      <c r="A15" s="48" t="s">
        <v>23</v>
      </c>
      <c r="B15" s="67">
        <f>SQRT(SUMSQ(B13:B14))</f>
        <v>2.1201766476624209</v>
      </c>
      <c r="C15" s="67">
        <f t="shared" ref="C15:I15" si="7">SUM(C12:C14)</f>
        <v>0</v>
      </c>
      <c r="D15" s="84">
        <f t="shared" si="7"/>
        <v>1</v>
      </c>
      <c r="E15" s="67">
        <f t="shared" si="7"/>
        <v>-3.6068985035755894</v>
      </c>
      <c r="F15" s="67">
        <f t="shared" si="7"/>
        <v>-18.779520297422707</v>
      </c>
      <c r="G15" s="67">
        <f t="shared" si="7"/>
        <v>59.069998509799895</v>
      </c>
      <c r="H15" s="100">
        <f t="shared" si="7"/>
        <v>6.9207566877338422E-4</v>
      </c>
      <c r="I15" s="100">
        <f t="shared" si="7"/>
        <v>-2.1754648067542348E-3</v>
      </c>
      <c r="J15" s="105">
        <f>ABS(B15-B10)</f>
        <v>1.3970300835541849E-4</v>
      </c>
      <c r="K15" s="48">
        <f>ABS(J15/B15)*100</f>
        <v>6.5892155028424923E-3</v>
      </c>
      <c r="L15" s="49" t="s">
        <v>24</v>
      </c>
      <c r="M15" s="48">
        <f>IF(M13&lt;0,M14,(B13-SQRT(M13))/2)</f>
        <v>-1.7606863109579245</v>
      </c>
      <c r="N15" s="104" t="s">
        <v>30</v>
      </c>
      <c r="O15" s="49" t="str">
        <f>IF(M13&lt;0,-O14,"")</f>
        <v/>
      </c>
      <c r="P15" s="104" t="s">
        <v>25</v>
      </c>
    </row>
    <row r="16" spans="1:16" ht="15.6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91"/>
      <c r="M16" s="91"/>
      <c r="N16" s="91"/>
      <c r="O16" s="91"/>
      <c r="P16" s="91"/>
    </row>
    <row r="17" spans="1:16" ht="15.6">
      <c r="A17" s="47"/>
      <c r="B17" s="53" t="s">
        <v>32</v>
      </c>
      <c r="C17" s="92">
        <f t="shared" ref="C17:I17" si="8">C12</f>
        <v>0</v>
      </c>
      <c r="D17" s="106">
        <f t="shared" si="8"/>
        <v>1</v>
      </c>
      <c r="E17" s="106">
        <f t="shared" si="8"/>
        <v>-3</v>
      </c>
      <c r="F17" s="106">
        <f t="shared" si="8"/>
        <v>-23</v>
      </c>
      <c r="G17" s="106">
        <f t="shared" si="8"/>
        <v>55</v>
      </c>
      <c r="H17" s="106">
        <f t="shared" si="8"/>
        <v>74</v>
      </c>
      <c r="I17" s="106">
        <f t="shared" si="8"/>
        <v>-120</v>
      </c>
      <c r="J17" s="47"/>
      <c r="K17" s="47"/>
      <c r="L17" s="91"/>
      <c r="M17" s="91"/>
      <c r="N17" s="91"/>
      <c r="O17" s="91"/>
      <c r="P17" s="91"/>
    </row>
    <row r="18" spans="1:16" ht="15.6">
      <c r="A18" s="47" t="s">
        <v>28</v>
      </c>
      <c r="B18" s="74">
        <f>-(H12+B19*F15)/G15</f>
        <v>-0.60690077181606539</v>
      </c>
      <c r="C18" s="47"/>
      <c r="D18" s="49">
        <f t="shared" ref="D18:I18" si="9">$B18*C20</f>
        <v>0</v>
      </c>
      <c r="E18" s="96">
        <f t="shared" si="9"/>
        <v>-0.60690077181606539</v>
      </c>
      <c r="F18" s="96">
        <f t="shared" si="9"/>
        <v>2.1890308622791319</v>
      </c>
      <c r="G18" s="96">
        <f t="shared" si="9"/>
        <v>11.397281526231339</v>
      </c>
      <c r="H18" s="96">
        <f t="shared" si="9"/>
        <v>-35.849571221917664</v>
      </c>
      <c r="I18" s="96">
        <f t="shared" si="9"/>
        <v>-8.2692353188759842E-5</v>
      </c>
      <c r="J18" s="47"/>
      <c r="K18" s="47"/>
      <c r="L18" s="49" t="s">
        <v>20</v>
      </c>
      <c r="M18" s="64">
        <f>B18^2+4*B19</f>
        <v>8.4942810118604815</v>
      </c>
      <c r="N18" s="91"/>
      <c r="O18" s="91"/>
      <c r="P18" s="91"/>
    </row>
    <row r="19" spans="1:16" ht="16.149999999999999" thickBot="1">
      <c r="A19" s="47" t="s">
        <v>29</v>
      </c>
      <c r="B19" s="75">
        <f>-I12/G15</f>
        <v>2.0314881162573863</v>
      </c>
      <c r="C19" s="103"/>
      <c r="D19" s="97"/>
      <c r="E19" s="98">
        <f>$B19*C20</f>
        <v>0</v>
      </c>
      <c r="F19" s="98">
        <f>$B19*D20</f>
        <v>2.0314881162573863</v>
      </c>
      <c r="G19" s="98">
        <f>$B19*E20</f>
        <v>-7.3273760544639313</v>
      </c>
      <c r="H19" s="98">
        <f>$B19*F20</f>
        <v>-38.150292524584188</v>
      </c>
      <c r="I19" s="98">
        <f>$B19*G20</f>
        <v>119.99981099434265</v>
      </c>
      <c r="J19" s="47"/>
      <c r="K19" s="47"/>
      <c r="L19" s="49" t="s">
        <v>22</v>
      </c>
      <c r="M19" s="48">
        <f>IF(M18&lt;0,B18/2,(B18+SQRT(M18))/2)</f>
        <v>1.153797106100487</v>
      </c>
      <c r="N19" s="49" t="s">
        <v>30</v>
      </c>
      <c r="O19" s="49" t="str">
        <f>IF(M18&lt;0,SQRT(ABS(M18))/2,"")</f>
        <v/>
      </c>
      <c r="P19" s="49" t="str">
        <f>IF(M18&lt;0,"i","")</f>
        <v/>
      </c>
    </row>
    <row r="20" spans="1:16" ht="15.6">
      <c r="A20" s="47" t="s">
        <v>23</v>
      </c>
      <c r="B20" s="84">
        <f>SQRT(SUMSQ(B18:B19))</f>
        <v>2.120205771458497</v>
      </c>
      <c r="C20" s="67">
        <f t="shared" ref="C20:I20" si="10">SUM(C17:C19)</f>
        <v>0</v>
      </c>
      <c r="D20" s="67">
        <f t="shared" si="10"/>
        <v>1</v>
      </c>
      <c r="E20" s="99">
        <f t="shared" si="10"/>
        <v>-3.6069007718160653</v>
      </c>
      <c r="F20" s="67">
        <f t="shared" si="10"/>
        <v>-18.779481021463482</v>
      </c>
      <c r="G20" s="67">
        <f t="shared" si="10"/>
        <v>59.069905471767406</v>
      </c>
      <c r="H20" s="100">
        <f t="shared" si="10"/>
        <v>1.3625349814816445E-4</v>
      </c>
      <c r="I20" s="107">
        <f t="shared" si="10"/>
        <v>-2.7169801053616993E-4</v>
      </c>
      <c r="J20" s="49">
        <f>ABS(B20-B15)</f>
        <v>2.9123796076113706E-5</v>
      </c>
      <c r="K20" s="49">
        <f>ABS(J20/B20)*100</f>
        <v>1.3736306385054005E-3</v>
      </c>
      <c r="L20" s="105" t="s">
        <v>24</v>
      </c>
      <c r="M20" s="48">
        <f>IF(M18&lt;0,M19,(B18-SQRT(M18))/2)</f>
        <v>-1.7606978779165523</v>
      </c>
      <c r="N20" s="104" t="s">
        <v>30</v>
      </c>
      <c r="O20" s="49" t="str">
        <f>IF(M18&lt;0,-O19,"")</f>
        <v/>
      </c>
      <c r="P20" s="104" t="s">
        <v>25</v>
      </c>
    </row>
    <row r="21" spans="1:16" ht="15.6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91"/>
      <c r="M21" s="91"/>
      <c r="N21" s="91"/>
      <c r="O21" s="91"/>
      <c r="P21" s="91"/>
    </row>
    <row r="22" spans="1:16" ht="15.6">
      <c r="A22" s="47"/>
      <c r="B22" s="53" t="s">
        <v>33</v>
      </c>
      <c r="C22" s="92">
        <f t="shared" ref="C22:I22" si="11">C17</f>
        <v>0</v>
      </c>
      <c r="D22" s="106">
        <f t="shared" si="11"/>
        <v>1</v>
      </c>
      <c r="E22" s="106">
        <f t="shared" si="11"/>
        <v>-3</v>
      </c>
      <c r="F22" s="106">
        <f t="shared" si="11"/>
        <v>-23</v>
      </c>
      <c r="G22" s="106">
        <f t="shared" si="11"/>
        <v>55</v>
      </c>
      <c r="H22" s="106">
        <f t="shared" si="11"/>
        <v>74</v>
      </c>
      <c r="I22" s="106">
        <f t="shared" si="11"/>
        <v>-120</v>
      </c>
      <c r="J22" s="47"/>
      <c r="K22" s="47"/>
      <c r="L22" s="91"/>
      <c r="M22" s="91"/>
      <c r="N22" s="91"/>
      <c r="O22" s="91"/>
      <c r="P22" s="91"/>
    </row>
    <row r="23" spans="1:16" ht="15.6">
      <c r="A23" s="47" t="s">
        <v>28</v>
      </c>
      <c r="B23" s="74">
        <f>-(H17+B24*F20)/G20</f>
        <v>-0.60690206121874168</v>
      </c>
      <c r="C23" s="47"/>
      <c r="D23" s="49">
        <f t="shared" ref="D23:I23" si="12">$B23*C25</f>
        <v>0</v>
      </c>
      <c r="E23" s="96">
        <f t="shared" si="12"/>
        <v>-0.60690206121874168</v>
      </c>
      <c r="F23" s="96">
        <f t="shared" si="12"/>
        <v>2.1890362955677825</v>
      </c>
      <c r="G23" s="96">
        <f t="shared" si="12"/>
        <v>11.397300501169102</v>
      </c>
      <c r="H23" s="96">
        <f t="shared" si="12"/>
        <v>-35.849650308770073</v>
      </c>
      <c r="I23" s="96">
        <f t="shared" si="12"/>
        <v>-8.8704030183758281E-6</v>
      </c>
      <c r="J23" s="47"/>
      <c r="K23" s="47"/>
      <c r="L23" s="48" t="s">
        <v>20</v>
      </c>
      <c r="M23" s="64">
        <f>B23^2+4*B24</f>
        <v>8.4942953757194886</v>
      </c>
      <c r="N23" s="91"/>
      <c r="O23" s="91"/>
      <c r="P23" s="91"/>
    </row>
    <row r="24" spans="1:16" ht="16.149999999999999" thickBot="1">
      <c r="A24" s="47" t="s">
        <v>29</v>
      </c>
      <c r="B24" s="75">
        <f>-I17/G20</f>
        <v>2.0314913159519827</v>
      </c>
      <c r="C24" s="103"/>
      <c r="D24" s="97"/>
      <c r="E24" s="98">
        <f>$B24*C25</f>
        <v>0</v>
      </c>
      <c r="F24" s="98">
        <f>$B24*D25</f>
        <v>2.0314913159519827</v>
      </c>
      <c r="G24" s="98">
        <f>$B24*E25</f>
        <v>-7.327390214855181</v>
      </c>
      <c r="H24" s="98">
        <f>$B24*F25</f>
        <v>-38.150335075357638</v>
      </c>
      <c r="I24" s="98">
        <f>$B24*G25</f>
        <v>120.00000978070943</v>
      </c>
      <c r="J24" s="47"/>
      <c r="K24" s="47"/>
      <c r="L24" s="49" t="s">
        <v>22</v>
      </c>
      <c r="M24" s="84">
        <f>IF(M23&lt;0,B23/2,(B23+SQRT(M23))/2)</f>
        <v>1.15379769350394</v>
      </c>
      <c r="N24" s="49" t="s">
        <v>30</v>
      </c>
      <c r="O24" s="49" t="str">
        <f>IF(M23&lt;0,SQRT(ABS(M23))/2,"")</f>
        <v/>
      </c>
      <c r="P24" s="49" t="str">
        <f>IF(M23&lt;0,"i","")</f>
        <v/>
      </c>
    </row>
    <row r="25" spans="1:16" ht="15.6">
      <c r="A25" s="47" t="s">
        <v>23</v>
      </c>
      <c r="B25" s="84">
        <f>SQRT(SUMSQ(B23:B24))</f>
        <v>2.120209206352023</v>
      </c>
      <c r="C25" s="67">
        <f t="shared" ref="C25:I25" si="13">SUM(C22:C24)</f>
        <v>0</v>
      </c>
      <c r="D25" s="67">
        <f t="shared" si="13"/>
        <v>1</v>
      </c>
      <c r="E25" s="67">
        <f t="shared" si="13"/>
        <v>-3.6069020612187419</v>
      </c>
      <c r="F25" s="67">
        <f t="shared" si="13"/>
        <v>-18.779472388480237</v>
      </c>
      <c r="G25" s="67">
        <f t="shared" si="13"/>
        <v>59.06991028631392</v>
      </c>
      <c r="H25" s="100">
        <f t="shared" si="13"/>
        <v>1.4615872288459286E-5</v>
      </c>
      <c r="I25" s="100">
        <f t="shared" si="13"/>
        <v>9.1030641158340586E-7</v>
      </c>
      <c r="J25" s="49">
        <f>ABS(B25-B20)</f>
        <v>3.4348935260553048E-6</v>
      </c>
      <c r="K25" s="49">
        <f>ABS(J25/B25)*100</f>
        <v>1.6200729228816498E-4</v>
      </c>
      <c r="L25" s="105" t="s">
        <v>24</v>
      </c>
      <c r="M25" s="49">
        <f>IF(M23&lt;0,M24,(B23-SQRT(M23))/2)</f>
        <v>-1.7606997547226815</v>
      </c>
      <c r="N25" s="108" t="s">
        <v>30</v>
      </c>
      <c r="O25" s="67" t="str">
        <f>IF(M23&lt;0,-O24,"")</f>
        <v/>
      </c>
      <c r="P25" s="108" t="s">
        <v>25</v>
      </c>
    </row>
    <row r="26" spans="1:1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</row>
    <row r="27" spans="1:16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spans="1:16" ht="15.6">
      <c r="A28" s="46" t="s">
        <v>34</v>
      </c>
      <c r="B28" s="47"/>
      <c r="C28" s="48" t="s">
        <v>1</v>
      </c>
      <c r="D28" s="49" t="s">
        <v>2</v>
      </c>
      <c r="E28" s="49" t="s">
        <v>3</v>
      </c>
      <c r="F28" s="49" t="s">
        <v>4</v>
      </c>
      <c r="G28" s="49" t="s">
        <v>5</v>
      </c>
      <c r="H28" s="49" t="s">
        <v>6</v>
      </c>
      <c r="I28" s="49" t="s">
        <v>7</v>
      </c>
      <c r="J28" s="50" t="s">
        <v>9</v>
      </c>
      <c r="K28" s="51" t="s">
        <v>10</v>
      </c>
      <c r="L28" s="91"/>
      <c r="M28" s="91"/>
      <c r="N28" s="91"/>
      <c r="O28" s="91"/>
      <c r="P28" s="91"/>
    </row>
    <row r="29" spans="1:16" ht="15.6">
      <c r="A29" s="47"/>
      <c r="B29" s="53" t="s">
        <v>18</v>
      </c>
      <c r="C29" s="92">
        <v>0</v>
      </c>
      <c r="D29" s="93">
        <v>0</v>
      </c>
      <c r="E29" s="57">
        <v>0</v>
      </c>
      <c r="F29" s="57">
        <v>1</v>
      </c>
      <c r="G29" s="57">
        <v>-3.6069023999644072</v>
      </c>
      <c r="H29" s="57">
        <v>-18.77947134875436</v>
      </c>
      <c r="I29" s="57">
        <v>59.069916726939361</v>
      </c>
      <c r="J29" s="94">
        <v>1E-3</v>
      </c>
      <c r="K29" s="95"/>
      <c r="L29" s="47"/>
      <c r="M29" s="47"/>
      <c r="N29" s="91"/>
      <c r="O29" s="91"/>
      <c r="P29" s="91"/>
    </row>
    <row r="30" spans="1:16" ht="15.6">
      <c r="A30" s="48" t="s">
        <v>19</v>
      </c>
      <c r="B30" s="90">
        <v>-1.3930823397315222</v>
      </c>
      <c r="C30" s="47"/>
      <c r="D30" s="49">
        <f t="shared" ref="D30:I30" si="14">$B30*C32</f>
        <v>0</v>
      </c>
      <c r="E30" s="96">
        <f t="shared" si="14"/>
        <v>0</v>
      </c>
      <c r="F30" s="96">
        <f t="shared" si="14"/>
        <v>0</v>
      </c>
      <c r="G30" s="96">
        <f t="shared" si="14"/>
        <v>-1.3930823397315222</v>
      </c>
      <c r="H30" s="96">
        <f t="shared" si="14"/>
        <v>6.9653904397975106</v>
      </c>
      <c r="I30" s="96">
        <f t="shared" si="14"/>
        <v>-1.2308655964315827E-4</v>
      </c>
      <c r="J30" s="47"/>
      <c r="K30" s="47"/>
      <c r="L30" s="49" t="s">
        <v>20</v>
      </c>
      <c r="M30" s="64">
        <f>B30^2+4*B31</f>
        <v>49.197355463308789</v>
      </c>
      <c r="N30" s="91"/>
      <c r="O30" s="91"/>
      <c r="P30" s="91"/>
    </row>
    <row r="31" spans="1:16" ht="16.149999999999999" thickBot="1">
      <c r="A31" s="48" t="s">
        <v>21</v>
      </c>
      <c r="B31" s="74">
        <v>11.814169264509234</v>
      </c>
      <c r="C31" s="97"/>
      <c r="D31" s="97"/>
      <c r="E31" s="98">
        <f>$B31*C32</f>
        <v>0</v>
      </c>
      <c r="F31" s="98">
        <f>$B31*D32</f>
        <v>0</v>
      </c>
      <c r="G31" s="98">
        <f>$B31*E32</f>
        <v>0</v>
      </c>
      <c r="H31" s="98">
        <f>$B31*F32</f>
        <v>11.814169264509234</v>
      </c>
      <c r="I31" s="98">
        <f>$B31*G32</f>
        <v>-59.070666034730849</v>
      </c>
      <c r="J31" s="47"/>
      <c r="K31" s="47"/>
      <c r="L31" s="49" t="s">
        <v>22</v>
      </c>
      <c r="M31" s="49">
        <f>IF(M30&lt;0,B30/2,(B30+SQRT(M30))/2)</f>
        <v>2.8105001566411278</v>
      </c>
      <c r="N31" s="47" t="str">
        <f>IF(M30&lt;0,"+","")</f>
        <v/>
      </c>
      <c r="O31" s="47" t="str">
        <f>IF(M30&lt;0,SQRT(ABS(M30))/2,"")</f>
        <v/>
      </c>
      <c r="P31" s="47" t="str">
        <f>IF(M30&lt;0,"i","")</f>
        <v/>
      </c>
    </row>
    <row r="32" spans="1:16" ht="15.6">
      <c r="A32" s="48" t="s">
        <v>23</v>
      </c>
      <c r="B32" s="67">
        <f>SQRT(SUMSQ(B30:B31))</f>
        <v>11.896019242408213</v>
      </c>
      <c r="C32" s="99">
        <f t="shared" ref="C32:I32" si="15">SUM(C29:C31)</f>
        <v>0</v>
      </c>
      <c r="D32" s="67">
        <f t="shared" si="15"/>
        <v>0</v>
      </c>
      <c r="E32" s="99">
        <f t="shared" si="15"/>
        <v>0</v>
      </c>
      <c r="F32" s="67">
        <f t="shared" si="15"/>
        <v>1</v>
      </c>
      <c r="G32" s="67">
        <f t="shared" si="15"/>
        <v>-4.9999847396959289</v>
      </c>
      <c r="H32" s="100">
        <f t="shared" si="15"/>
        <v>8.8355552383845293E-5</v>
      </c>
      <c r="I32" s="100">
        <f t="shared" si="15"/>
        <v>-8.7239435112707042E-4</v>
      </c>
      <c r="J32" s="47"/>
      <c r="K32" s="47"/>
      <c r="L32" s="49" t="s">
        <v>24</v>
      </c>
      <c r="M32" s="49">
        <f>IF(M30&lt;0,M31,(B30-SQRT(M30))/2)</f>
        <v>-4.2035824963726496</v>
      </c>
      <c r="N32" s="101" t="str">
        <f>IF(M30&lt;0,"+","")</f>
        <v/>
      </c>
      <c r="O32" s="47" t="str">
        <f>IF(M30&lt;0,-O31,"")</f>
        <v/>
      </c>
      <c r="P32" s="101"/>
    </row>
    <row r="33" spans="1:16" ht="15.6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91"/>
      <c r="M33" s="91"/>
      <c r="N33" s="91"/>
      <c r="O33" s="91"/>
      <c r="P33" s="91"/>
    </row>
    <row r="34" spans="1:16" ht="15.6">
      <c r="A34" s="47"/>
      <c r="B34" s="53" t="s">
        <v>26</v>
      </c>
      <c r="C34" s="102">
        <f t="shared" ref="C34:I34" si="16">C29</f>
        <v>0</v>
      </c>
      <c r="D34" s="93">
        <f t="shared" si="16"/>
        <v>0</v>
      </c>
      <c r="E34" s="93">
        <f t="shared" si="16"/>
        <v>0</v>
      </c>
      <c r="F34" s="93">
        <f t="shared" si="16"/>
        <v>1</v>
      </c>
      <c r="G34" s="93">
        <f t="shared" si="16"/>
        <v>-3.6069023999644072</v>
      </c>
      <c r="H34" s="93">
        <f t="shared" si="16"/>
        <v>-18.77947134875436</v>
      </c>
      <c r="I34" s="93">
        <f t="shared" si="16"/>
        <v>59.069916726939361</v>
      </c>
      <c r="J34" s="47"/>
      <c r="K34" s="47"/>
      <c r="L34" s="47"/>
      <c r="M34" s="49" t="s">
        <v>27</v>
      </c>
      <c r="N34" s="91"/>
      <c r="O34" s="91"/>
      <c r="P34" s="91"/>
    </row>
    <row r="35" spans="1:16" ht="15.6">
      <c r="A35" s="48" t="s">
        <v>28</v>
      </c>
      <c r="B35" s="74">
        <f>-(H29+B36*F32)/G32</f>
        <v>-1.3930946410617264</v>
      </c>
      <c r="C35" s="47"/>
      <c r="D35" s="49">
        <f t="shared" ref="D35:I35" si="17">$B35*C37</f>
        <v>0</v>
      </c>
      <c r="E35" s="49">
        <f t="shared" si="17"/>
        <v>0</v>
      </c>
      <c r="F35" s="49">
        <f t="shared" si="17"/>
        <v>0</v>
      </c>
      <c r="G35" s="49">
        <f t="shared" si="17"/>
        <v>-1.3930946410617264</v>
      </c>
      <c r="H35" s="49">
        <f t="shared" si="17"/>
        <v>6.9654690831779966</v>
      </c>
      <c r="I35" s="49">
        <f t="shared" si="17"/>
        <v>-2.3873347497017208E-5</v>
      </c>
      <c r="J35" s="47"/>
      <c r="K35" s="47"/>
      <c r="L35" s="49" t="s">
        <v>20</v>
      </c>
      <c r="M35" s="64">
        <f>B35^2+4*B36</f>
        <v>49.196790288929101</v>
      </c>
      <c r="N35" s="91"/>
      <c r="O35" s="91"/>
      <c r="P35" s="91"/>
    </row>
    <row r="36" spans="1:16" ht="16.149999999999999" thickBot="1">
      <c r="A36" s="48" t="s">
        <v>29</v>
      </c>
      <c r="B36" s="75">
        <f>-I29/G32</f>
        <v>11.81401940249355</v>
      </c>
      <c r="C36" s="103"/>
      <c r="D36" s="97"/>
      <c r="E36" s="98">
        <f>$B36*C37</f>
        <v>0</v>
      </c>
      <c r="F36" s="98">
        <f>$B36*D37</f>
        <v>0</v>
      </c>
      <c r="G36" s="98">
        <f>$B36*E37</f>
        <v>0</v>
      </c>
      <c r="H36" s="98">
        <f>$B36*F37</f>
        <v>11.81401940249355</v>
      </c>
      <c r="I36" s="98">
        <f>$B36*G37</f>
        <v>-59.070062055093082</v>
      </c>
      <c r="J36" s="47"/>
      <c r="K36" s="47"/>
      <c r="L36" s="49" t="s">
        <v>22</v>
      </c>
      <c r="M36" s="48">
        <f>IF(M35&lt;0,B35/2,(B35+SQRT(M35))/2)</f>
        <v>2.8104738616452973</v>
      </c>
      <c r="N36" s="49" t="s">
        <v>30</v>
      </c>
      <c r="O36" s="49" t="str">
        <f>IF(M35&lt;0,SQRT(ABS(M35))/2,"")</f>
        <v/>
      </c>
      <c r="P36" s="49" t="str">
        <f>IF(M35&lt;0,"i","")</f>
        <v/>
      </c>
    </row>
    <row r="37" spans="1:16" ht="15.6">
      <c r="A37" s="49" t="s">
        <v>23</v>
      </c>
      <c r="B37" s="67">
        <f>SQRT(SUMSQ(B35:B36))</f>
        <v>11.895871852094277</v>
      </c>
      <c r="C37" s="67">
        <f t="shared" ref="C37:I37" si="18">SUM(C34:C36)</f>
        <v>0</v>
      </c>
      <c r="D37" s="67">
        <f t="shared" si="18"/>
        <v>0</v>
      </c>
      <c r="E37" s="67">
        <f t="shared" si="18"/>
        <v>0</v>
      </c>
      <c r="F37" s="67">
        <f t="shared" si="18"/>
        <v>1</v>
      </c>
      <c r="G37" s="67">
        <f t="shared" si="18"/>
        <v>-4.9999970410261341</v>
      </c>
      <c r="H37" s="100">
        <f t="shared" si="18"/>
        <v>1.7136917186633127E-5</v>
      </c>
      <c r="I37" s="100">
        <f t="shared" si="18"/>
        <v>-1.6920150121535471E-4</v>
      </c>
      <c r="J37" s="49">
        <f>ABS(B37-B32)</f>
        <v>1.4739031393595781E-4</v>
      </c>
      <c r="K37" s="48">
        <f>ABS(J37/B37)*100</f>
        <v>1.2390038810817354E-3</v>
      </c>
      <c r="L37" s="49" t="s">
        <v>24</v>
      </c>
      <c r="M37" s="48">
        <f>IF(M35&lt;0,M36,(B35-SQRT(M35))/2)</f>
        <v>-4.2035685027070242</v>
      </c>
      <c r="N37" s="104" t="s">
        <v>30</v>
      </c>
      <c r="O37" s="49" t="str">
        <f>IF(M35&lt;0,-O36,"")</f>
        <v/>
      </c>
      <c r="P37" s="104" t="s">
        <v>25</v>
      </c>
    </row>
    <row r="38" spans="1:16" ht="15.6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91"/>
      <c r="M38" s="91"/>
      <c r="N38" s="91"/>
      <c r="O38" s="91"/>
      <c r="P38" s="91"/>
    </row>
    <row r="39" spans="1:16" ht="15.6">
      <c r="A39" s="47"/>
      <c r="B39" s="53" t="s">
        <v>31</v>
      </c>
      <c r="C39" s="92">
        <f t="shared" ref="C39:I39" si="19">C34</f>
        <v>0</v>
      </c>
      <c r="D39" s="75">
        <f t="shared" si="19"/>
        <v>0</v>
      </c>
      <c r="E39" s="93">
        <f t="shared" si="19"/>
        <v>0</v>
      </c>
      <c r="F39" s="93">
        <f t="shared" si="19"/>
        <v>1</v>
      </c>
      <c r="G39" s="93">
        <f t="shared" si="19"/>
        <v>-3.6069023999644072</v>
      </c>
      <c r="H39" s="93">
        <f t="shared" si="19"/>
        <v>-18.77947134875436</v>
      </c>
      <c r="I39" s="93">
        <f t="shared" si="19"/>
        <v>59.069916726939361</v>
      </c>
      <c r="J39" s="47"/>
      <c r="K39" s="47"/>
      <c r="L39" s="91"/>
      <c r="M39" s="91"/>
      <c r="N39" s="91"/>
      <c r="O39" s="91"/>
      <c r="P39" s="91"/>
    </row>
    <row r="40" spans="1:16" ht="15.6">
      <c r="A40" s="48" t="s">
        <v>19</v>
      </c>
      <c r="B40" s="80">
        <f>-(H34+B41*F37)/G37</f>
        <v>-1.3930970268092902</v>
      </c>
      <c r="C40" s="47"/>
      <c r="D40" s="48">
        <f t="shared" ref="D40:I40" si="20">$B40*C42</f>
        <v>0</v>
      </c>
      <c r="E40" s="49">
        <f t="shared" si="20"/>
        <v>0</v>
      </c>
      <c r="F40" s="49">
        <f t="shared" si="20"/>
        <v>0</v>
      </c>
      <c r="G40" s="49">
        <f t="shared" si="20"/>
        <v>-1.3930970268092902</v>
      </c>
      <c r="H40" s="49">
        <f t="shared" si="20"/>
        <v>6.9654843354865923</v>
      </c>
      <c r="I40" s="49">
        <f t="shared" si="20"/>
        <v>-4.6300664042539257E-6</v>
      </c>
      <c r="J40" s="47"/>
      <c r="K40" s="47"/>
      <c r="L40" s="49" t="s">
        <v>20</v>
      </c>
      <c r="M40" s="64">
        <f>B40^2+4*B41</f>
        <v>49.1966806734873</v>
      </c>
      <c r="N40" s="91"/>
      <c r="O40" s="91"/>
      <c r="P40" s="91"/>
    </row>
    <row r="41" spans="1:16" ht="16.149999999999999" thickBot="1">
      <c r="A41" s="48" t="s">
        <v>21</v>
      </c>
      <c r="B41" s="75">
        <f>-I34/G37</f>
        <v>11.813990336845604</v>
      </c>
      <c r="C41" s="103"/>
      <c r="D41" s="97"/>
      <c r="E41" s="98">
        <f>$B41*C42</f>
        <v>0</v>
      </c>
      <c r="F41" s="98">
        <f>$B41*D42</f>
        <v>0</v>
      </c>
      <c r="G41" s="98">
        <f>$B41*E42</f>
        <v>0</v>
      </c>
      <c r="H41" s="98">
        <f>$B41*F42</f>
        <v>11.813990336845604</v>
      </c>
      <c r="I41" s="98">
        <f>$B41*G42</f>
        <v>-59.06994491213802</v>
      </c>
      <c r="J41" s="47"/>
      <c r="K41" s="47"/>
      <c r="L41" s="49" t="s">
        <v>22</v>
      </c>
      <c r="M41" s="48">
        <f>IF(M40&lt;0,B40/2,(B40+SQRT(M40))/2)</f>
        <v>2.8104687617697768</v>
      </c>
      <c r="N41" s="49" t="s">
        <v>30</v>
      </c>
      <c r="O41" s="49" t="str">
        <f>IF(M40&lt;0,SQRT(ABS(M40))/2,"")</f>
        <v/>
      </c>
      <c r="P41" s="49" t="str">
        <f>IF(M40&lt;0,"i","")</f>
        <v/>
      </c>
    </row>
    <row r="42" spans="1:16" ht="15.6">
      <c r="A42" s="48" t="s">
        <v>23</v>
      </c>
      <c r="B42" s="67">
        <f>SQRT(SUMSQ(B40:B41))</f>
        <v>11.895843265829717</v>
      </c>
      <c r="C42" s="67">
        <f t="shared" ref="C42:I42" si="21">SUM(C39:C41)</f>
        <v>0</v>
      </c>
      <c r="D42" s="84">
        <f t="shared" si="21"/>
        <v>0</v>
      </c>
      <c r="E42" s="67">
        <f t="shared" si="21"/>
        <v>0</v>
      </c>
      <c r="F42" s="67">
        <f t="shared" si="21"/>
        <v>1</v>
      </c>
      <c r="G42" s="67">
        <f t="shared" si="21"/>
        <v>-4.9999994267736971</v>
      </c>
      <c r="H42" s="100">
        <f t="shared" si="21"/>
        <v>3.3235778378326586E-6</v>
      </c>
      <c r="I42" s="100">
        <f t="shared" si="21"/>
        <v>-3.2815265065266885E-5</v>
      </c>
      <c r="J42" s="105">
        <f>ABS(B42-B37)</f>
        <v>2.8586264560814811E-5</v>
      </c>
      <c r="K42" s="48">
        <f>ABS(J42/B42)*100</f>
        <v>2.4030465030526748E-4</v>
      </c>
      <c r="L42" s="49" t="s">
        <v>24</v>
      </c>
      <c r="M42" s="48">
        <f>IF(M40&lt;0,M41,(B40-SQRT(M40))/2)</f>
        <v>-4.2035657885790672</v>
      </c>
      <c r="N42" s="104" t="s">
        <v>30</v>
      </c>
      <c r="O42" s="49" t="str">
        <f>IF(M40&lt;0,-O41,"")</f>
        <v/>
      </c>
      <c r="P42" s="104" t="s">
        <v>25</v>
      </c>
    </row>
    <row r="43" spans="1:16" ht="15.6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91"/>
      <c r="M43" s="91"/>
      <c r="N43" s="91"/>
      <c r="O43" s="91"/>
      <c r="P43" s="91"/>
    </row>
    <row r="44" spans="1:16" ht="15.6">
      <c r="A44" s="47"/>
      <c r="B44" s="53" t="s">
        <v>32</v>
      </c>
      <c r="C44" s="92">
        <f t="shared" ref="C44:I44" si="22">C39</f>
        <v>0</v>
      </c>
      <c r="D44" s="106">
        <f t="shared" si="22"/>
        <v>0</v>
      </c>
      <c r="E44" s="106">
        <f t="shared" si="22"/>
        <v>0</v>
      </c>
      <c r="F44" s="106">
        <f t="shared" si="22"/>
        <v>1</v>
      </c>
      <c r="G44" s="106">
        <f t="shared" si="22"/>
        <v>-3.6069023999644072</v>
      </c>
      <c r="H44" s="106">
        <f t="shared" si="22"/>
        <v>-18.77947134875436</v>
      </c>
      <c r="I44" s="106">
        <f t="shared" si="22"/>
        <v>59.069916726939361</v>
      </c>
      <c r="J44" s="47"/>
      <c r="K44" s="47"/>
      <c r="L44" s="91"/>
      <c r="M44" s="91"/>
      <c r="N44" s="91"/>
      <c r="O44" s="91"/>
      <c r="P44" s="91"/>
    </row>
    <row r="45" spans="1:16" ht="15.6">
      <c r="A45" s="47" t="s">
        <v>28</v>
      </c>
      <c r="B45" s="74">
        <f>-(H39+B46*F42)/G42</f>
        <v>-1.3930974895018513</v>
      </c>
      <c r="C45" s="47"/>
      <c r="D45" s="49">
        <f t="shared" ref="D45:I45" si="23">$B45*C47</f>
        <v>0</v>
      </c>
      <c r="E45" s="96">
        <f t="shared" si="23"/>
        <v>0</v>
      </c>
      <c r="F45" s="96">
        <f t="shared" si="23"/>
        <v>0</v>
      </c>
      <c r="G45" s="96">
        <f t="shared" si="23"/>
        <v>-1.3930974895018513</v>
      </c>
      <c r="H45" s="96">
        <f t="shared" si="23"/>
        <v>6.965487293524979</v>
      </c>
      <c r="I45" s="96">
        <f t="shared" si="23"/>
        <v>-8.9795699413749269E-7</v>
      </c>
      <c r="J45" s="47"/>
      <c r="K45" s="47"/>
      <c r="L45" s="49" t="s">
        <v>20</v>
      </c>
      <c r="M45" s="64">
        <f>B45^2+4*B46</f>
        <v>49.196659414477267</v>
      </c>
      <c r="N45" s="91"/>
      <c r="O45" s="91"/>
      <c r="P45" s="91"/>
    </row>
    <row r="46" spans="1:16" ht="16.149999999999999" thickBot="1">
      <c r="A46" s="47" t="s">
        <v>29</v>
      </c>
      <c r="B46" s="75">
        <f>-I39/G42</f>
        <v>11.813984699805227</v>
      </c>
      <c r="C46" s="103"/>
      <c r="D46" s="97"/>
      <c r="E46" s="98">
        <f>$B46*C47</f>
        <v>0</v>
      </c>
      <c r="F46" s="98">
        <f>$B46*D47</f>
        <v>0</v>
      </c>
      <c r="G46" s="98">
        <f>$B46*E47</f>
        <v>0</v>
      </c>
      <c r="H46" s="98">
        <f>$B46*F47</f>
        <v>11.813984699805227</v>
      </c>
      <c r="I46" s="98">
        <f>$B46*G47</f>
        <v>-59.069922193182208</v>
      </c>
      <c r="J46" s="47"/>
      <c r="K46" s="47"/>
      <c r="L46" s="49" t="s">
        <v>22</v>
      </c>
      <c r="M46" s="48">
        <f>IF(M45&lt;0,B45/2,(B45+SQRT(M45))/2)</f>
        <v>2.8104677726922578</v>
      </c>
      <c r="N46" s="49" t="s">
        <v>30</v>
      </c>
      <c r="O46" s="49" t="str">
        <f>IF(M45&lt;0,SQRT(ABS(M45))/2,"")</f>
        <v/>
      </c>
      <c r="P46" s="49" t="str">
        <f>IF(M45&lt;0,"i","")</f>
        <v/>
      </c>
    </row>
    <row r="47" spans="1:16" ht="15.6">
      <c r="A47" s="47" t="s">
        <v>23</v>
      </c>
      <c r="B47" s="84">
        <f>SQRT(SUMSQ(B45:B46))</f>
        <v>11.895837721761691</v>
      </c>
      <c r="C47" s="67">
        <f t="shared" ref="C47:I47" si="24">SUM(C44:C46)</f>
        <v>0</v>
      </c>
      <c r="D47" s="67">
        <f t="shared" si="24"/>
        <v>0</v>
      </c>
      <c r="E47" s="99">
        <f t="shared" si="24"/>
        <v>0</v>
      </c>
      <c r="F47" s="67">
        <f t="shared" si="24"/>
        <v>1</v>
      </c>
      <c r="G47" s="67">
        <f t="shared" si="24"/>
        <v>-4.9999998894662587</v>
      </c>
      <c r="H47" s="100">
        <f t="shared" si="24"/>
        <v>6.4457584691979264E-7</v>
      </c>
      <c r="I47" s="107">
        <f t="shared" si="24"/>
        <v>-6.3641998409025291E-6</v>
      </c>
      <c r="J47" s="49">
        <f>ABS(B47-B42)</f>
        <v>5.5440680259977171E-6</v>
      </c>
      <c r="K47" s="49">
        <f>ABS(J47/B47)*100</f>
        <v>4.6605108069486003E-5</v>
      </c>
      <c r="L47" s="105" t="s">
        <v>24</v>
      </c>
      <c r="M47" s="48">
        <f>IF(M45&lt;0,M46,(B45-SQRT(M45))/2)</f>
        <v>-4.2035652621941093</v>
      </c>
      <c r="N47" s="104" t="s">
        <v>30</v>
      </c>
      <c r="O47" s="49" t="str">
        <f>IF(M45&lt;0,-O46,"")</f>
        <v/>
      </c>
      <c r="P47" s="104" t="s">
        <v>25</v>
      </c>
    </row>
    <row r="48" spans="1:16" ht="15.6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91"/>
      <c r="M48" s="91"/>
      <c r="N48" s="91"/>
      <c r="O48" s="91"/>
      <c r="P48" s="91"/>
    </row>
    <row r="49" spans="1:16" ht="15.6">
      <c r="A49" s="47"/>
      <c r="B49" s="53" t="s">
        <v>33</v>
      </c>
      <c r="C49" s="92">
        <f t="shared" ref="C49:I49" si="25">C44</f>
        <v>0</v>
      </c>
      <c r="D49" s="106">
        <f t="shared" si="25"/>
        <v>0</v>
      </c>
      <c r="E49" s="106">
        <f t="shared" si="25"/>
        <v>0</v>
      </c>
      <c r="F49" s="106">
        <f t="shared" si="25"/>
        <v>1</v>
      </c>
      <c r="G49" s="106">
        <f t="shared" si="25"/>
        <v>-3.6069023999644072</v>
      </c>
      <c r="H49" s="106">
        <f t="shared" si="25"/>
        <v>-18.77947134875436</v>
      </c>
      <c r="I49" s="106">
        <f t="shared" si="25"/>
        <v>59.069916726939361</v>
      </c>
      <c r="J49" s="47"/>
      <c r="K49" s="47"/>
      <c r="L49" s="91"/>
      <c r="M49" s="91"/>
      <c r="N49" s="91"/>
      <c r="O49" s="91"/>
      <c r="P49" s="91"/>
    </row>
    <row r="50" spans="1:16" ht="15.6">
      <c r="A50" s="47" t="s">
        <v>28</v>
      </c>
      <c r="B50" s="74">
        <f>-(H44+B51*F47)/G47</f>
        <v>-1.3930975792364024</v>
      </c>
      <c r="C50" s="47"/>
      <c r="D50" s="49">
        <f t="shared" ref="D50:I50" si="26">$B50*C52</f>
        <v>0</v>
      </c>
      <c r="E50" s="96">
        <f t="shared" si="26"/>
        <v>0</v>
      </c>
      <c r="F50" s="96">
        <f t="shared" si="26"/>
        <v>0</v>
      </c>
      <c r="G50" s="96">
        <f t="shared" si="26"/>
        <v>-1.3930975792364024</v>
      </c>
      <c r="H50" s="96">
        <f t="shared" si="26"/>
        <v>6.9654878672067113</v>
      </c>
      <c r="I50" s="96">
        <f t="shared" si="26"/>
        <v>-1.7414971616062665E-7</v>
      </c>
      <c r="J50" s="47"/>
      <c r="K50" s="47"/>
      <c r="L50" s="48" t="s">
        <v>20</v>
      </c>
      <c r="M50" s="64">
        <f>B50^2+4*B51</f>
        <v>49.196655291500861</v>
      </c>
      <c r="N50" s="91"/>
      <c r="O50" s="91"/>
      <c r="P50" s="91"/>
    </row>
    <row r="51" spans="1:16" ht="16.149999999999999" thickBot="1">
      <c r="A51" s="47" t="s">
        <v>29</v>
      </c>
      <c r="B51" s="75">
        <f>-I44/G47</f>
        <v>11.813983606556635</v>
      </c>
      <c r="C51" s="103"/>
      <c r="D51" s="97"/>
      <c r="E51" s="98">
        <f>$B51*C52</f>
        <v>0</v>
      </c>
      <c r="F51" s="98">
        <f>$B51*D52</f>
        <v>0</v>
      </c>
      <c r="G51" s="98">
        <f>$B51*E52</f>
        <v>0</v>
      </c>
      <c r="H51" s="98">
        <f>$B51*F52</f>
        <v>11.813983606556635</v>
      </c>
      <c r="I51" s="98">
        <f>$B51*G52</f>
        <v>-59.069917787061883</v>
      </c>
      <c r="J51" s="47"/>
      <c r="K51" s="47"/>
      <c r="L51" s="49" t="s">
        <v>22</v>
      </c>
      <c r="M51" s="84">
        <f>IF(M50&lt;0,B50/2,(B50+SQRT(M50))/2)</f>
        <v>2.8104675808704247</v>
      </c>
      <c r="N51" s="49" t="s">
        <v>30</v>
      </c>
      <c r="O51" s="49" t="str">
        <f>IF(M50&lt;0,SQRT(ABS(M50))/2,"")</f>
        <v/>
      </c>
      <c r="P51" s="49" t="str">
        <f>IF(M50&lt;0,"i","")</f>
        <v/>
      </c>
    </row>
    <row r="52" spans="1:16" ht="15.6">
      <c r="A52" s="47" t="s">
        <v>23</v>
      </c>
      <c r="B52" s="84">
        <f>SQRT(SUMSQ(B50:B51))</f>
        <v>11.89583664654417</v>
      </c>
      <c r="C52" s="67">
        <f t="shared" ref="C52:I52" si="27">SUM(C49:C51)</f>
        <v>0</v>
      </c>
      <c r="D52" s="67">
        <f t="shared" si="27"/>
        <v>0</v>
      </c>
      <c r="E52" s="67">
        <f t="shared" si="27"/>
        <v>0</v>
      </c>
      <c r="F52" s="67">
        <f t="shared" si="27"/>
        <v>1</v>
      </c>
      <c r="G52" s="67">
        <f t="shared" si="27"/>
        <v>-4.9999999792008101</v>
      </c>
      <c r="H52" s="100">
        <f t="shared" si="27"/>
        <v>1.2500898627365586E-7</v>
      </c>
      <c r="I52" s="100">
        <f t="shared" si="27"/>
        <v>-1.2342722399694139E-6</v>
      </c>
      <c r="J52" s="49">
        <f>ABS(B52-B47)</f>
        <v>1.0752175203521119E-6</v>
      </c>
      <c r="K52" s="49">
        <f>ABS(J52/B52)*100</f>
        <v>9.0386036081326883E-6</v>
      </c>
      <c r="L52" s="105" t="s">
        <v>24</v>
      </c>
      <c r="M52" s="49">
        <f>IF(M50&lt;0,M51,(B50-SQRT(M50))/2)</f>
        <v>-4.2035651601068276</v>
      </c>
      <c r="N52" s="108" t="s">
        <v>30</v>
      </c>
      <c r="O52" s="67" t="str">
        <f>IF(M50&lt;0,-O51,"")</f>
        <v/>
      </c>
      <c r="P52" s="108" t="s">
        <v>25</v>
      </c>
    </row>
  </sheetData>
  <conditionalFormatting sqref="B10">
    <cfRule type="expression" dxfId="157" priority="22">
      <formula>J10&lt;$J$2</formula>
    </cfRule>
  </conditionalFormatting>
  <conditionalFormatting sqref="B15">
    <cfRule type="expression" dxfId="156" priority="27">
      <formula>K15&lt;$K$2</formula>
    </cfRule>
    <cfRule type="expression" dxfId="155" priority="28">
      <formula>J15&lt;$J$2</formula>
    </cfRule>
  </conditionalFormatting>
  <conditionalFormatting sqref="B20">
    <cfRule type="expression" dxfId="154" priority="25">
      <formula>K20&lt;$K$2</formula>
    </cfRule>
    <cfRule type="expression" dxfId="153" priority="26">
      <formula>J20&lt;$J$2</formula>
    </cfRule>
  </conditionalFormatting>
  <conditionalFormatting sqref="B25">
    <cfRule type="expression" dxfId="152" priority="23">
      <formula>K25&lt;$K$2</formula>
    </cfRule>
    <cfRule type="expression" dxfId="151" priority="24">
      <formula>J25&lt;$J$2</formula>
    </cfRule>
  </conditionalFormatting>
  <conditionalFormatting sqref="B37">
    <cfRule type="expression" dxfId="150" priority="8">
      <formula>J37&lt;$J$2</formula>
    </cfRule>
  </conditionalFormatting>
  <conditionalFormatting sqref="B42">
    <cfRule type="expression" dxfId="149" priority="13">
      <formula>K42&lt;$K$2</formula>
    </cfRule>
    <cfRule type="expression" dxfId="148" priority="14">
      <formula>J42&lt;$J$2</formula>
    </cfRule>
  </conditionalFormatting>
  <conditionalFormatting sqref="B47">
    <cfRule type="expression" dxfId="147" priority="11">
      <formula>K47&lt;$K$2</formula>
    </cfRule>
    <cfRule type="expression" dxfId="146" priority="12">
      <formula>J47&lt;$J$2</formula>
    </cfRule>
  </conditionalFormatting>
  <conditionalFormatting sqref="B52">
    <cfRule type="expression" dxfId="145" priority="9">
      <formula>K52&lt;$K$2</formula>
    </cfRule>
    <cfRule type="expression" dxfId="144" priority="10">
      <formula>J52&lt;$J$2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72B9D-EC51-4C02-9595-69F7D254C8BD}">
  <dimension ref="A1:K36"/>
  <sheetViews>
    <sheetView zoomScale="83" zoomScaleNormal="83" workbookViewId="0">
      <selection activeCell="H16" sqref="F16:H16"/>
    </sheetView>
  </sheetViews>
  <sheetFormatPr defaultColWidth="11.42578125" defaultRowHeight="14.45"/>
  <cols>
    <col min="1" max="1" width="19.140625" bestFit="1" customWidth="1"/>
    <col min="2" max="2" width="9.42578125" bestFit="1" customWidth="1"/>
    <col min="3" max="3" width="7.7109375" bestFit="1" customWidth="1"/>
    <col min="4" max="4" width="8.5703125" bestFit="1" customWidth="1"/>
    <col min="5" max="5" width="7.7109375" bestFit="1" customWidth="1"/>
    <col min="6" max="6" width="9.7109375" bestFit="1" customWidth="1"/>
    <col min="7" max="7" width="10.28515625" bestFit="1" customWidth="1"/>
    <col min="8" max="8" width="12.28515625" bestFit="1" customWidth="1"/>
    <col min="9" max="9" width="11.42578125" bestFit="1" customWidth="1"/>
    <col min="10" max="10" width="7.7109375" bestFit="1" customWidth="1"/>
    <col min="11" max="11" width="9" bestFit="1" customWidth="1"/>
    <col min="13" max="13" width="19.140625" bestFit="1" customWidth="1"/>
    <col min="14" max="14" width="11" bestFit="1" customWidth="1"/>
    <col min="15" max="15" width="7.7109375" bestFit="1" customWidth="1"/>
    <col min="16" max="16" width="8.5703125" bestFit="1" customWidth="1"/>
    <col min="17" max="17" width="7.7109375" bestFit="1" customWidth="1"/>
    <col min="18" max="18" width="9.7109375" bestFit="1" customWidth="1"/>
    <col min="19" max="19" width="10.28515625" bestFit="1" customWidth="1"/>
    <col min="20" max="20" width="12.28515625" bestFit="1" customWidth="1"/>
    <col min="21" max="21" width="11.42578125" bestFit="1" customWidth="1"/>
    <col min="22" max="22" width="7.7109375" bestFit="1" customWidth="1"/>
  </cols>
  <sheetData>
    <row r="1" spans="1:11" ht="15.6">
      <c r="A1" s="16" t="s">
        <v>0</v>
      </c>
      <c r="B1" s="29"/>
      <c r="C1" s="30" t="s">
        <v>1</v>
      </c>
      <c r="D1" s="30" t="s">
        <v>2</v>
      </c>
      <c r="E1" s="30" t="s">
        <v>3</v>
      </c>
      <c r="F1" s="30" t="s">
        <v>4</v>
      </c>
      <c r="G1" s="30" t="s">
        <v>5</v>
      </c>
      <c r="H1" s="30" t="s">
        <v>6</v>
      </c>
      <c r="I1" s="30" t="s">
        <v>7</v>
      </c>
      <c r="J1" s="32"/>
      <c r="K1" s="33">
        <v>0.05</v>
      </c>
    </row>
    <row r="2" spans="1:11" ht="15.6">
      <c r="A2" s="17"/>
      <c r="B2" s="25" t="s">
        <v>8</v>
      </c>
      <c r="C2" s="36">
        <v>0</v>
      </c>
      <c r="D2" s="31">
        <v>0</v>
      </c>
      <c r="E2" s="31">
        <v>0</v>
      </c>
      <c r="F2" s="31">
        <v>2</v>
      </c>
      <c r="G2" s="31">
        <v>0</v>
      </c>
      <c r="H2" s="31">
        <v>-3</v>
      </c>
      <c r="I2" s="31">
        <v>4</v>
      </c>
      <c r="J2" s="18" t="s">
        <v>9</v>
      </c>
      <c r="K2" s="19" t="s">
        <v>10</v>
      </c>
    </row>
    <row r="3" spans="1:11" ht="15.6">
      <c r="A3" s="17"/>
      <c r="B3" s="37">
        <v>-1.6</v>
      </c>
      <c r="C3" s="34"/>
      <c r="D3" s="2">
        <f t="shared" ref="D3:I3" si="0">$B3*C4</f>
        <v>0</v>
      </c>
      <c r="E3" s="2">
        <f t="shared" si="0"/>
        <v>0</v>
      </c>
      <c r="F3" s="2">
        <f t="shared" si="0"/>
        <v>0</v>
      </c>
      <c r="G3" s="2">
        <f t="shared" si="0"/>
        <v>-3.2</v>
      </c>
      <c r="H3" s="2">
        <f t="shared" si="0"/>
        <v>5.120000000000001</v>
      </c>
      <c r="I3" s="2">
        <f t="shared" si="0"/>
        <v>-3.3920000000000017</v>
      </c>
      <c r="J3" s="5"/>
      <c r="K3" s="6"/>
    </row>
    <row r="4" spans="1:11" ht="15.6">
      <c r="B4" s="4"/>
      <c r="C4" s="20">
        <f>SUM(C2:C3)</f>
        <v>0</v>
      </c>
      <c r="D4" s="5">
        <f t="shared" ref="D4:I4" si="1">SUM(D2:D3)</f>
        <v>0</v>
      </c>
      <c r="E4" s="6">
        <f t="shared" si="1"/>
        <v>0</v>
      </c>
      <c r="F4" s="6">
        <f t="shared" si="1"/>
        <v>2</v>
      </c>
      <c r="G4" s="6">
        <f t="shared" si="1"/>
        <v>-3.2</v>
      </c>
      <c r="H4" s="6">
        <f t="shared" si="1"/>
        <v>2.120000000000001</v>
      </c>
      <c r="I4" s="7">
        <f t="shared" si="1"/>
        <v>0.60799999999999832</v>
      </c>
      <c r="J4" s="5"/>
      <c r="K4" s="6"/>
    </row>
    <row r="5" spans="1:11" ht="15.6" thickBot="1">
      <c r="C5" s="21"/>
      <c r="D5" s="22">
        <f>$B3*C6</f>
        <v>0</v>
      </c>
      <c r="E5" s="23">
        <f>$B3*D6</f>
        <v>0</v>
      </c>
      <c r="F5" s="23">
        <f>$B3*E6</f>
        <v>0</v>
      </c>
      <c r="G5" s="23">
        <f>$B3*F6</f>
        <v>-3.2</v>
      </c>
      <c r="H5" s="24">
        <f>$B3*G6</f>
        <v>10.240000000000002</v>
      </c>
      <c r="I5" s="1"/>
      <c r="J5" s="6"/>
      <c r="K5" s="6"/>
    </row>
    <row r="6" spans="1:11" ht="15.6">
      <c r="C6" s="13">
        <f>SUM(C4:C5)</f>
        <v>0</v>
      </c>
      <c r="D6" s="13">
        <f t="shared" ref="D6:H6" si="2">SUM(D4:D5)</f>
        <v>0</v>
      </c>
      <c r="E6" s="13">
        <f t="shared" si="2"/>
        <v>0</v>
      </c>
      <c r="F6" s="13">
        <f t="shared" si="2"/>
        <v>2</v>
      </c>
      <c r="G6" s="13">
        <f t="shared" si="2"/>
        <v>-6.4</v>
      </c>
      <c r="H6" s="8">
        <f t="shared" si="2"/>
        <v>12.360000000000003</v>
      </c>
      <c r="I6" s="9"/>
      <c r="J6" s="6"/>
      <c r="K6" s="5"/>
    </row>
    <row r="7" spans="1:11" ht="15">
      <c r="C7" s="9"/>
      <c r="D7" s="9"/>
      <c r="E7" s="9"/>
      <c r="F7" s="9"/>
      <c r="G7" s="9"/>
      <c r="H7" s="9"/>
      <c r="I7" s="9"/>
      <c r="J7" s="6"/>
      <c r="K7" s="5"/>
    </row>
    <row r="8" spans="1:11" ht="15">
      <c r="B8" s="25" t="s">
        <v>11</v>
      </c>
      <c r="C8" s="10">
        <f t="shared" ref="C8:I8" si="3">C2</f>
        <v>0</v>
      </c>
      <c r="D8" s="11">
        <f t="shared" si="3"/>
        <v>0</v>
      </c>
      <c r="E8" s="11">
        <f t="shared" si="3"/>
        <v>0</v>
      </c>
      <c r="F8" s="11">
        <f t="shared" si="3"/>
        <v>2</v>
      </c>
      <c r="G8" s="11">
        <f t="shared" si="3"/>
        <v>0</v>
      </c>
      <c r="H8" s="11">
        <f t="shared" si="3"/>
        <v>-3</v>
      </c>
      <c r="I8" s="12">
        <f t="shared" si="3"/>
        <v>4</v>
      </c>
      <c r="J8" s="6"/>
      <c r="K8" s="5"/>
    </row>
    <row r="9" spans="1:11" ht="15">
      <c r="B9" s="12">
        <f>B3-I4/H6</f>
        <v>-1.6491909385113268</v>
      </c>
      <c r="C9" s="40"/>
      <c r="D9" s="6">
        <f t="shared" ref="D9:I9" si="4">$B9*C10</f>
        <v>0</v>
      </c>
      <c r="E9" s="6">
        <f>$B9*D10</f>
        <v>0</v>
      </c>
      <c r="F9" s="6">
        <f t="shared" si="4"/>
        <v>0</v>
      </c>
      <c r="G9" s="6">
        <f t="shared" si="4"/>
        <v>-3.2983818770226536</v>
      </c>
      <c r="H9" s="6">
        <f t="shared" si="4"/>
        <v>5.4396615033357421</v>
      </c>
      <c r="I9" s="6">
        <f t="shared" si="4"/>
        <v>-4.0234676443362272</v>
      </c>
      <c r="J9" s="26">
        <f>ABS(B9-B3)</f>
        <v>4.9190938511326721E-2</v>
      </c>
      <c r="K9" s="6">
        <f xml:space="preserve"> ABS(J9/B9)*100</f>
        <v>2.9827315541601171</v>
      </c>
    </row>
    <row r="10" spans="1:11" ht="15.6">
      <c r="B10" s="35"/>
      <c r="C10" s="26">
        <f t="shared" ref="C10:I10" si="5">SUM(C8:C9)</f>
        <v>0</v>
      </c>
      <c r="D10" s="13">
        <f t="shared" si="5"/>
        <v>0</v>
      </c>
      <c r="E10" s="13">
        <f t="shared" si="5"/>
        <v>0</v>
      </c>
      <c r="F10" s="13">
        <f>SUM(F8:F9)</f>
        <v>2</v>
      </c>
      <c r="G10" s="13">
        <f t="shared" si="5"/>
        <v>-3.2983818770226536</v>
      </c>
      <c r="H10" s="13">
        <f t="shared" si="5"/>
        <v>2.4396615033357421</v>
      </c>
      <c r="I10" s="14">
        <f t="shared" si="5"/>
        <v>-2.3467644336227167E-2</v>
      </c>
    </row>
    <row r="11" spans="1:11" ht="15.6" thickBot="1">
      <c r="B11" s="38"/>
      <c r="C11" s="42"/>
      <c r="D11" s="23">
        <f>$B9*C12</f>
        <v>0</v>
      </c>
      <c r="E11" s="23">
        <f>$B9*D12</f>
        <v>0</v>
      </c>
      <c r="F11" s="23">
        <f>$B9*E12</f>
        <v>0</v>
      </c>
      <c r="G11" s="23">
        <f>$B9*F12</f>
        <v>-3.2983818770226536</v>
      </c>
      <c r="H11" s="23">
        <f>$B9*G12</f>
        <v>10.879323006671484</v>
      </c>
      <c r="I11" s="39"/>
    </row>
    <row r="12" spans="1:11" ht="15.6">
      <c r="C12" s="13">
        <f t="shared" ref="C12:H12" si="6">SUM(C10:C11)</f>
        <v>0</v>
      </c>
      <c r="D12" s="13">
        <f t="shared" si="6"/>
        <v>0</v>
      </c>
      <c r="E12" s="13">
        <f t="shared" si="6"/>
        <v>0</v>
      </c>
      <c r="F12" s="13">
        <f t="shared" si="6"/>
        <v>2</v>
      </c>
      <c r="G12" s="13">
        <f t="shared" si="6"/>
        <v>-6.5967637540453072</v>
      </c>
      <c r="H12" s="8">
        <f t="shared" si="6"/>
        <v>13.318984510007226</v>
      </c>
    </row>
    <row r="14" spans="1:11" ht="15">
      <c r="B14" s="25" t="s">
        <v>12</v>
      </c>
      <c r="C14" s="27">
        <f t="shared" ref="C14:I14" si="7">C8</f>
        <v>0</v>
      </c>
      <c r="D14" s="28">
        <f t="shared" si="7"/>
        <v>0</v>
      </c>
      <c r="E14" s="28">
        <f t="shared" si="7"/>
        <v>0</v>
      </c>
      <c r="F14" s="28">
        <f t="shared" si="7"/>
        <v>2</v>
      </c>
      <c r="G14" s="28">
        <f t="shared" si="7"/>
        <v>0</v>
      </c>
      <c r="H14" s="28">
        <f t="shared" si="7"/>
        <v>-3</v>
      </c>
      <c r="I14" s="28">
        <f t="shared" si="7"/>
        <v>4</v>
      </c>
    </row>
    <row r="15" spans="1:11" ht="15">
      <c r="B15" s="41">
        <f>B9-I10/H12</f>
        <v>-1.6474289690219417</v>
      </c>
      <c r="C15" s="5"/>
      <c r="D15" s="6">
        <f t="shared" ref="D15:I15" si="8">$B15*C16</f>
        <v>0</v>
      </c>
      <c r="E15" s="6">
        <f t="shared" si="8"/>
        <v>0</v>
      </c>
      <c r="F15" s="6">
        <f t="shared" si="8"/>
        <v>0</v>
      </c>
      <c r="G15" s="6">
        <f t="shared" si="8"/>
        <v>-3.2948579380438834</v>
      </c>
      <c r="H15" s="6">
        <f t="shared" si="8"/>
        <v>5.4280444159453953</v>
      </c>
      <c r="I15" s="6">
        <f t="shared" si="8"/>
        <v>-4.0000307089004048</v>
      </c>
      <c r="J15" s="5">
        <f>ABS(B15-B9)</f>
        <v>1.7619694893851179E-3</v>
      </c>
      <c r="K15" s="6">
        <f xml:space="preserve"> ABS(J15/B15)*100</f>
        <v>0.10695268339436677</v>
      </c>
    </row>
    <row r="16" spans="1:11" ht="15.6">
      <c r="B16" s="35"/>
      <c r="C16" s="26">
        <f t="shared" ref="C16:I16" si="9">SUM(C14:C15)</f>
        <v>0</v>
      </c>
      <c r="D16" s="13">
        <f t="shared" si="9"/>
        <v>0</v>
      </c>
      <c r="E16" s="13">
        <f t="shared" si="9"/>
        <v>0</v>
      </c>
      <c r="F16" s="13">
        <f t="shared" si="9"/>
        <v>2</v>
      </c>
      <c r="G16" s="13">
        <f t="shared" si="9"/>
        <v>-3.2948579380438834</v>
      </c>
      <c r="H16" s="13">
        <f t="shared" si="9"/>
        <v>2.4280444159453953</v>
      </c>
      <c r="I16" s="14">
        <f t="shared" si="9"/>
        <v>-3.070890040479668E-5</v>
      </c>
    </row>
    <row r="17" spans="2:11" ht="15.6" thickBot="1">
      <c r="B17" s="38"/>
      <c r="C17" s="22"/>
      <c r="D17" s="23">
        <f>$B15*C18</f>
        <v>0</v>
      </c>
      <c r="E17" s="23">
        <f>$B15*D18</f>
        <v>0</v>
      </c>
      <c r="F17" s="23">
        <f>$B15*E18</f>
        <v>0</v>
      </c>
      <c r="G17" s="23">
        <f>$B15*F18</f>
        <v>-3.2948579380438834</v>
      </c>
      <c r="H17" s="23">
        <f>$B15*G18</f>
        <v>10.856088831890791</v>
      </c>
      <c r="I17" s="24"/>
    </row>
    <row r="18" spans="2:11" ht="15.6">
      <c r="C18" s="13">
        <f t="shared" ref="C18:H18" si="10">SUM(C16:C17)</f>
        <v>0</v>
      </c>
      <c r="D18" s="13">
        <f t="shared" si="10"/>
        <v>0</v>
      </c>
      <c r="E18" s="13">
        <f t="shared" si="10"/>
        <v>0</v>
      </c>
      <c r="F18" s="13">
        <f t="shared" si="10"/>
        <v>2</v>
      </c>
      <c r="G18" s="13">
        <f t="shared" si="10"/>
        <v>-6.5897158760877668</v>
      </c>
      <c r="H18" s="8">
        <f t="shared" si="10"/>
        <v>13.284133247836186</v>
      </c>
      <c r="I18" s="15"/>
    </row>
    <row r="20" spans="2:11" ht="15">
      <c r="B20" s="25" t="s">
        <v>13</v>
      </c>
      <c r="C20" s="27">
        <f t="shared" ref="C20:I20" si="11">C14</f>
        <v>0</v>
      </c>
      <c r="D20" s="28">
        <f t="shared" si="11"/>
        <v>0</v>
      </c>
      <c r="E20" s="28">
        <f t="shared" si="11"/>
        <v>0</v>
      </c>
      <c r="F20" s="28">
        <f t="shared" si="11"/>
        <v>2</v>
      </c>
      <c r="G20" s="28">
        <f t="shared" si="11"/>
        <v>0</v>
      </c>
      <c r="H20" s="28">
        <f t="shared" si="11"/>
        <v>-3</v>
      </c>
      <c r="I20" s="28">
        <f t="shared" si="11"/>
        <v>4</v>
      </c>
      <c r="J20" s="15"/>
      <c r="K20" s="15"/>
    </row>
    <row r="21" spans="2:11" ht="15">
      <c r="B21" s="12">
        <f>B15-I16/H18</f>
        <v>-1.647426657324232</v>
      </c>
      <c r="C21" s="20"/>
      <c r="D21" s="6">
        <f t="shared" ref="D21:I21" si="12">$B21*C22</f>
        <v>0</v>
      </c>
      <c r="E21" s="6">
        <f t="shared" si="12"/>
        <v>0</v>
      </c>
      <c r="F21" s="6">
        <f t="shared" si="12"/>
        <v>0</v>
      </c>
      <c r="G21" s="6">
        <f t="shared" si="12"/>
        <v>-3.294853314648464</v>
      </c>
      <c r="H21" s="6">
        <f t="shared" si="12"/>
        <v>5.4280291825249849</v>
      </c>
      <c r="I21" s="6">
        <f t="shared" si="12"/>
        <v>-4.0000000000528235</v>
      </c>
      <c r="J21" s="5">
        <f>ABS(B21-B15)</f>
        <v>2.311697709700411E-6</v>
      </c>
      <c r="K21" s="6">
        <f xml:space="preserve"> ABS(J21/B21)*100</f>
        <v>1.4032173750636614E-4</v>
      </c>
    </row>
    <row r="22" spans="2:11" ht="15.6">
      <c r="B22" s="35"/>
      <c r="C22" s="26">
        <f t="shared" ref="C22:I22" si="13">SUM(C20:C21)</f>
        <v>0</v>
      </c>
      <c r="D22" s="13">
        <f t="shared" si="13"/>
        <v>0</v>
      </c>
      <c r="E22" s="13">
        <f t="shared" si="13"/>
        <v>0</v>
      </c>
      <c r="F22" s="13">
        <f t="shared" si="13"/>
        <v>2</v>
      </c>
      <c r="G22" s="13">
        <f t="shared" si="13"/>
        <v>-3.294853314648464</v>
      </c>
      <c r="H22" s="13">
        <f t="shared" si="13"/>
        <v>2.4280291825249849</v>
      </c>
      <c r="I22" s="14">
        <f t="shared" si="13"/>
        <v>-5.2823523333245248E-11</v>
      </c>
      <c r="J22" s="15"/>
      <c r="K22" s="15"/>
    </row>
    <row r="23" spans="2:11" ht="15.6" thickBot="1">
      <c r="B23" s="38"/>
      <c r="C23" s="22"/>
      <c r="D23" s="23">
        <f>$B21*C24</f>
        <v>0</v>
      </c>
      <c r="E23" s="23">
        <f>$B21*D24</f>
        <v>0</v>
      </c>
      <c r="F23" s="23">
        <f>$B21*E24</f>
        <v>0</v>
      </c>
      <c r="G23" s="23">
        <f>$B21*F24</f>
        <v>-3.294853314648464</v>
      </c>
      <c r="H23" s="23">
        <f>$B21*G24</f>
        <v>10.85605836504997</v>
      </c>
      <c r="I23" s="24"/>
      <c r="J23" s="15"/>
      <c r="K23" s="15"/>
    </row>
    <row r="24" spans="2:11" ht="15.6">
      <c r="C24" s="13">
        <f t="shared" ref="C24:H24" si="14">SUM(C22:C23)</f>
        <v>0</v>
      </c>
      <c r="D24" s="13">
        <f t="shared" si="14"/>
        <v>0</v>
      </c>
      <c r="E24" s="13">
        <f t="shared" si="14"/>
        <v>0</v>
      </c>
      <c r="F24" s="13">
        <f t="shared" si="14"/>
        <v>2</v>
      </c>
      <c r="G24" s="13">
        <f t="shared" si="14"/>
        <v>-6.589706629296928</v>
      </c>
      <c r="H24" s="8">
        <f t="shared" si="14"/>
        <v>13.284087547574956</v>
      </c>
      <c r="I24" s="15"/>
      <c r="J24" s="15"/>
      <c r="K24" s="15"/>
    </row>
    <row r="26" spans="2:11" ht="15">
      <c r="B26" s="25" t="s">
        <v>14</v>
      </c>
      <c r="C26" s="27">
        <f t="shared" ref="C26:I26" si="15">C20</f>
        <v>0</v>
      </c>
      <c r="D26" s="28">
        <f t="shared" si="15"/>
        <v>0</v>
      </c>
      <c r="E26" s="28">
        <f t="shared" si="15"/>
        <v>0</v>
      </c>
      <c r="F26" s="28">
        <f t="shared" si="15"/>
        <v>2</v>
      </c>
      <c r="G26" s="28">
        <f t="shared" si="15"/>
        <v>0</v>
      </c>
      <c r="H26" s="28">
        <f t="shared" si="15"/>
        <v>-3</v>
      </c>
      <c r="I26" s="28">
        <f t="shared" si="15"/>
        <v>4</v>
      </c>
      <c r="J26" s="15"/>
      <c r="K26" s="15"/>
    </row>
    <row r="27" spans="2:11" ht="15">
      <c r="B27" s="12">
        <f>B21-I22/H24</f>
        <v>-1.6474266573202556</v>
      </c>
      <c r="C27" s="20"/>
      <c r="D27" s="6">
        <f t="shared" ref="D27:I27" si="16">$B27*C28</f>
        <v>0</v>
      </c>
      <c r="E27" s="6">
        <f t="shared" si="16"/>
        <v>0</v>
      </c>
      <c r="F27" s="6">
        <f t="shared" si="16"/>
        <v>0</v>
      </c>
      <c r="G27" s="6">
        <f t="shared" si="16"/>
        <v>-3.2948533146405112</v>
      </c>
      <c r="H27" s="6">
        <f t="shared" si="16"/>
        <v>5.4280291824987819</v>
      </c>
      <c r="I27" s="6">
        <f t="shared" si="16"/>
        <v>-4.0000000000000009</v>
      </c>
      <c r="J27" s="5">
        <f>ABS(B27-B21)</f>
        <v>3.9763747849974607E-12</v>
      </c>
      <c r="K27" s="6">
        <f xml:space="preserve"> ABS(J27/B27)*100</f>
        <v>2.4136885046315379E-10</v>
      </c>
    </row>
    <row r="28" spans="2:11" ht="15.6">
      <c r="B28" s="35"/>
      <c r="C28" s="26">
        <f t="shared" ref="C28:I28" si="17">SUM(C26:C27)</f>
        <v>0</v>
      </c>
      <c r="D28" s="13">
        <f t="shared" si="17"/>
        <v>0</v>
      </c>
      <c r="E28" s="13">
        <f t="shared" si="17"/>
        <v>0</v>
      </c>
      <c r="F28" s="13">
        <f t="shared" si="17"/>
        <v>2</v>
      </c>
      <c r="G28" s="13">
        <f t="shared" si="17"/>
        <v>-3.2948533146405112</v>
      </c>
      <c r="H28" s="13">
        <f t="shared" si="17"/>
        <v>2.4280291824987819</v>
      </c>
      <c r="I28" s="14">
        <f t="shared" si="17"/>
        <v>0</v>
      </c>
      <c r="J28" s="15"/>
      <c r="K28" s="15"/>
    </row>
    <row r="29" spans="2:11" ht="15.6" thickBot="1">
      <c r="B29" s="38"/>
      <c r="C29" s="22"/>
      <c r="D29" s="23">
        <f>$B27*C30</f>
        <v>0</v>
      </c>
      <c r="E29" s="23">
        <f>$B27*D30</f>
        <v>0</v>
      </c>
      <c r="F29" s="23">
        <f>$B27*E30</f>
        <v>0</v>
      </c>
      <c r="G29" s="23">
        <f>$B27*F30</f>
        <v>-3.2948533146405112</v>
      </c>
      <c r="H29" s="23">
        <f>$B27*G30</f>
        <v>10.856058364997564</v>
      </c>
      <c r="I29" s="24"/>
      <c r="J29" s="15"/>
      <c r="K29" s="15"/>
    </row>
    <row r="30" spans="2:11" ht="15.6">
      <c r="C30" s="13">
        <f t="shared" ref="C30:H30" si="18">SUM(C28:C29)</f>
        <v>0</v>
      </c>
      <c r="D30" s="13">
        <f t="shared" si="18"/>
        <v>0</v>
      </c>
      <c r="E30" s="13">
        <f t="shared" si="18"/>
        <v>0</v>
      </c>
      <c r="F30" s="13">
        <f t="shared" si="18"/>
        <v>2</v>
      </c>
      <c r="G30" s="13">
        <f t="shared" si="18"/>
        <v>-6.5897066292810225</v>
      </c>
      <c r="H30" s="8">
        <f t="shared" si="18"/>
        <v>13.284087547496345</v>
      </c>
      <c r="I30" s="15"/>
      <c r="J30" s="15"/>
      <c r="K30" s="15"/>
    </row>
    <row r="32" spans="2:11" ht="15">
      <c r="B32" s="25" t="s">
        <v>15</v>
      </c>
      <c r="C32" s="27">
        <f t="shared" ref="C32:I32" si="19">C26</f>
        <v>0</v>
      </c>
      <c r="D32" s="28">
        <f t="shared" si="19"/>
        <v>0</v>
      </c>
      <c r="E32" s="28">
        <f t="shared" si="19"/>
        <v>0</v>
      </c>
      <c r="F32" s="28">
        <f t="shared" si="19"/>
        <v>2</v>
      </c>
      <c r="G32" s="28">
        <f t="shared" si="19"/>
        <v>0</v>
      </c>
      <c r="H32" s="28">
        <f t="shared" si="19"/>
        <v>-3</v>
      </c>
      <c r="I32" s="28">
        <f t="shared" si="19"/>
        <v>4</v>
      </c>
      <c r="J32" s="15"/>
      <c r="K32" s="15"/>
    </row>
    <row r="33" spans="2:11" ht="15">
      <c r="B33" s="12">
        <f>B27-I28/H30</f>
        <v>-1.6474266573202556</v>
      </c>
      <c r="C33" s="20"/>
      <c r="D33" s="6">
        <f t="shared" ref="D33" si="20">$B33*C34</f>
        <v>0</v>
      </c>
      <c r="E33" s="6">
        <f t="shared" ref="E33" si="21">$B33*D34</f>
        <v>0</v>
      </c>
      <c r="F33" s="6">
        <f t="shared" ref="F33" si="22">$B33*E34</f>
        <v>0</v>
      </c>
      <c r="G33" s="6">
        <f t="shared" ref="G33" si="23">$B33*F34</f>
        <v>-3.2948533146405112</v>
      </c>
      <c r="H33" s="6">
        <f t="shared" ref="H33" si="24">$B33*G34</f>
        <v>5.4280291824987819</v>
      </c>
      <c r="I33" s="6">
        <f t="shared" ref="I33" si="25">$B33*H34</f>
        <v>-4.0000000000000009</v>
      </c>
      <c r="J33" s="5">
        <f>ABS(B33-B27)</f>
        <v>0</v>
      </c>
      <c r="K33" s="6">
        <f xml:space="preserve"> ABS(J33/B33)*100</f>
        <v>0</v>
      </c>
    </row>
    <row r="34" spans="2:11" ht="15.6">
      <c r="B34" s="35"/>
      <c r="C34" s="26">
        <f t="shared" ref="C34:I34" si="26">SUM(C32:C33)</f>
        <v>0</v>
      </c>
      <c r="D34" s="13">
        <f t="shared" si="26"/>
        <v>0</v>
      </c>
      <c r="E34" s="13">
        <f t="shared" si="26"/>
        <v>0</v>
      </c>
      <c r="F34" s="13">
        <f t="shared" si="26"/>
        <v>2</v>
      </c>
      <c r="G34" s="13">
        <f t="shared" si="26"/>
        <v>-3.2948533146405112</v>
      </c>
      <c r="H34" s="13">
        <f t="shared" si="26"/>
        <v>2.4280291824987819</v>
      </c>
      <c r="I34" s="14">
        <f t="shared" si="26"/>
        <v>0</v>
      </c>
      <c r="J34" s="15"/>
      <c r="K34" s="15"/>
    </row>
    <row r="35" spans="2:11" ht="15.6" thickBot="1">
      <c r="B35" s="38"/>
      <c r="C35" s="22"/>
      <c r="D35" s="23">
        <f>$B33*C36</f>
        <v>0</v>
      </c>
      <c r="E35" s="23">
        <f>$B33*D36</f>
        <v>0</v>
      </c>
      <c r="F35" s="23">
        <f>$B33*E36</f>
        <v>0</v>
      </c>
      <c r="G35" s="23">
        <f>$B33*F36</f>
        <v>-3.2948533146405112</v>
      </c>
      <c r="H35" s="23">
        <f>$B33*G36</f>
        <v>10.856058364997564</v>
      </c>
      <c r="I35" s="24"/>
      <c r="J35" s="15"/>
      <c r="K35" s="15"/>
    </row>
    <row r="36" spans="2:11" ht="15.6">
      <c r="C36" s="13">
        <f t="shared" ref="C36:H36" si="27">SUM(C34:C35)</f>
        <v>0</v>
      </c>
      <c r="D36" s="13">
        <f t="shared" si="27"/>
        <v>0</v>
      </c>
      <c r="E36" s="13">
        <f t="shared" si="27"/>
        <v>0</v>
      </c>
      <c r="F36" s="13">
        <f t="shared" si="27"/>
        <v>2</v>
      </c>
      <c r="G36" s="13">
        <f t="shared" si="27"/>
        <v>-6.5897066292810225</v>
      </c>
      <c r="H36" s="8">
        <f t="shared" si="27"/>
        <v>13.284087547496345</v>
      </c>
      <c r="I36" s="15"/>
      <c r="J36" s="15"/>
      <c r="K36" s="15"/>
    </row>
  </sheetData>
  <conditionalFormatting sqref="B9 B15 B21 B27">
    <cfRule type="expression" dxfId="143" priority="3">
      <formula>K9&lt;$K$1</formula>
    </cfRule>
  </conditionalFormatting>
  <conditionalFormatting sqref="B9">
    <cfRule type="expression" dxfId="142" priority="7">
      <formula xml:space="preserve"> J9 &lt; $J$1</formula>
    </cfRule>
  </conditionalFormatting>
  <conditionalFormatting sqref="B15">
    <cfRule type="expression" dxfId="141" priority="6">
      <formula>J15&lt;$J$1</formula>
    </cfRule>
  </conditionalFormatting>
  <conditionalFormatting sqref="B21">
    <cfRule type="expression" dxfId="140" priority="5">
      <formula>J21&lt;$J$1</formula>
    </cfRule>
  </conditionalFormatting>
  <conditionalFormatting sqref="B27">
    <cfRule type="expression" dxfId="139" priority="4">
      <formula>J27&lt;$J$1</formula>
    </cfRule>
  </conditionalFormatting>
  <conditionalFormatting sqref="B33">
    <cfRule type="expression" dxfId="138" priority="1">
      <formula>K33&lt;$K$1</formula>
    </cfRule>
    <cfRule type="expression" dxfId="137" priority="2">
      <formula>J33&lt;$J$1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A4CAE-104C-4EFF-984C-9A4F520E7E05}">
  <dimension ref="A1:P26"/>
  <sheetViews>
    <sheetView workbookViewId="0">
      <selection activeCell="R10" sqref="R10"/>
    </sheetView>
  </sheetViews>
  <sheetFormatPr defaultColWidth="11.42578125" defaultRowHeight="14.45"/>
  <cols>
    <col min="1" max="1" width="7.7109375" bestFit="1" customWidth="1"/>
    <col min="2" max="2" width="10" bestFit="1" customWidth="1"/>
    <col min="3" max="7" width="9.140625" bestFit="1" customWidth="1"/>
    <col min="8" max="8" width="10" bestFit="1" customWidth="1"/>
    <col min="9" max="9" width="9.140625" bestFit="1" customWidth="1"/>
    <col min="10" max="10" width="8.7109375" bestFit="1" customWidth="1"/>
    <col min="11" max="11" width="8.28515625" bestFit="1" customWidth="1"/>
    <col min="12" max="12" width="11.28515625" bestFit="1" customWidth="1"/>
    <col min="13" max="13" width="15.140625" bestFit="1" customWidth="1"/>
    <col min="14" max="14" width="2.5703125" bestFit="1" customWidth="1"/>
    <col min="15" max="15" width="9" bestFit="1" customWidth="1"/>
    <col min="16" max="16" width="1.5703125" bestFit="1" customWidth="1"/>
  </cols>
  <sheetData>
    <row r="1" spans="1:16" ht="15.6">
      <c r="A1" s="46" t="s">
        <v>34</v>
      </c>
      <c r="B1" s="47"/>
      <c r="C1" s="48" t="s">
        <v>1</v>
      </c>
      <c r="D1" s="49" t="s">
        <v>2</v>
      </c>
      <c r="E1" s="49" t="s">
        <v>3</v>
      </c>
      <c r="F1" s="49" t="s">
        <v>4</v>
      </c>
      <c r="G1" s="49" t="s">
        <v>5</v>
      </c>
      <c r="H1" s="49" t="s">
        <v>6</v>
      </c>
      <c r="I1" s="49" t="s">
        <v>7</v>
      </c>
      <c r="J1" s="50" t="s">
        <v>9</v>
      </c>
      <c r="K1" s="51" t="s">
        <v>10</v>
      </c>
      <c r="L1" s="91"/>
      <c r="M1" s="91"/>
      <c r="N1" s="91"/>
      <c r="O1" s="91"/>
      <c r="P1" s="91"/>
    </row>
    <row r="2" spans="1:16" ht="15.6">
      <c r="A2" s="47"/>
      <c r="B2" s="53" t="s">
        <v>18</v>
      </c>
      <c r="C2" s="92">
        <v>0</v>
      </c>
      <c r="D2" s="93">
        <v>0</v>
      </c>
      <c r="E2" s="57">
        <v>0</v>
      </c>
      <c r="F2" s="57">
        <v>0</v>
      </c>
      <c r="G2" s="57">
        <v>2</v>
      </c>
      <c r="H2" s="57">
        <v>-3.2948579380438834</v>
      </c>
      <c r="I2" s="57">
        <v>2.4280444159453953</v>
      </c>
      <c r="J2" s="94"/>
      <c r="K2" s="95">
        <v>0.05</v>
      </c>
      <c r="L2" s="47"/>
      <c r="M2" s="47"/>
      <c r="N2" s="91"/>
      <c r="O2" s="91"/>
      <c r="P2" s="91"/>
    </row>
    <row r="3" spans="1:16" ht="15.6">
      <c r="A3" s="48" t="s">
        <v>19</v>
      </c>
      <c r="B3" s="90">
        <v>1</v>
      </c>
      <c r="C3" s="47"/>
      <c r="D3" s="49">
        <f t="shared" ref="D3:I3" si="0">$B3*C5</f>
        <v>0</v>
      </c>
      <c r="E3" s="96">
        <f t="shared" si="0"/>
        <v>0</v>
      </c>
      <c r="F3" s="96">
        <f t="shared" si="0"/>
        <v>0</v>
      </c>
      <c r="G3" s="96">
        <f t="shared" si="0"/>
        <v>0</v>
      </c>
      <c r="H3" s="96">
        <f t="shared" si="0"/>
        <v>2</v>
      </c>
      <c r="I3" s="96">
        <f t="shared" si="0"/>
        <v>-1.2948579380438834</v>
      </c>
      <c r="J3" s="47"/>
      <c r="K3" s="47"/>
      <c r="L3" s="49" t="s">
        <v>20</v>
      </c>
      <c r="M3" s="64">
        <f>B3^2+4*B4</f>
        <v>1</v>
      </c>
      <c r="N3" s="91"/>
      <c r="O3" s="91"/>
      <c r="P3" s="91"/>
    </row>
    <row r="4" spans="1:16" ht="16.149999999999999" thickBot="1">
      <c r="A4" s="48" t="s">
        <v>21</v>
      </c>
      <c r="B4" s="74">
        <v>0</v>
      </c>
      <c r="C4" s="97"/>
      <c r="D4" s="97"/>
      <c r="E4" s="98">
        <f>$B4*C5</f>
        <v>0</v>
      </c>
      <c r="F4" s="98">
        <f>$B4*D5</f>
        <v>0</v>
      </c>
      <c r="G4" s="98">
        <f>$B4*E5</f>
        <v>0</v>
      </c>
      <c r="H4" s="98">
        <f>$B4*F5</f>
        <v>0</v>
      </c>
      <c r="I4" s="98">
        <f>$B4*G5</f>
        <v>0</v>
      </c>
      <c r="J4" s="47"/>
      <c r="K4" s="47"/>
      <c r="L4" s="49" t="s">
        <v>22</v>
      </c>
      <c r="M4" s="49">
        <f>IF(M3&lt;0,B3/2,(B3+SQRT(M3))/2)</f>
        <v>1</v>
      </c>
      <c r="N4" s="49" t="str">
        <f>IF(M3&lt;0,"+","")</f>
        <v/>
      </c>
      <c r="O4" s="49" t="str">
        <f>IF(M3&lt;0,SQRT(ABS(M3))/2,"")</f>
        <v/>
      </c>
      <c r="P4" s="49" t="str">
        <f>IF(M3&lt;0,"i","")</f>
        <v/>
      </c>
    </row>
    <row r="5" spans="1:16" ht="15.6">
      <c r="A5" s="48" t="s">
        <v>23</v>
      </c>
      <c r="B5" s="67">
        <f>SQRT(SUMSQ(B3:B4))</f>
        <v>1</v>
      </c>
      <c r="C5" s="99">
        <f t="shared" ref="C5:I5" si="1">SUM(C2:C4)</f>
        <v>0</v>
      </c>
      <c r="D5" s="67">
        <f t="shared" si="1"/>
        <v>0</v>
      </c>
      <c r="E5" s="99">
        <f t="shared" si="1"/>
        <v>0</v>
      </c>
      <c r="F5" s="67">
        <f t="shared" si="1"/>
        <v>0</v>
      </c>
      <c r="G5" s="67">
        <f t="shared" si="1"/>
        <v>2</v>
      </c>
      <c r="H5" s="100">
        <f t="shared" si="1"/>
        <v>-1.2948579380438834</v>
      </c>
      <c r="I5" s="100">
        <f t="shared" si="1"/>
        <v>1.1331864779015119</v>
      </c>
      <c r="J5" s="47"/>
      <c r="K5" s="47"/>
      <c r="L5" s="49" t="s">
        <v>24</v>
      </c>
      <c r="M5" s="49">
        <f>IF(M3&lt;0,M4,(B3-SQRT(M3))/2)</f>
        <v>0</v>
      </c>
      <c r="N5" s="104" t="str">
        <f>IF(M3&lt;0,"+","")</f>
        <v/>
      </c>
      <c r="O5" s="49" t="str">
        <f>IF(M3&lt;0,-O4,"")</f>
        <v/>
      </c>
      <c r="P5" s="104" t="s">
        <v>25</v>
      </c>
    </row>
    <row r="6" spans="1:16" ht="15.6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91"/>
      <c r="M6" s="91"/>
      <c r="N6" s="91"/>
      <c r="O6" s="91"/>
      <c r="P6" s="91"/>
    </row>
    <row r="7" spans="1:16" ht="15.6">
      <c r="A7" s="47"/>
      <c r="B7" s="53" t="s">
        <v>26</v>
      </c>
      <c r="C7" s="102">
        <f t="shared" ref="C7:I7" si="2">C2</f>
        <v>0</v>
      </c>
      <c r="D7" s="93">
        <f t="shared" si="2"/>
        <v>0</v>
      </c>
      <c r="E7" s="93">
        <f t="shared" si="2"/>
        <v>0</v>
      </c>
      <c r="F7" s="93">
        <f t="shared" si="2"/>
        <v>0</v>
      </c>
      <c r="G7" s="93">
        <f t="shared" si="2"/>
        <v>2</v>
      </c>
      <c r="H7" s="93">
        <f t="shared" si="2"/>
        <v>-3.2948579380438834</v>
      </c>
      <c r="I7" s="93">
        <f t="shared" si="2"/>
        <v>2.4280444159453953</v>
      </c>
      <c r="J7" s="47"/>
      <c r="K7" s="47"/>
      <c r="L7" s="47"/>
      <c r="M7" s="49" t="s">
        <v>27</v>
      </c>
      <c r="N7" s="91"/>
      <c r="O7" s="91"/>
      <c r="P7" s="91"/>
    </row>
    <row r="8" spans="1:16" ht="15.6">
      <c r="A8" s="48" t="s">
        <v>28</v>
      </c>
      <c r="B8" s="74">
        <f>-(H2+B9*F5)/G5</f>
        <v>1.6474289690219417</v>
      </c>
      <c r="C8" s="47"/>
      <c r="D8" s="49">
        <f t="shared" ref="D8:I8" si="3">$B8*C10</f>
        <v>0</v>
      </c>
      <c r="E8" s="49">
        <f t="shared" si="3"/>
        <v>0</v>
      </c>
      <c r="F8" s="49">
        <f t="shared" si="3"/>
        <v>0</v>
      </c>
      <c r="G8" s="49">
        <f t="shared" si="3"/>
        <v>0</v>
      </c>
      <c r="H8" s="49">
        <f t="shared" si="3"/>
        <v>3.2948579380438834</v>
      </c>
      <c r="I8" s="49">
        <f t="shared" si="3"/>
        <v>0</v>
      </c>
      <c r="J8" s="47"/>
      <c r="K8" s="47"/>
      <c r="L8" s="49" t="s">
        <v>20</v>
      </c>
      <c r="M8" s="64">
        <f>B8^2+4*B9</f>
        <v>-2.142066623918093</v>
      </c>
      <c r="N8" s="91"/>
      <c r="O8" s="91"/>
      <c r="P8" s="91"/>
    </row>
    <row r="9" spans="1:16" ht="16.149999999999999" thickBot="1">
      <c r="A9" s="48" t="s">
        <v>29</v>
      </c>
      <c r="B9" s="75">
        <f>-I2/G5</f>
        <v>-1.2140222079726977</v>
      </c>
      <c r="C9" s="103"/>
      <c r="D9" s="97"/>
      <c r="E9" s="98">
        <f>$B9*C10</f>
        <v>0</v>
      </c>
      <c r="F9" s="98">
        <f>$B9*D10</f>
        <v>0</v>
      </c>
      <c r="G9" s="98">
        <f>$B9*E10</f>
        <v>0</v>
      </c>
      <c r="H9" s="98">
        <f>$B9*F10</f>
        <v>0</v>
      </c>
      <c r="I9" s="98">
        <f>$B9*G10</f>
        <v>-2.4280444159453953</v>
      </c>
      <c r="J9" s="47"/>
      <c r="K9" s="47"/>
      <c r="L9" s="49" t="s">
        <v>22</v>
      </c>
      <c r="M9" s="48">
        <f>IF(M8&lt;0,B8/2,(B8+SQRT(M8))/2)</f>
        <v>0.82371448451097085</v>
      </c>
      <c r="N9" s="49" t="s">
        <v>30</v>
      </c>
      <c r="O9" s="49">
        <f>IF(M8&lt;0,SQRT(ABS(M8))/2,"")</f>
        <v>0.73179003544700116</v>
      </c>
      <c r="P9" s="49" t="str">
        <f>IF(M8&lt;0,"i","")</f>
        <v>i</v>
      </c>
    </row>
    <row r="10" spans="1:16" ht="15.6">
      <c r="A10" s="49" t="s">
        <v>23</v>
      </c>
      <c r="B10" s="67">
        <f>SQRT(SUMSQ(B8:B9))</f>
        <v>2.0464291166379551</v>
      </c>
      <c r="C10" s="67">
        <f t="shared" ref="C10:I10" si="4">SUM(C7:C9)</f>
        <v>0</v>
      </c>
      <c r="D10" s="67">
        <f t="shared" si="4"/>
        <v>0</v>
      </c>
      <c r="E10" s="67">
        <f t="shared" si="4"/>
        <v>0</v>
      </c>
      <c r="F10" s="67">
        <f t="shared" si="4"/>
        <v>0</v>
      </c>
      <c r="G10" s="67">
        <f t="shared" si="4"/>
        <v>2</v>
      </c>
      <c r="H10" s="100">
        <f t="shared" si="4"/>
        <v>0</v>
      </c>
      <c r="I10" s="100">
        <f t="shared" si="4"/>
        <v>0</v>
      </c>
      <c r="J10" s="49">
        <f>ABS(B10-B5)</f>
        <v>1.0464291166379551</v>
      </c>
      <c r="K10" s="48">
        <f>ABS(J10/B10)*100</f>
        <v>51.134393472524295</v>
      </c>
      <c r="L10" s="49" t="s">
        <v>24</v>
      </c>
      <c r="M10" s="48">
        <f>IF(M8&lt;0,M9,(B8-SQRT(M8))/2)</f>
        <v>0.82371448451097085</v>
      </c>
      <c r="N10" s="104" t="s">
        <v>30</v>
      </c>
      <c r="O10" s="49">
        <f>IF(M8&lt;0,-O9,"")</f>
        <v>-0.73179003544700116</v>
      </c>
      <c r="P10" s="104" t="s">
        <v>25</v>
      </c>
    </row>
    <row r="11" spans="1:16" ht="15.6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91"/>
      <c r="M11" s="91"/>
      <c r="N11" s="91"/>
      <c r="O11" s="91"/>
      <c r="P11" s="91"/>
    </row>
    <row r="12" spans="1:16" ht="15.6">
      <c r="A12" s="47"/>
      <c r="B12" s="53" t="s">
        <v>31</v>
      </c>
      <c r="C12" s="92">
        <f t="shared" ref="C12:I12" si="5">C7</f>
        <v>0</v>
      </c>
      <c r="D12" s="75">
        <f t="shared" si="5"/>
        <v>0</v>
      </c>
      <c r="E12" s="93">
        <f t="shared" si="5"/>
        <v>0</v>
      </c>
      <c r="F12" s="93">
        <f t="shared" si="5"/>
        <v>0</v>
      </c>
      <c r="G12" s="93">
        <f t="shared" si="5"/>
        <v>2</v>
      </c>
      <c r="H12" s="93">
        <f t="shared" si="5"/>
        <v>-3.2948579380438834</v>
      </c>
      <c r="I12" s="93">
        <f t="shared" si="5"/>
        <v>2.4280444159453953</v>
      </c>
      <c r="J12" s="47"/>
      <c r="K12" s="47"/>
      <c r="L12" s="91"/>
      <c r="M12" s="91"/>
      <c r="N12" s="91"/>
      <c r="O12" s="91"/>
      <c r="P12" s="91"/>
    </row>
    <row r="13" spans="1:16" ht="15.6">
      <c r="A13" s="48" t="s">
        <v>19</v>
      </c>
      <c r="B13" s="80">
        <f>-(H7+B14*F10)/G10</f>
        <v>1.6474289690219417</v>
      </c>
      <c r="C13" s="47"/>
      <c r="D13" s="48">
        <f t="shared" ref="D13:I13" si="6">$B13*C15</f>
        <v>0</v>
      </c>
      <c r="E13" s="49">
        <f t="shared" si="6"/>
        <v>0</v>
      </c>
      <c r="F13" s="49">
        <f t="shared" si="6"/>
        <v>0</v>
      </c>
      <c r="G13" s="49">
        <f t="shared" si="6"/>
        <v>0</v>
      </c>
      <c r="H13" s="49">
        <f t="shared" si="6"/>
        <v>3.2948579380438834</v>
      </c>
      <c r="I13" s="49">
        <f t="shared" si="6"/>
        <v>0</v>
      </c>
      <c r="J13" s="47"/>
      <c r="K13" s="47"/>
      <c r="L13" s="49" t="s">
        <v>20</v>
      </c>
      <c r="M13" s="64">
        <f>B13^2+4*B14</f>
        <v>-2.142066623918093</v>
      </c>
      <c r="N13" s="91"/>
      <c r="O13" s="91"/>
      <c r="P13" s="91"/>
    </row>
    <row r="14" spans="1:16" ht="16.149999999999999" thickBot="1">
      <c r="A14" s="48" t="s">
        <v>21</v>
      </c>
      <c r="B14" s="75">
        <f>-I7/G10</f>
        <v>-1.2140222079726977</v>
      </c>
      <c r="C14" s="103"/>
      <c r="D14" s="97"/>
      <c r="E14" s="98">
        <f>$B14*C15</f>
        <v>0</v>
      </c>
      <c r="F14" s="98">
        <f>$B14*D15</f>
        <v>0</v>
      </c>
      <c r="G14" s="98">
        <f>$B14*E15</f>
        <v>0</v>
      </c>
      <c r="H14" s="98">
        <f>$B14*F15</f>
        <v>0</v>
      </c>
      <c r="I14" s="98">
        <f>$B14*G15</f>
        <v>-2.4280444159453953</v>
      </c>
      <c r="J14" s="47"/>
      <c r="K14" s="47"/>
      <c r="L14" s="49" t="s">
        <v>22</v>
      </c>
      <c r="M14" s="48">
        <f>IF(M13&lt;0,B13/2,(B13+SQRT(M13))/2)</f>
        <v>0.82371448451097085</v>
      </c>
      <c r="N14" s="49" t="s">
        <v>30</v>
      </c>
      <c r="O14" s="49">
        <f>IF(M13&lt;0,SQRT(ABS(M13))/2,"")</f>
        <v>0.73179003544700116</v>
      </c>
      <c r="P14" s="49" t="str">
        <f>IF(M13&lt;0,"i","")</f>
        <v>i</v>
      </c>
    </row>
    <row r="15" spans="1:16" ht="15.6">
      <c r="A15" s="48" t="s">
        <v>23</v>
      </c>
      <c r="B15" s="67">
        <f>SQRT(SUMSQ(B13:B14))</f>
        <v>2.0464291166379551</v>
      </c>
      <c r="C15" s="67">
        <f t="shared" ref="C15:I15" si="7">SUM(C12:C14)</f>
        <v>0</v>
      </c>
      <c r="D15" s="84">
        <f t="shared" si="7"/>
        <v>0</v>
      </c>
      <c r="E15" s="67">
        <f t="shared" si="7"/>
        <v>0</v>
      </c>
      <c r="F15" s="67">
        <f t="shared" si="7"/>
        <v>0</v>
      </c>
      <c r="G15" s="67">
        <f t="shared" si="7"/>
        <v>2</v>
      </c>
      <c r="H15" s="100">
        <f t="shared" si="7"/>
        <v>0</v>
      </c>
      <c r="I15" s="100">
        <f t="shared" si="7"/>
        <v>0</v>
      </c>
      <c r="J15" s="105">
        <f>ABS(B15-B10)</f>
        <v>0</v>
      </c>
      <c r="K15" s="48">
        <f>ABS(J15/B15)*100</f>
        <v>0</v>
      </c>
      <c r="L15" s="49" t="s">
        <v>24</v>
      </c>
      <c r="M15" s="48">
        <f>IF(M13&lt;0,M14,(B13-SQRT(M13))/2)</f>
        <v>0.82371448451097085</v>
      </c>
      <c r="N15" s="104" t="s">
        <v>30</v>
      </c>
      <c r="O15" s="49">
        <f>IF(M13&lt;0,-O14,"")</f>
        <v>-0.73179003544700116</v>
      </c>
      <c r="P15" s="104" t="s">
        <v>25</v>
      </c>
    </row>
    <row r="16" spans="1:16" ht="15.6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91"/>
      <c r="M16" s="91"/>
      <c r="N16" s="91"/>
      <c r="O16" s="91"/>
      <c r="P16" s="91"/>
    </row>
    <row r="17" spans="1:16" ht="15.6">
      <c r="A17" s="47"/>
      <c r="B17" s="109" t="s">
        <v>32</v>
      </c>
      <c r="C17" s="92">
        <f t="shared" ref="C17:I17" si="8">C12</f>
        <v>0</v>
      </c>
      <c r="D17" s="106">
        <f t="shared" si="8"/>
        <v>0</v>
      </c>
      <c r="E17" s="106">
        <f t="shared" si="8"/>
        <v>0</v>
      </c>
      <c r="F17" s="106">
        <f t="shared" si="8"/>
        <v>0</v>
      </c>
      <c r="G17" s="106">
        <f t="shared" si="8"/>
        <v>2</v>
      </c>
      <c r="H17" s="106">
        <f t="shared" si="8"/>
        <v>-3.2948579380438834</v>
      </c>
      <c r="I17" s="106">
        <f t="shared" si="8"/>
        <v>2.4280444159453953</v>
      </c>
      <c r="J17" s="47"/>
      <c r="K17" s="47"/>
      <c r="L17" s="91"/>
      <c r="M17" s="91"/>
      <c r="N17" s="91"/>
      <c r="O17" s="91"/>
      <c r="P17" s="91"/>
    </row>
    <row r="18" spans="1:16" ht="15.6">
      <c r="A18" s="49" t="s">
        <v>28</v>
      </c>
      <c r="B18" s="93">
        <f>-(H12+B19*F15)/G15</f>
        <v>1.6474289690219417</v>
      </c>
      <c r="C18" s="47"/>
      <c r="D18" s="49">
        <f t="shared" ref="D18:I18" si="9">$B18*C20</f>
        <v>0</v>
      </c>
      <c r="E18" s="96">
        <f t="shared" si="9"/>
        <v>0</v>
      </c>
      <c r="F18" s="96">
        <f t="shared" si="9"/>
        <v>0</v>
      </c>
      <c r="G18" s="96">
        <f t="shared" si="9"/>
        <v>0</v>
      </c>
      <c r="H18" s="96">
        <f t="shared" si="9"/>
        <v>3.2948579380438834</v>
      </c>
      <c r="I18" s="96">
        <f t="shared" si="9"/>
        <v>0</v>
      </c>
      <c r="J18" s="47"/>
      <c r="K18" s="47"/>
      <c r="L18" s="49" t="s">
        <v>20</v>
      </c>
      <c r="M18" s="64">
        <f>B18^2+4*B19</f>
        <v>-2.142066623918093</v>
      </c>
      <c r="N18" s="91"/>
      <c r="O18" s="91"/>
      <c r="P18" s="91"/>
    </row>
    <row r="19" spans="1:16" ht="16.149999999999999" thickBot="1">
      <c r="A19" s="49" t="s">
        <v>29</v>
      </c>
      <c r="B19" s="93">
        <f>-I12/G15</f>
        <v>-1.2140222079726977</v>
      </c>
      <c r="C19" s="97"/>
      <c r="D19" s="97"/>
      <c r="E19" s="98">
        <f>$B19*C20</f>
        <v>0</v>
      </c>
      <c r="F19" s="98">
        <f>$B19*D20</f>
        <v>0</v>
      </c>
      <c r="G19" s="98">
        <f>$B19*E20</f>
        <v>0</v>
      </c>
      <c r="H19" s="98">
        <f>$B19*F20</f>
        <v>0</v>
      </c>
      <c r="I19" s="98">
        <f>$B19*G20</f>
        <v>-2.4280444159453953</v>
      </c>
      <c r="J19" s="47"/>
      <c r="K19" s="47"/>
      <c r="L19" s="49" t="s">
        <v>22</v>
      </c>
      <c r="M19" s="48">
        <f>IF(M18&lt;0,B18/2,(B18+SQRT(M18))/2)</f>
        <v>0.82371448451097085</v>
      </c>
      <c r="N19" s="49" t="s">
        <v>30</v>
      </c>
      <c r="O19" s="49">
        <f>IF(M18&lt;0,SQRT(ABS(M18))/2,"")</f>
        <v>0.73179003544700116</v>
      </c>
      <c r="P19" s="49" t="str">
        <f>IF(M18&lt;0,"i","")</f>
        <v>i</v>
      </c>
    </row>
    <row r="20" spans="1:16" ht="15.6">
      <c r="A20" s="49" t="s">
        <v>23</v>
      </c>
      <c r="B20" s="49">
        <f>SQRT(SUMSQ(B18:B19))</f>
        <v>2.0464291166379551</v>
      </c>
      <c r="C20" s="99">
        <f t="shared" ref="C20:I20" si="10">SUM(C17:C19)</f>
        <v>0</v>
      </c>
      <c r="D20" s="67">
        <f t="shared" si="10"/>
        <v>0</v>
      </c>
      <c r="E20" s="99">
        <f t="shared" si="10"/>
        <v>0</v>
      </c>
      <c r="F20" s="67">
        <f t="shared" si="10"/>
        <v>0</v>
      </c>
      <c r="G20" s="67">
        <f t="shared" si="10"/>
        <v>2</v>
      </c>
      <c r="H20" s="100">
        <f t="shared" si="10"/>
        <v>0</v>
      </c>
      <c r="I20" s="107">
        <f t="shared" si="10"/>
        <v>0</v>
      </c>
      <c r="J20" s="49">
        <f>ABS(B20-B15)</f>
        <v>0</v>
      </c>
      <c r="K20" s="49">
        <f>ABS(J20/B20)*100</f>
        <v>0</v>
      </c>
      <c r="L20" s="105" t="s">
        <v>24</v>
      </c>
      <c r="M20" s="48">
        <f>IF(M18&lt;0,M19,(B18-SQRT(M18))/2)</f>
        <v>0.82371448451097085</v>
      </c>
      <c r="N20" s="104" t="s">
        <v>30</v>
      </c>
      <c r="O20" s="49">
        <f>IF(M18&lt;0,-O19,"")</f>
        <v>-0.73179003544700116</v>
      </c>
      <c r="P20" s="104" t="s">
        <v>25</v>
      </c>
    </row>
    <row r="21" spans="1:16" ht="15.6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91"/>
      <c r="M21" s="91"/>
      <c r="N21" s="91"/>
      <c r="O21" s="91"/>
      <c r="P21" s="91"/>
    </row>
    <row r="22" spans="1:16" ht="15.6">
      <c r="A22" s="47"/>
      <c r="B22" s="109" t="s">
        <v>33</v>
      </c>
      <c r="C22" s="92">
        <f t="shared" ref="C22:I22" si="11">C17</f>
        <v>0</v>
      </c>
      <c r="D22" s="106">
        <f t="shared" si="11"/>
        <v>0</v>
      </c>
      <c r="E22" s="106">
        <f t="shared" si="11"/>
        <v>0</v>
      </c>
      <c r="F22" s="106">
        <f t="shared" si="11"/>
        <v>0</v>
      </c>
      <c r="G22" s="106">
        <f t="shared" si="11"/>
        <v>2</v>
      </c>
      <c r="H22" s="106">
        <f t="shared" si="11"/>
        <v>-3.2948579380438834</v>
      </c>
      <c r="I22" s="106">
        <f t="shared" si="11"/>
        <v>2.4280444159453953</v>
      </c>
      <c r="J22" s="47"/>
      <c r="K22" s="47"/>
      <c r="L22" s="91"/>
      <c r="M22" s="91"/>
      <c r="N22" s="91"/>
      <c r="O22" s="91"/>
      <c r="P22" s="91"/>
    </row>
    <row r="23" spans="1:16" ht="15.6">
      <c r="A23" s="49" t="s">
        <v>28</v>
      </c>
      <c r="B23" s="93">
        <f>-(H17+B24*F20)/G20</f>
        <v>1.6474289690219417</v>
      </c>
      <c r="C23" s="47"/>
      <c r="D23" s="49">
        <f t="shared" ref="D23:I23" si="12">$B23*C25</f>
        <v>0</v>
      </c>
      <c r="E23" s="96">
        <f t="shared" si="12"/>
        <v>0</v>
      </c>
      <c r="F23" s="96">
        <f t="shared" si="12"/>
        <v>0</v>
      </c>
      <c r="G23" s="96">
        <f t="shared" si="12"/>
        <v>0</v>
      </c>
      <c r="H23" s="96">
        <f t="shared" si="12"/>
        <v>3.2948579380438834</v>
      </c>
      <c r="I23" s="96">
        <f t="shared" si="12"/>
        <v>0</v>
      </c>
      <c r="J23" s="47"/>
      <c r="K23" s="47"/>
      <c r="L23" s="48" t="s">
        <v>20</v>
      </c>
      <c r="M23" s="64">
        <f>B23^2+4*B24</f>
        <v>-2.142066623918093</v>
      </c>
      <c r="N23" s="91"/>
      <c r="O23" s="91"/>
      <c r="P23" s="91"/>
    </row>
    <row r="24" spans="1:16" ht="16.149999999999999" thickBot="1">
      <c r="A24" s="49" t="s">
        <v>29</v>
      </c>
      <c r="B24" s="93">
        <f>-I17/G20</f>
        <v>-1.2140222079726977</v>
      </c>
      <c r="C24" s="97"/>
      <c r="D24" s="97"/>
      <c r="E24" s="98">
        <f>$B24*C25</f>
        <v>0</v>
      </c>
      <c r="F24" s="98">
        <f>$B24*D25</f>
        <v>0</v>
      </c>
      <c r="G24" s="98">
        <f>$B24*E25</f>
        <v>0</v>
      </c>
      <c r="H24" s="98">
        <f>$B24*F25</f>
        <v>0</v>
      </c>
      <c r="I24" s="98">
        <f>$B24*G25</f>
        <v>-2.4280444159453953</v>
      </c>
      <c r="J24" s="47"/>
      <c r="K24" s="47"/>
      <c r="L24" s="49" t="s">
        <v>22</v>
      </c>
      <c r="M24" s="84">
        <f>IF(M23&lt;0,B23/2,(B23+SQRT(M23))/2)</f>
        <v>0.82371448451097085</v>
      </c>
      <c r="N24" s="49" t="s">
        <v>30</v>
      </c>
      <c r="O24" s="49">
        <f>IF(M23&lt;0,SQRT(ABS(M23))/2,"")</f>
        <v>0.73179003544700116</v>
      </c>
      <c r="P24" s="49" t="str">
        <f>IF(M23&lt;0,"i","")</f>
        <v>i</v>
      </c>
    </row>
    <row r="25" spans="1:16" ht="15.6">
      <c r="A25" s="49" t="s">
        <v>23</v>
      </c>
      <c r="B25" s="49">
        <f>SQRT(SUMSQ(B23:B24))</f>
        <v>2.0464291166379551</v>
      </c>
      <c r="C25" s="99">
        <f t="shared" ref="C25:I25" si="13">SUM(C22:C24)</f>
        <v>0</v>
      </c>
      <c r="D25" s="67">
        <f t="shared" si="13"/>
        <v>0</v>
      </c>
      <c r="E25" s="67">
        <f t="shared" si="13"/>
        <v>0</v>
      </c>
      <c r="F25" s="67">
        <f t="shared" si="13"/>
        <v>0</v>
      </c>
      <c r="G25" s="67">
        <f t="shared" si="13"/>
        <v>2</v>
      </c>
      <c r="H25" s="100">
        <f t="shared" si="13"/>
        <v>0</v>
      </c>
      <c r="I25" s="100">
        <f t="shared" si="13"/>
        <v>0</v>
      </c>
      <c r="J25" s="49">
        <f>ABS(B25-B20)</f>
        <v>0</v>
      </c>
      <c r="K25" s="49">
        <f>ABS(J25/B25)*100</f>
        <v>0</v>
      </c>
      <c r="L25" s="105" t="s">
        <v>24</v>
      </c>
      <c r="M25" s="49">
        <f>IF(M23&lt;0,M24,(B23-SQRT(M23))/2)</f>
        <v>0.82371448451097085</v>
      </c>
      <c r="N25" s="108" t="s">
        <v>30</v>
      </c>
      <c r="O25" s="67">
        <f>IF(M23&lt;0,-O24,"")</f>
        <v>-0.73179003544700116</v>
      </c>
      <c r="P25" s="108" t="s">
        <v>25</v>
      </c>
    </row>
    <row r="26" spans="1:16">
      <c r="A26" s="110"/>
      <c r="B26" s="110"/>
    </row>
  </sheetData>
  <conditionalFormatting sqref="B10">
    <cfRule type="expression" dxfId="136" priority="1">
      <formula>K10&lt;$K$2</formula>
    </cfRule>
  </conditionalFormatting>
  <conditionalFormatting sqref="B15">
    <cfRule type="expression" dxfId="135" priority="6">
      <formula>K15&lt;$K$2</formula>
    </cfRule>
    <cfRule type="expression" dxfId="134" priority="7">
      <formula>J15&lt;$J$2</formula>
    </cfRule>
  </conditionalFormatting>
  <conditionalFormatting sqref="B20">
    <cfRule type="expression" dxfId="133" priority="4">
      <formula>K20&lt;$K$2</formula>
    </cfRule>
    <cfRule type="expression" dxfId="132" priority="5">
      <formula>J20&lt;$J$2</formula>
    </cfRule>
  </conditionalFormatting>
  <conditionalFormatting sqref="B25">
    <cfRule type="expression" dxfId="131" priority="2">
      <formula>K25&lt;$K$2</formula>
    </cfRule>
    <cfRule type="expression" dxfId="130" priority="3">
      <formula>J25&lt;$J$2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41E3-C6FD-4B9F-8DDB-5FFE647E1F16}">
  <dimension ref="A1:K30"/>
  <sheetViews>
    <sheetView topLeftCell="A11" zoomScale="102" zoomScaleNormal="102" workbookViewId="0">
      <selection activeCell="M14" sqref="M14"/>
    </sheetView>
  </sheetViews>
  <sheetFormatPr defaultColWidth="11.42578125" defaultRowHeight="14.45"/>
  <cols>
    <col min="1" max="1" width="19.140625" bestFit="1" customWidth="1"/>
    <col min="2" max="2" width="9.140625" bestFit="1" customWidth="1"/>
    <col min="3" max="3" width="7.7109375" bestFit="1" customWidth="1"/>
    <col min="4" max="4" width="8.5703125" bestFit="1" customWidth="1"/>
    <col min="5" max="6" width="9.7109375" bestFit="1" customWidth="1"/>
    <col min="7" max="7" width="10.28515625" bestFit="1" customWidth="1"/>
    <col min="8" max="8" width="12.28515625" bestFit="1" customWidth="1"/>
    <col min="9" max="9" width="11.42578125" bestFit="1" customWidth="1"/>
    <col min="10" max="10" width="7.7109375" bestFit="1" customWidth="1"/>
    <col min="11" max="11" width="9" bestFit="1" customWidth="1"/>
    <col min="13" max="13" width="19.140625" bestFit="1" customWidth="1"/>
    <col min="14" max="14" width="11" bestFit="1" customWidth="1"/>
    <col min="15" max="15" width="7.7109375" bestFit="1" customWidth="1"/>
    <col min="16" max="17" width="8.5703125" bestFit="1" customWidth="1"/>
    <col min="18" max="18" width="9.7109375" bestFit="1" customWidth="1"/>
    <col min="19" max="19" width="10.28515625" bestFit="1" customWidth="1"/>
    <col min="20" max="20" width="12.28515625" bestFit="1" customWidth="1"/>
    <col min="21" max="21" width="11.42578125" bestFit="1" customWidth="1"/>
    <col min="22" max="22" width="7.7109375" bestFit="1" customWidth="1"/>
  </cols>
  <sheetData>
    <row r="1" spans="1:11" ht="15.6">
      <c r="A1" s="16" t="s">
        <v>0</v>
      </c>
      <c r="B1" s="29"/>
      <c r="C1" s="30" t="s">
        <v>1</v>
      </c>
      <c r="D1" s="30" t="s">
        <v>2</v>
      </c>
      <c r="E1" s="30" t="s">
        <v>3</v>
      </c>
      <c r="F1" s="30" t="s">
        <v>4</v>
      </c>
      <c r="G1" s="30" t="s">
        <v>5</v>
      </c>
      <c r="H1" s="30" t="s">
        <v>6</v>
      </c>
      <c r="I1" s="30" t="s">
        <v>7</v>
      </c>
      <c r="J1" s="32"/>
      <c r="K1" s="33">
        <v>0.05</v>
      </c>
    </row>
    <row r="2" spans="1:11" ht="15.6">
      <c r="A2" s="17"/>
      <c r="B2" s="25" t="s">
        <v>8</v>
      </c>
      <c r="C2" s="36">
        <v>0</v>
      </c>
      <c r="D2" s="31">
        <v>1</v>
      </c>
      <c r="E2" s="31">
        <v>-9</v>
      </c>
      <c r="F2" s="31">
        <v>25</v>
      </c>
      <c r="G2" s="31">
        <v>-5</v>
      </c>
      <c r="H2" s="31">
        <v>-26</v>
      </c>
      <c r="I2" s="31">
        <v>24</v>
      </c>
      <c r="J2" s="18" t="s">
        <v>9</v>
      </c>
      <c r="K2" s="19" t="s">
        <v>10</v>
      </c>
    </row>
    <row r="3" spans="1:11" ht="15.6">
      <c r="A3" s="17"/>
      <c r="B3" s="37">
        <v>-1.1000000000000001</v>
      </c>
      <c r="C3" s="34"/>
      <c r="D3" s="2">
        <f t="shared" ref="D3:I3" si="0">$B3*C4</f>
        <v>0</v>
      </c>
      <c r="E3" s="2">
        <f t="shared" si="0"/>
        <v>-1.1000000000000001</v>
      </c>
      <c r="F3" s="2">
        <f t="shared" si="0"/>
        <v>11.110000000000001</v>
      </c>
      <c r="G3" s="2">
        <f t="shared" si="0"/>
        <v>-39.721000000000004</v>
      </c>
      <c r="H3" s="2">
        <f t="shared" si="0"/>
        <v>49.193100000000008</v>
      </c>
      <c r="I3" s="2">
        <f t="shared" si="0"/>
        <v>-25.51241000000001</v>
      </c>
      <c r="J3" s="5"/>
      <c r="K3" s="6"/>
    </row>
    <row r="4" spans="1:11" ht="15.6">
      <c r="B4" s="4"/>
      <c r="C4" s="20">
        <f>SUM(C2:C3)</f>
        <v>0</v>
      </c>
      <c r="D4" s="5">
        <f t="shared" ref="D4:I4" si="1">SUM(D2:D3)</f>
        <v>1</v>
      </c>
      <c r="E4" s="6">
        <f t="shared" si="1"/>
        <v>-10.1</v>
      </c>
      <c r="F4" s="6">
        <f t="shared" si="1"/>
        <v>36.11</v>
      </c>
      <c r="G4" s="6">
        <f t="shared" si="1"/>
        <v>-44.721000000000004</v>
      </c>
      <c r="H4" s="6">
        <f t="shared" si="1"/>
        <v>23.193100000000008</v>
      </c>
      <c r="I4" s="7">
        <f t="shared" si="1"/>
        <v>-1.5124100000000098</v>
      </c>
      <c r="J4" s="5"/>
      <c r="K4" s="6"/>
    </row>
    <row r="5" spans="1:11" ht="15.6" thickBot="1">
      <c r="C5" s="21"/>
      <c r="D5" s="22">
        <f>$B3*C6</f>
        <v>0</v>
      </c>
      <c r="E5" s="23">
        <f>$B3*D6</f>
        <v>-1.1000000000000001</v>
      </c>
      <c r="F5" s="23">
        <f>$B3*E6</f>
        <v>12.32</v>
      </c>
      <c r="G5" s="23">
        <f>$B3*F6</f>
        <v>-53.273000000000003</v>
      </c>
      <c r="H5" s="24">
        <f>$B3*G6</f>
        <v>107.79340000000001</v>
      </c>
      <c r="I5" s="1"/>
      <c r="J5" s="6"/>
      <c r="K5" s="6"/>
    </row>
    <row r="6" spans="1:11" ht="15.6">
      <c r="C6" s="13">
        <f>SUM(C4:C5)</f>
        <v>0</v>
      </c>
      <c r="D6" s="13">
        <f t="shared" ref="D6:H6" si="2">SUM(D4:D5)</f>
        <v>1</v>
      </c>
      <c r="E6" s="13">
        <f t="shared" si="2"/>
        <v>-11.2</v>
      </c>
      <c r="F6" s="13">
        <f t="shared" si="2"/>
        <v>48.43</v>
      </c>
      <c r="G6" s="13">
        <f t="shared" si="2"/>
        <v>-97.994</v>
      </c>
      <c r="H6" s="8">
        <f t="shared" si="2"/>
        <v>130.98650000000001</v>
      </c>
      <c r="I6" s="9"/>
      <c r="J6" s="6"/>
      <c r="K6" s="5"/>
    </row>
    <row r="7" spans="1:11" ht="15">
      <c r="C7" s="9"/>
      <c r="D7" s="9"/>
      <c r="E7" s="9"/>
      <c r="F7" s="9"/>
      <c r="G7" s="9"/>
      <c r="H7" s="9"/>
      <c r="I7" s="9"/>
      <c r="J7" s="6"/>
      <c r="K7" s="5"/>
    </row>
    <row r="8" spans="1:11" ht="15">
      <c r="B8" s="25" t="s">
        <v>11</v>
      </c>
      <c r="C8" s="10">
        <f t="shared" ref="C8:I8" si="3">C2</f>
        <v>0</v>
      </c>
      <c r="D8" s="11">
        <f t="shared" si="3"/>
        <v>1</v>
      </c>
      <c r="E8" s="11">
        <f t="shared" si="3"/>
        <v>-9</v>
      </c>
      <c r="F8" s="11">
        <f t="shared" si="3"/>
        <v>25</v>
      </c>
      <c r="G8" s="11">
        <f t="shared" si="3"/>
        <v>-5</v>
      </c>
      <c r="H8" s="11">
        <f t="shared" si="3"/>
        <v>-26</v>
      </c>
      <c r="I8" s="12">
        <f t="shared" si="3"/>
        <v>24</v>
      </c>
      <c r="J8" s="6"/>
      <c r="K8" s="5"/>
    </row>
    <row r="9" spans="1:11" ht="15">
      <c r="B9" s="12">
        <f>B3-I4/H6</f>
        <v>-1.0884536956098529</v>
      </c>
      <c r="C9" s="40"/>
      <c r="D9" s="6">
        <f t="shared" ref="D9:I9" si="4">$B9*C10</f>
        <v>0</v>
      </c>
      <c r="E9" s="6">
        <f>$B9*D10</f>
        <v>-1.0884536956098529</v>
      </c>
      <c r="F9" s="6">
        <f t="shared" si="4"/>
        <v>10.980814707975423</v>
      </c>
      <c r="G9" s="6">
        <f t="shared" si="4"/>
        <v>-39.163450739949205</v>
      </c>
      <c r="H9" s="6">
        <f t="shared" si="4"/>
        <v>48.069871168781404</v>
      </c>
      <c r="I9" s="6">
        <f t="shared" si="4"/>
        <v>-24.022032835293462</v>
      </c>
      <c r="J9" s="26">
        <f>ABS(B9-B3)</f>
        <v>1.1546304390147144E-2</v>
      </c>
      <c r="K9" s="6">
        <f xml:space="preserve"> ABS(J9/B9)*100</f>
        <v>1.0607988595856466</v>
      </c>
    </row>
    <row r="10" spans="1:11" ht="15.6">
      <c r="B10" s="35"/>
      <c r="C10" s="26">
        <f t="shared" ref="C10:I10" si="5">SUM(C8:C9)</f>
        <v>0</v>
      </c>
      <c r="D10" s="13">
        <f t="shared" si="5"/>
        <v>1</v>
      </c>
      <c r="E10" s="13">
        <f t="shared" si="5"/>
        <v>-10.088453695609854</v>
      </c>
      <c r="F10" s="13">
        <f>SUM(F8:F9)</f>
        <v>35.980814707975426</v>
      </c>
      <c r="G10" s="13">
        <f t="shared" si="5"/>
        <v>-44.163450739949205</v>
      </c>
      <c r="H10" s="13">
        <f t="shared" si="5"/>
        <v>22.069871168781404</v>
      </c>
      <c r="I10" s="14">
        <f t="shared" si="5"/>
        <v>-2.2032835293462227E-2</v>
      </c>
    </row>
    <row r="11" spans="1:11" ht="15.6" thickBot="1">
      <c r="B11" s="38"/>
      <c r="C11" s="42"/>
      <c r="D11" s="23">
        <f>$B9*C12</f>
        <v>0</v>
      </c>
      <c r="E11" s="23">
        <f>$B9*D12</f>
        <v>-1.0884536956098529</v>
      </c>
      <c r="F11" s="23">
        <f>$B9*E12</f>
        <v>12.16554615546217</v>
      </c>
      <c r="G11" s="23">
        <f>$B9*F12</f>
        <v>-52.405084411974237</v>
      </c>
      <c r="H11" s="23">
        <f>$B9*G12</f>
        <v>105.11037896574106</v>
      </c>
      <c r="I11" s="39"/>
    </row>
    <row r="12" spans="1:11" ht="15.6">
      <c r="C12" s="13">
        <f t="shared" ref="C12:H12" si="6">SUM(C10:C11)</f>
        <v>0</v>
      </c>
      <c r="D12" s="13">
        <f t="shared" si="6"/>
        <v>1</v>
      </c>
      <c r="E12" s="13">
        <f t="shared" si="6"/>
        <v>-11.176907391219707</v>
      </c>
      <c r="F12" s="13">
        <f t="shared" si="6"/>
        <v>48.146360863437593</v>
      </c>
      <c r="G12" s="13">
        <f t="shared" si="6"/>
        <v>-96.568535151923442</v>
      </c>
      <c r="H12" s="8">
        <f t="shared" si="6"/>
        <v>127.18025013452247</v>
      </c>
    </row>
    <row r="14" spans="1:11" ht="15">
      <c r="B14" s="25" t="s">
        <v>12</v>
      </c>
      <c r="C14" s="27">
        <f t="shared" ref="C14:I14" si="7">C8</f>
        <v>0</v>
      </c>
      <c r="D14" s="28">
        <f t="shared" si="7"/>
        <v>1</v>
      </c>
      <c r="E14" s="28">
        <f t="shared" si="7"/>
        <v>-9</v>
      </c>
      <c r="F14" s="28">
        <f t="shared" si="7"/>
        <v>25</v>
      </c>
      <c r="G14" s="28">
        <f t="shared" si="7"/>
        <v>-5</v>
      </c>
      <c r="H14" s="28">
        <f t="shared" si="7"/>
        <v>-26</v>
      </c>
      <c r="I14" s="28">
        <f t="shared" si="7"/>
        <v>24</v>
      </c>
    </row>
    <row r="15" spans="1:11" ht="15">
      <c r="B15" s="41">
        <f>B9-I10/H12</f>
        <v>-1.0882804545974303</v>
      </c>
      <c r="C15" s="5"/>
      <c r="D15" s="6">
        <f t="shared" ref="D15:I15" si="8">$B15*C16</f>
        <v>0</v>
      </c>
      <c r="E15" s="6">
        <f t="shared" si="8"/>
        <v>-1.0882804545974303</v>
      </c>
      <c r="F15" s="6">
        <f t="shared" si="8"/>
        <v>10.978878439235663</v>
      </c>
      <c r="G15" s="6">
        <f t="shared" si="8"/>
        <v>-39.155110183757074</v>
      </c>
      <c r="H15" s="6">
        <f t="shared" si="8"/>
        <v>48.053143383578771</v>
      </c>
      <c r="I15" s="6">
        <f t="shared" si="8"/>
        <v>-24.000004906783417</v>
      </c>
      <c r="J15" s="5">
        <f>ABS(B15-B9)</f>
        <v>1.7324101242266465E-4</v>
      </c>
      <c r="K15" s="6">
        <f xml:space="preserve"> ABS(J15/B15)*100</f>
        <v>1.5918783774054718E-2</v>
      </c>
    </row>
    <row r="16" spans="1:11" ht="15.6">
      <c r="B16" s="35"/>
      <c r="C16" s="26">
        <f t="shared" ref="C16:I16" si="9">SUM(C14:C15)</f>
        <v>0</v>
      </c>
      <c r="D16" s="13">
        <f t="shared" si="9"/>
        <v>1</v>
      </c>
      <c r="E16" s="13">
        <f t="shared" si="9"/>
        <v>-10.088280454597431</v>
      </c>
      <c r="F16" s="13">
        <f t="shared" si="9"/>
        <v>35.978878439235665</v>
      </c>
      <c r="G16" s="13">
        <f t="shared" si="9"/>
        <v>-44.155110183757074</v>
      </c>
      <c r="H16" s="13">
        <f t="shared" si="9"/>
        <v>22.053143383578771</v>
      </c>
      <c r="I16" s="14">
        <f t="shared" si="9"/>
        <v>-4.9067834169136404E-6</v>
      </c>
    </row>
    <row r="17" spans="2:11" ht="15.6" thickBot="1">
      <c r="B17" s="38"/>
      <c r="C17" s="22"/>
      <c r="D17" s="23">
        <f>$B15*C18</f>
        <v>0</v>
      </c>
      <c r="E17" s="23">
        <f>$B15*D18</f>
        <v>-1.0882804545974303</v>
      </c>
      <c r="F17" s="23">
        <f>$B15*E18</f>
        <v>12.163232787094453</v>
      </c>
      <c r="G17" s="23">
        <f>$B15*F18</f>
        <v>-52.392118690670593</v>
      </c>
      <c r="H17" s="23">
        <f>$B15*G18</f>
        <v>105.0704621295843</v>
      </c>
      <c r="I17" s="24"/>
    </row>
    <row r="18" spans="2:11" ht="15.6">
      <c r="C18" s="13">
        <f t="shared" ref="C18:H18" si="10">SUM(C16:C17)</f>
        <v>0</v>
      </c>
      <c r="D18" s="13">
        <f t="shared" si="10"/>
        <v>1</v>
      </c>
      <c r="E18" s="13">
        <f t="shared" si="10"/>
        <v>-11.176560909194862</v>
      </c>
      <c r="F18" s="13">
        <f t="shared" si="10"/>
        <v>48.142111226330115</v>
      </c>
      <c r="G18" s="13">
        <f t="shared" si="10"/>
        <v>-96.547228874427674</v>
      </c>
      <c r="H18" s="8">
        <f t="shared" si="10"/>
        <v>127.12360551316307</v>
      </c>
      <c r="I18" s="15"/>
    </row>
    <row r="20" spans="2:11" ht="15">
      <c r="B20" s="25" t="s">
        <v>13</v>
      </c>
      <c r="C20" s="27">
        <f t="shared" ref="C20:I20" si="11">C14</f>
        <v>0</v>
      </c>
      <c r="D20" s="28">
        <f t="shared" si="11"/>
        <v>1</v>
      </c>
      <c r="E20" s="28">
        <f t="shared" si="11"/>
        <v>-9</v>
      </c>
      <c r="F20" s="28">
        <f t="shared" si="11"/>
        <v>25</v>
      </c>
      <c r="G20" s="28">
        <f t="shared" si="11"/>
        <v>-5</v>
      </c>
      <c r="H20" s="28">
        <f t="shared" si="11"/>
        <v>-26</v>
      </c>
      <c r="I20" s="28">
        <f t="shared" si="11"/>
        <v>24</v>
      </c>
      <c r="J20" s="15"/>
      <c r="K20" s="15"/>
    </row>
    <row r="21" spans="2:11" ht="15">
      <c r="B21" s="12">
        <f>B15-I16/H18</f>
        <v>-1.0882804159989072</v>
      </c>
      <c r="C21" s="20"/>
      <c r="D21" s="6">
        <f t="shared" ref="D21:I21" si="12">$B21*C22</f>
        <v>0</v>
      </c>
      <c r="E21" s="6">
        <f t="shared" si="12"/>
        <v>-1.0882804159989072</v>
      </c>
      <c r="F21" s="6">
        <f t="shared" si="12"/>
        <v>10.97887800783692</v>
      </c>
      <c r="G21" s="6">
        <f t="shared" si="12"/>
        <v>-39.155108325542699</v>
      </c>
      <c r="H21" s="6">
        <f t="shared" si="12"/>
        <v>48.053139656998418</v>
      </c>
      <c r="I21" s="6">
        <f t="shared" si="12"/>
        <v>-24.000000000000238</v>
      </c>
      <c r="J21" s="5">
        <f>ABS(B21-B15)</f>
        <v>3.859852304444189E-8</v>
      </c>
      <c r="K21" s="6">
        <f xml:space="preserve"> ABS(J21/B21)*100</f>
        <v>3.5467442468872518E-6</v>
      </c>
    </row>
    <row r="22" spans="2:11" ht="15.6">
      <c r="B22" s="35"/>
      <c r="C22" s="26">
        <f t="shared" ref="C22:I22" si="13">SUM(C20:C21)</f>
        <v>0</v>
      </c>
      <c r="D22" s="13">
        <f t="shared" si="13"/>
        <v>1</v>
      </c>
      <c r="E22" s="13">
        <f t="shared" si="13"/>
        <v>-10.088280415998907</v>
      </c>
      <c r="F22" s="13">
        <f t="shared" si="13"/>
        <v>35.978878007836919</v>
      </c>
      <c r="G22" s="13">
        <f t="shared" si="13"/>
        <v>-44.155108325542699</v>
      </c>
      <c r="H22" s="13">
        <f t="shared" si="13"/>
        <v>22.053139656998418</v>
      </c>
      <c r="I22" s="14">
        <f t="shared" si="13"/>
        <v>-2.3803181647963356E-13</v>
      </c>
      <c r="J22" s="15"/>
      <c r="K22" s="15"/>
    </row>
    <row r="23" spans="2:11" ht="15.6" thickBot="1">
      <c r="B23" s="38"/>
      <c r="C23" s="22"/>
      <c r="D23" s="23">
        <f>$B21*C24</f>
        <v>0</v>
      </c>
      <c r="E23" s="23">
        <f>$B21*D24</f>
        <v>-1.0882804159989072</v>
      </c>
      <c r="F23" s="23">
        <f>$B21*E24</f>
        <v>12.163232271683675</v>
      </c>
      <c r="G23" s="23">
        <f>$B21*F24</f>
        <v>-52.392115802061937</v>
      </c>
      <c r="H23" s="23">
        <f>$B21*G24</f>
        <v>105.07045323712931</v>
      </c>
      <c r="I23" s="24"/>
      <c r="J23" s="15"/>
      <c r="K23" s="15"/>
    </row>
    <row r="24" spans="2:11" ht="15.6">
      <c r="C24" s="13">
        <f t="shared" ref="C24:H24" si="14">SUM(C22:C23)</f>
        <v>0</v>
      </c>
      <c r="D24" s="13">
        <f t="shared" si="14"/>
        <v>1</v>
      </c>
      <c r="E24" s="13">
        <f t="shared" si="14"/>
        <v>-11.176560831997815</v>
      </c>
      <c r="F24" s="13">
        <f t="shared" si="14"/>
        <v>48.142110279520594</v>
      </c>
      <c r="G24" s="13">
        <f t="shared" si="14"/>
        <v>-96.547224127604636</v>
      </c>
      <c r="H24" s="8">
        <f t="shared" si="14"/>
        <v>127.12359289412774</v>
      </c>
      <c r="I24" s="15"/>
      <c r="J24" s="15"/>
      <c r="K24" s="15"/>
    </row>
    <row r="26" spans="2:11" ht="15">
      <c r="B26" s="25" t="s">
        <v>14</v>
      </c>
      <c r="C26" s="27">
        <f t="shared" ref="C26:I26" si="15">C20</f>
        <v>0</v>
      </c>
      <c r="D26" s="28">
        <f t="shared" si="15"/>
        <v>1</v>
      </c>
      <c r="E26" s="28">
        <f t="shared" si="15"/>
        <v>-9</v>
      </c>
      <c r="F26" s="28">
        <f t="shared" si="15"/>
        <v>25</v>
      </c>
      <c r="G26" s="28">
        <f t="shared" si="15"/>
        <v>-5</v>
      </c>
      <c r="H26" s="28">
        <f t="shared" si="15"/>
        <v>-26</v>
      </c>
      <c r="I26" s="28">
        <f t="shared" si="15"/>
        <v>24</v>
      </c>
      <c r="J26" s="15"/>
      <c r="K26" s="15"/>
    </row>
    <row r="27" spans="2:11" ht="15">
      <c r="B27" s="12">
        <f>B21-I22/H24</f>
        <v>-1.0882804159989055</v>
      </c>
      <c r="C27" s="20"/>
      <c r="D27" s="6">
        <f t="shared" ref="D27:I27" si="16">$B27*C28</f>
        <v>0</v>
      </c>
      <c r="E27" s="6">
        <f t="shared" si="16"/>
        <v>-1.0882804159989055</v>
      </c>
      <c r="F27" s="6">
        <f t="shared" si="16"/>
        <v>10.978878007836901</v>
      </c>
      <c r="G27" s="6">
        <f t="shared" si="16"/>
        <v>-39.155108325542606</v>
      </c>
      <c r="H27" s="6">
        <f t="shared" si="16"/>
        <v>48.053139656998241</v>
      </c>
      <c r="I27" s="6">
        <f t="shared" si="16"/>
        <v>-24.000000000000004</v>
      </c>
      <c r="J27" s="5">
        <f>ABS(B27-B21)</f>
        <v>1.7763568394002505E-15</v>
      </c>
      <c r="K27" s="6">
        <f xml:space="preserve"> ABS(J27/B27)*100</f>
        <v>1.6322602274982378E-13</v>
      </c>
    </row>
    <row r="28" spans="2:11" ht="15.6">
      <c r="B28" s="35"/>
      <c r="C28" s="26">
        <f t="shared" ref="C28:I28" si="17">SUM(C26:C27)</f>
        <v>0</v>
      </c>
      <c r="D28" s="13">
        <f t="shared" si="17"/>
        <v>1</v>
      </c>
      <c r="E28" s="13">
        <f t="shared" si="17"/>
        <v>-10.088280415998906</v>
      </c>
      <c r="F28" s="13">
        <f t="shared" si="17"/>
        <v>35.978878007836897</v>
      </c>
      <c r="G28" s="13">
        <f t="shared" si="17"/>
        <v>-44.155108325542606</v>
      </c>
      <c r="H28" s="13">
        <f t="shared" si="17"/>
        <v>22.053139656998241</v>
      </c>
      <c r="I28" s="14">
        <f t="shared" si="17"/>
        <v>0</v>
      </c>
      <c r="J28" s="15"/>
      <c r="K28" s="15"/>
    </row>
    <row r="29" spans="2:11" ht="15.6" thickBot="1">
      <c r="B29" s="38"/>
      <c r="C29" s="22"/>
      <c r="D29" s="23">
        <f>$B27*C30</f>
        <v>0</v>
      </c>
      <c r="E29" s="23">
        <f>$B27*D30</f>
        <v>-1.0882804159989055</v>
      </c>
      <c r="F29" s="23">
        <f>$B27*E30</f>
        <v>12.163232271683651</v>
      </c>
      <c r="G29" s="23">
        <f>$B27*F30</f>
        <v>-52.392115802061809</v>
      </c>
      <c r="H29" s="23">
        <f>$B27*G30</f>
        <v>105.07045323712889</v>
      </c>
      <c r="I29" s="24"/>
      <c r="J29" s="15"/>
      <c r="K29" s="15"/>
    </row>
    <row r="30" spans="2:11" ht="15.6">
      <c r="C30" s="13">
        <f t="shared" ref="C30:H30" si="18">SUM(C28:C29)</f>
        <v>0</v>
      </c>
      <c r="D30" s="13">
        <f t="shared" si="18"/>
        <v>1</v>
      </c>
      <c r="E30" s="13">
        <f t="shared" si="18"/>
        <v>-11.176560831997811</v>
      </c>
      <c r="F30" s="13">
        <f t="shared" si="18"/>
        <v>48.142110279520551</v>
      </c>
      <c r="G30" s="13">
        <f t="shared" si="18"/>
        <v>-96.547224127604409</v>
      </c>
      <c r="H30" s="8">
        <f t="shared" si="18"/>
        <v>127.12359289412713</v>
      </c>
      <c r="I30" s="15"/>
      <c r="J30" s="15"/>
      <c r="K30" s="15"/>
    </row>
  </sheetData>
  <conditionalFormatting sqref="B9">
    <cfRule type="expression" dxfId="129" priority="4">
      <formula xml:space="preserve"> K9 &lt; $K$1</formula>
    </cfRule>
  </conditionalFormatting>
  <conditionalFormatting sqref="B15">
    <cfRule type="expression" dxfId="128" priority="3">
      <formula>K15&lt;$K$1</formula>
    </cfRule>
  </conditionalFormatting>
  <conditionalFormatting sqref="B21">
    <cfRule type="expression" dxfId="127" priority="2">
      <formula>K21&lt;$K$1</formula>
    </cfRule>
  </conditionalFormatting>
  <conditionalFormatting sqref="B27">
    <cfRule type="expression" dxfId="126" priority="1">
      <formula>K27&lt;$K$1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820D-9170-45A8-869E-E939DB2236B3}">
  <dimension ref="A1:P51"/>
  <sheetViews>
    <sheetView topLeftCell="A28" workbookViewId="0">
      <selection activeCell="S39" sqref="S39"/>
    </sheetView>
  </sheetViews>
  <sheetFormatPr defaultColWidth="11.42578125" defaultRowHeight="15" customHeight="1"/>
  <cols>
    <col min="1" max="1" width="7.7109375" bestFit="1" customWidth="1"/>
    <col min="2" max="2" width="11.42578125" bestFit="1" customWidth="1"/>
    <col min="3" max="5" width="9.140625" bestFit="1" customWidth="1"/>
    <col min="6" max="6" width="11.42578125" bestFit="1" customWidth="1"/>
    <col min="7" max="7" width="10.5703125" bestFit="1" customWidth="1"/>
    <col min="8" max="8" width="11.42578125" bestFit="1" customWidth="1"/>
    <col min="9" max="9" width="10.5703125" bestFit="1" customWidth="1"/>
    <col min="10" max="10" width="8.28515625" bestFit="1" customWidth="1"/>
    <col min="11" max="11" width="9.5703125" bestFit="1" customWidth="1"/>
    <col min="12" max="12" width="11.28515625" bestFit="1" customWidth="1"/>
    <col min="13" max="13" width="15.140625" bestFit="1" customWidth="1"/>
    <col min="14" max="14" width="2.5703125" bestFit="1" customWidth="1"/>
    <col min="15" max="15" width="9" bestFit="1" customWidth="1"/>
    <col min="16" max="16" width="1.5703125" bestFit="1" customWidth="1"/>
  </cols>
  <sheetData>
    <row r="1" spans="1:16" ht="15.75">
      <c r="A1" s="46" t="s">
        <v>34</v>
      </c>
      <c r="B1" s="47"/>
      <c r="C1" s="48" t="s">
        <v>1</v>
      </c>
      <c r="D1" s="49" t="s">
        <v>2</v>
      </c>
      <c r="E1" s="49" t="s">
        <v>3</v>
      </c>
      <c r="F1" s="49" t="s">
        <v>4</v>
      </c>
      <c r="G1" s="49" t="s">
        <v>5</v>
      </c>
      <c r="H1" s="49" t="s">
        <v>6</v>
      </c>
      <c r="I1" s="49" t="s">
        <v>7</v>
      </c>
      <c r="J1" s="50" t="s">
        <v>9</v>
      </c>
      <c r="K1" s="51" t="s">
        <v>10</v>
      </c>
      <c r="L1" s="91"/>
      <c r="M1" s="91"/>
      <c r="N1" s="91"/>
      <c r="O1" s="91"/>
      <c r="P1" s="91"/>
    </row>
    <row r="2" spans="1:16" ht="15.75">
      <c r="A2" s="47"/>
      <c r="B2" s="53" t="s">
        <v>18</v>
      </c>
      <c r="C2" s="92">
        <v>0</v>
      </c>
      <c r="D2" s="93">
        <v>0</v>
      </c>
      <c r="E2" s="57">
        <v>1</v>
      </c>
      <c r="F2" s="57">
        <v>-10.088280454597431</v>
      </c>
      <c r="G2" s="57">
        <v>35.978878439235665</v>
      </c>
      <c r="H2" s="57">
        <v>-44.155110183757074</v>
      </c>
      <c r="I2" s="57">
        <v>22.053143383578771</v>
      </c>
      <c r="J2" s="94"/>
      <c r="K2" s="95">
        <v>0.05</v>
      </c>
      <c r="L2" s="47"/>
      <c r="M2" s="47"/>
      <c r="N2" s="91"/>
      <c r="O2" s="91"/>
      <c r="P2" s="91"/>
    </row>
    <row r="3" spans="1:16" ht="15.75">
      <c r="A3" s="48" t="s">
        <v>19</v>
      </c>
      <c r="B3" s="90">
        <v>1.7036188155590803</v>
      </c>
      <c r="C3" s="47"/>
      <c r="D3" s="49">
        <f>$B3*C5</f>
        <v>0</v>
      </c>
      <c r="E3" s="96">
        <f>$B3*D5</f>
        <v>0</v>
      </c>
      <c r="F3" s="96">
        <f>$B3*E5</f>
        <v>1.7036188155590803</v>
      </c>
      <c r="G3" s="96">
        <f>$B3*F5</f>
        <v>-14.284267330362173</v>
      </c>
      <c r="H3" s="96">
        <f>$B3*G5</f>
        <v>35.141074719000073</v>
      </c>
      <c r="I3" s="96">
        <f>$B3*H5</f>
        <v>-0.11087686546329167</v>
      </c>
      <c r="J3" s="47"/>
      <c r="K3" s="47"/>
      <c r="L3" s="49" t="s">
        <v>20</v>
      </c>
      <c r="M3" s="64">
        <f>B3^2+4*B4</f>
        <v>-1.3668843411369247</v>
      </c>
      <c r="N3" s="91"/>
      <c r="O3" s="91"/>
      <c r="P3" s="91"/>
    </row>
    <row r="4" spans="1:16" ht="15.75">
      <c r="A4" s="48" t="s">
        <v>21</v>
      </c>
      <c r="B4" s="74">
        <v>-1.0673003524659621</v>
      </c>
      <c r="C4" s="97"/>
      <c r="D4" s="97"/>
      <c r="E4" s="98">
        <f>$B4*C5</f>
        <v>0</v>
      </c>
      <c r="F4" s="98">
        <f>$B4*D5</f>
        <v>0</v>
      </c>
      <c r="G4" s="98">
        <f>$B4*E5</f>
        <v>-1.0673003524659621</v>
      </c>
      <c r="H4" s="98">
        <f>$B4*F5</f>
        <v>8.9489523226534633</v>
      </c>
      <c r="I4" s="98">
        <f>$B4*G5</f>
        <v>-22.015536040738688</v>
      </c>
      <c r="J4" s="47"/>
      <c r="K4" s="47"/>
      <c r="L4" s="49" t="s">
        <v>22</v>
      </c>
      <c r="M4" s="49">
        <f>IF(M3&lt;0,B3/2,(B3+SQRT(M3))/2)</f>
        <v>0.85180940777954017</v>
      </c>
      <c r="N4" s="49" t="str">
        <f>IF(M3&lt;0,"+","")</f>
        <v>+</v>
      </c>
      <c r="O4" s="49">
        <f>IF(M3&lt;0,SQRT(ABS(M3))/2,"")</f>
        <v>0.58456914499846058</v>
      </c>
      <c r="P4" s="49" t="str">
        <f>IF(M3&lt;0,"i","")</f>
        <v>i</v>
      </c>
    </row>
    <row r="5" spans="1:16" ht="15.75">
      <c r="A5" s="48" t="s">
        <v>23</v>
      </c>
      <c r="B5" s="67">
        <f>SQRT(SUMSQ(B3:B4))</f>
        <v>2.0103350743348458</v>
      </c>
      <c r="C5" s="99">
        <f t="shared" ref="C5:I5" si="0">SUM(C2:C4)</f>
        <v>0</v>
      </c>
      <c r="D5" s="67">
        <f t="shared" si="0"/>
        <v>0</v>
      </c>
      <c r="E5" s="99">
        <f t="shared" si="0"/>
        <v>1</v>
      </c>
      <c r="F5" s="67">
        <f t="shared" si="0"/>
        <v>-8.3846616390383506</v>
      </c>
      <c r="G5" s="67">
        <f t="shared" si="0"/>
        <v>20.627310756407528</v>
      </c>
      <c r="H5" s="100">
        <f t="shared" si="0"/>
        <v>-6.5083142103537384E-2</v>
      </c>
      <c r="I5" s="100">
        <f t="shared" si="0"/>
        <v>-7.3269522623210293E-2</v>
      </c>
      <c r="J5" s="47"/>
      <c r="K5" s="47"/>
      <c r="L5" s="49" t="s">
        <v>24</v>
      </c>
      <c r="M5" s="49">
        <f>IF(M3&lt;0,M4,(B3-SQRT(M3))/2)</f>
        <v>0.85180940777954017</v>
      </c>
      <c r="N5" s="104" t="str">
        <f>IF(M3&lt;0,"+","")</f>
        <v>+</v>
      </c>
      <c r="O5" s="49">
        <f>IF(M3&lt;0,-O4,"")</f>
        <v>-0.58456914499846058</v>
      </c>
      <c r="P5" s="104" t="s">
        <v>25</v>
      </c>
    </row>
    <row r="6" spans="1:16" ht="15.75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91"/>
      <c r="M6" s="91"/>
      <c r="N6" s="91"/>
      <c r="O6" s="91"/>
      <c r="P6" s="91"/>
    </row>
    <row r="7" spans="1:16" ht="15.75">
      <c r="A7" s="47"/>
      <c r="B7" s="53" t="s">
        <v>26</v>
      </c>
      <c r="C7" s="102">
        <f t="shared" ref="C7:I7" si="1">C2</f>
        <v>0</v>
      </c>
      <c r="D7" s="93">
        <f t="shared" si="1"/>
        <v>0</v>
      </c>
      <c r="E7" s="93">
        <f t="shared" si="1"/>
        <v>1</v>
      </c>
      <c r="F7" s="93">
        <f t="shared" si="1"/>
        <v>-10.088280454597431</v>
      </c>
      <c r="G7" s="93">
        <f t="shared" si="1"/>
        <v>35.978878439235665</v>
      </c>
      <c r="H7" s="93">
        <f t="shared" si="1"/>
        <v>-44.155110183757074</v>
      </c>
      <c r="I7" s="93">
        <f t="shared" si="1"/>
        <v>22.053143383578771</v>
      </c>
      <c r="J7" s="47"/>
      <c r="K7" s="47"/>
      <c r="L7" s="47"/>
      <c r="M7" s="49" t="s">
        <v>27</v>
      </c>
      <c r="N7" s="91"/>
      <c r="O7" s="91"/>
      <c r="P7" s="91"/>
    </row>
    <row r="8" spans="1:16" ht="15.75">
      <c r="A8" s="48" t="s">
        <v>28</v>
      </c>
      <c r="B8" s="74">
        <f>-(H2+B9*F5)/G5</f>
        <v>1.7060329149074367</v>
      </c>
      <c r="C8" s="47"/>
      <c r="D8" s="49">
        <f>$B8*C10</f>
        <v>0</v>
      </c>
      <c r="E8" s="49">
        <f>$B8*D10</f>
        <v>0</v>
      </c>
      <c r="F8" s="49">
        <f>$B8*E10</f>
        <v>1.7060329149074367</v>
      </c>
      <c r="G8" s="49">
        <f>$B8*F10</f>
        <v>-14.300390203613009</v>
      </c>
      <c r="H8" s="49">
        <f>$B8*G10</f>
        <v>35.160254535408797</v>
      </c>
      <c r="I8" s="49">
        <f>$B8*H10</f>
        <v>-5.663608138945956E-2</v>
      </c>
      <c r="J8" s="47"/>
      <c r="K8" s="47"/>
      <c r="L8" s="49" t="s">
        <v>20</v>
      </c>
      <c r="M8" s="64">
        <f>B8^2+4*B9</f>
        <v>-1.3659458313413437</v>
      </c>
      <c r="N8" s="91"/>
      <c r="O8" s="91"/>
      <c r="P8" s="91"/>
    </row>
    <row r="9" spans="1:16" ht="15.75">
      <c r="A9" s="48" t="s">
        <v>29</v>
      </c>
      <c r="B9" s="75">
        <f>-I2/G5</f>
        <v>-1.0691235345222272</v>
      </c>
      <c r="C9" s="103"/>
      <c r="D9" s="97"/>
      <c r="E9" s="98">
        <f>$B9*C10</f>
        <v>0</v>
      </c>
      <c r="F9" s="98">
        <f>$B9*D10</f>
        <v>0</v>
      </c>
      <c r="G9" s="98">
        <f>$B9*E10</f>
        <v>-1.0691235345222272</v>
      </c>
      <c r="H9" s="98">
        <f>$B9*F10</f>
        <v>8.9616581168736094</v>
      </c>
      <c r="I9" s="98">
        <f>$B9*G10</f>
        <v>-22.033956833498113</v>
      </c>
      <c r="J9" s="47"/>
      <c r="K9" s="47"/>
      <c r="L9" s="49" t="s">
        <v>22</v>
      </c>
      <c r="M9" s="48">
        <f>IF(M8&lt;0,B8/2,(B8+SQRT(M8))/2)</f>
        <v>0.85301645745371835</v>
      </c>
      <c r="N9" s="49" t="s">
        <v>30</v>
      </c>
      <c r="O9" s="49">
        <f>IF(M8&lt;0,SQRT(ABS(M8))/2,"")</f>
        <v>0.58436842645315457</v>
      </c>
      <c r="P9" s="49" t="str">
        <f>IF(M8&lt;0,"i","")</f>
        <v>i</v>
      </c>
    </row>
    <row r="10" spans="1:16" ht="15.75">
      <c r="A10" s="49" t="s">
        <v>23</v>
      </c>
      <c r="B10" s="67">
        <f>SQRT(SUMSQ(B8:B9))</f>
        <v>2.0133488120087053</v>
      </c>
      <c r="C10" s="67">
        <f t="shared" ref="C10:I10" si="2">SUM(C7:C9)</f>
        <v>0</v>
      </c>
      <c r="D10" s="67">
        <f t="shared" si="2"/>
        <v>0</v>
      </c>
      <c r="E10" s="67">
        <f t="shared" si="2"/>
        <v>1</v>
      </c>
      <c r="F10" s="67">
        <f t="shared" si="2"/>
        <v>-8.3822475396899936</v>
      </c>
      <c r="G10" s="67">
        <f t="shared" si="2"/>
        <v>20.609364701100429</v>
      </c>
      <c r="H10" s="100">
        <f t="shared" si="2"/>
        <v>-3.3197531474668196E-2</v>
      </c>
      <c r="I10" s="100">
        <f t="shared" si="2"/>
        <v>-3.7449531308801909E-2</v>
      </c>
      <c r="J10" s="49">
        <f>ABS(B10-B5)</f>
        <v>3.0137376738594845E-3</v>
      </c>
      <c r="K10" s="48">
        <f>ABS(J10/B10)*100</f>
        <v>0.14968780649850225</v>
      </c>
      <c r="L10" s="49" t="s">
        <v>24</v>
      </c>
      <c r="M10" s="48">
        <f>IF(M8&lt;0,M9,(B8-SQRT(M8))/2)</f>
        <v>0.85301645745371835</v>
      </c>
      <c r="N10" s="104" t="s">
        <v>30</v>
      </c>
      <c r="O10" s="49">
        <f>IF(M8&lt;0,-O9,"")</f>
        <v>-0.58436842645315457</v>
      </c>
      <c r="P10" s="104" t="s">
        <v>25</v>
      </c>
    </row>
    <row r="11" spans="1:16" ht="15.75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91"/>
      <c r="M11" s="91"/>
      <c r="N11" s="91"/>
      <c r="O11" s="91"/>
      <c r="P11" s="91"/>
    </row>
    <row r="12" spans="1:16" ht="15.75">
      <c r="A12" s="47"/>
      <c r="B12" s="53" t="s">
        <v>31</v>
      </c>
      <c r="C12" s="92">
        <f t="shared" ref="C12:I12" si="3">C7</f>
        <v>0</v>
      </c>
      <c r="D12" s="75">
        <f t="shared" si="3"/>
        <v>0</v>
      </c>
      <c r="E12" s="93">
        <f t="shared" si="3"/>
        <v>1</v>
      </c>
      <c r="F12" s="93">
        <f t="shared" si="3"/>
        <v>-10.088280454597431</v>
      </c>
      <c r="G12" s="93">
        <f t="shared" si="3"/>
        <v>35.978878439235665</v>
      </c>
      <c r="H12" s="93">
        <f t="shared" si="3"/>
        <v>-44.155110183757074</v>
      </c>
      <c r="I12" s="93">
        <f t="shared" si="3"/>
        <v>22.053143383578771</v>
      </c>
      <c r="J12" s="47"/>
      <c r="K12" s="47"/>
      <c r="L12" s="91"/>
      <c r="M12" s="91"/>
      <c r="N12" s="91"/>
      <c r="O12" s="91"/>
      <c r="P12" s="91"/>
    </row>
    <row r="13" spans="1:16" ht="15.75">
      <c r="A13" s="48" t="s">
        <v>19</v>
      </c>
      <c r="B13" s="80">
        <f>-(H7+B14*F10)/G10</f>
        <v>1.7072650718385314</v>
      </c>
      <c r="C13" s="47"/>
      <c r="D13" s="48">
        <f>$B13*C15</f>
        <v>0</v>
      </c>
      <c r="E13" s="49">
        <f>$B13*D15</f>
        <v>0</v>
      </c>
      <c r="F13" s="49">
        <f>$B13*E15</f>
        <v>1.7072650718385314</v>
      </c>
      <c r="G13" s="49">
        <f>$B13*F15</f>
        <v>-14.308614829525709</v>
      </c>
      <c r="H13" s="49">
        <f>$B13*G15</f>
        <v>35.170017490297496</v>
      </c>
      <c r="I13" s="49">
        <f>$B13*H15</f>
        <v>-2.8937275230788838E-2</v>
      </c>
      <c r="J13" s="47"/>
      <c r="K13" s="47"/>
      <c r="L13" s="49" t="s">
        <v>20</v>
      </c>
      <c r="M13" s="64">
        <f>B13^2+4*B14</f>
        <v>-1.3654639634221146</v>
      </c>
      <c r="N13" s="91"/>
      <c r="O13" s="91"/>
      <c r="P13" s="91"/>
    </row>
    <row r="14" spans="1:16" ht="15.75">
      <c r="A14" s="48" t="s">
        <v>21</v>
      </c>
      <c r="B14" s="75">
        <f>-I7/G10</f>
        <v>-1.0700544972354851</v>
      </c>
      <c r="C14" s="103"/>
      <c r="D14" s="97"/>
      <c r="E14" s="98">
        <f>$B14*C15</f>
        <v>0</v>
      </c>
      <c r="F14" s="98">
        <f>$B14*D15</f>
        <v>0</v>
      </c>
      <c r="G14" s="98">
        <f>$B14*E15</f>
        <v>-1.0700544972354851</v>
      </c>
      <c r="H14" s="98">
        <f>$B14*F15</f>
        <v>8.9681432017209417</v>
      </c>
      <c r="I14" s="98">
        <f>$B14*G15</f>
        <v>-22.043346404794729</v>
      </c>
      <c r="J14" s="47"/>
      <c r="K14" s="47"/>
      <c r="L14" s="49" t="s">
        <v>22</v>
      </c>
      <c r="M14" s="48">
        <f>IF(M13&lt;0,B13/2,(B13+SQRT(M13))/2)</f>
        <v>0.85363253591926569</v>
      </c>
      <c r="N14" s="49" t="s">
        <v>30</v>
      </c>
      <c r="O14" s="49">
        <f>IF(M13&lt;0,SQRT(ABS(M13))/2,"")</f>
        <v>0.58426534284991494</v>
      </c>
      <c r="P14" s="49" t="str">
        <f>IF(M13&lt;0,"i","")</f>
        <v>i</v>
      </c>
    </row>
    <row r="15" spans="1:16" ht="15.75">
      <c r="A15" s="48" t="s">
        <v>23</v>
      </c>
      <c r="B15" s="67">
        <f>SQRT(SUMSQ(B13:B14))</f>
        <v>2.0148872555489832</v>
      </c>
      <c r="C15" s="67">
        <f t="shared" ref="C15:I15" si="4">SUM(C12:C14)</f>
        <v>0</v>
      </c>
      <c r="D15" s="84">
        <f t="shared" si="4"/>
        <v>0</v>
      </c>
      <c r="E15" s="67">
        <f t="shared" si="4"/>
        <v>1</v>
      </c>
      <c r="F15" s="67">
        <f t="shared" si="4"/>
        <v>-8.3810153827588998</v>
      </c>
      <c r="G15" s="67">
        <f t="shared" si="4"/>
        <v>20.60020911247447</v>
      </c>
      <c r="H15" s="100">
        <f t="shared" si="4"/>
        <v>-1.6949491738635913E-2</v>
      </c>
      <c r="I15" s="100">
        <f t="shared" si="4"/>
        <v>-1.9140296446746419E-2</v>
      </c>
      <c r="J15" s="105">
        <f>ABS(B15-B10)</f>
        <v>1.5384435402778784E-3</v>
      </c>
      <c r="K15" s="48">
        <f>ABS(J15/B15)*100</f>
        <v>7.6353827542509758E-2</v>
      </c>
      <c r="L15" s="49" t="s">
        <v>24</v>
      </c>
      <c r="M15" s="48">
        <f>IF(M13&lt;0,M14,(B13-SQRT(M13))/2)</f>
        <v>0.85363253591926569</v>
      </c>
      <c r="N15" s="104" t="s">
        <v>30</v>
      </c>
      <c r="O15" s="49">
        <f>IF(M13&lt;0,-O14,"")</f>
        <v>-0.58426534284991494</v>
      </c>
      <c r="P15" s="104" t="s">
        <v>25</v>
      </c>
    </row>
    <row r="16" spans="1:16" ht="15.75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91"/>
      <c r="M16" s="91"/>
      <c r="N16" s="91"/>
      <c r="O16" s="91"/>
      <c r="P16" s="91"/>
    </row>
    <row r="17" spans="1:16" ht="15.75">
      <c r="A17" s="47"/>
      <c r="B17" s="53" t="s">
        <v>32</v>
      </c>
      <c r="C17" s="92">
        <f t="shared" ref="C17:I17" si="5">C12</f>
        <v>0</v>
      </c>
      <c r="D17" s="106">
        <f t="shared" si="5"/>
        <v>0</v>
      </c>
      <c r="E17" s="106">
        <f t="shared" si="5"/>
        <v>1</v>
      </c>
      <c r="F17" s="106">
        <f t="shared" si="5"/>
        <v>-10.088280454597431</v>
      </c>
      <c r="G17" s="106">
        <f t="shared" si="5"/>
        <v>35.978878439235665</v>
      </c>
      <c r="H17" s="106">
        <f t="shared" si="5"/>
        <v>-44.155110183757074</v>
      </c>
      <c r="I17" s="106">
        <f t="shared" si="5"/>
        <v>22.053143383578771</v>
      </c>
      <c r="J17" s="47"/>
      <c r="K17" s="47"/>
      <c r="L17" s="91"/>
      <c r="M17" s="91"/>
      <c r="N17" s="91"/>
      <c r="O17" s="91"/>
      <c r="P17" s="91"/>
    </row>
    <row r="18" spans="1:16" ht="15.75">
      <c r="A18" s="49" t="s">
        <v>28</v>
      </c>
      <c r="B18" s="74">
        <f>-(H12+B19*F15)/G15</f>
        <v>1.7078943701290561</v>
      </c>
      <c r="C18" s="47"/>
      <c r="D18" s="49">
        <f>$B18*C20</f>
        <v>0</v>
      </c>
      <c r="E18" s="96">
        <f>$B18*D20</f>
        <v>0</v>
      </c>
      <c r="F18" s="96">
        <f>$B18*E20</f>
        <v>1.7078943701290561</v>
      </c>
      <c r="G18" s="96">
        <f>$B18*F20</f>
        <v>-14.312814213171421</v>
      </c>
      <c r="H18" s="96">
        <f>$B18*G20</f>
        <v>35.174996828278196</v>
      </c>
      <c r="I18" s="96">
        <f>$B18*H20</f>
        <v>-1.4786985567772489E-2</v>
      </c>
      <c r="J18" s="47"/>
      <c r="K18" s="47"/>
      <c r="L18" s="49" t="s">
        <v>20</v>
      </c>
      <c r="M18" s="64">
        <f>B18^2+4*B19</f>
        <v>-1.365217116090411</v>
      </c>
      <c r="N18" s="91"/>
      <c r="O18" s="91"/>
      <c r="P18" s="91"/>
    </row>
    <row r="19" spans="1:16" ht="15.75">
      <c r="A19" s="49" t="s">
        <v>29</v>
      </c>
      <c r="B19" s="75">
        <f>-I12/G15</f>
        <v>-1.0705300739022341</v>
      </c>
      <c r="C19" s="103"/>
      <c r="D19" s="97"/>
      <c r="E19" s="98">
        <f>$B19*C20</f>
        <v>0</v>
      </c>
      <c r="F19" s="98">
        <f>$B19*D20</f>
        <v>0</v>
      </c>
      <c r="G19" s="98">
        <f>$B19*E20</f>
        <v>-1.0705300739022341</v>
      </c>
      <c r="H19" s="98">
        <f>$B19*F20</f>
        <v>8.9714553343351842</v>
      </c>
      <c r="I19" s="98">
        <f>$B19*G20</f>
        <v>-22.048138697969982</v>
      </c>
      <c r="J19" s="47"/>
      <c r="K19" s="47"/>
      <c r="L19" s="49" t="s">
        <v>22</v>
      </c>
      <c r="M19" s="48">
        <f>IF(M18&lt;0,B18/2,(B18+SQRT(M18))/2)</f>
        <v>0.85394718506452805</v>
      </c>
      <c r="N19" s="49" t="s">
        <v>30</v>
      </c>
      <c r="O19" s="49">
        <f>IF(M18&lt;0,SQRT(ABS(M18))/2,"")</f>
        <v>0.58421252898461762</v>
      </c>
      <c r="P19" s="49" t="str">
        <f>IF(M18&lt;0,"i","")</f>
        <v>i</v>
      </c>
    </row>
    <row r="20" spans="1:16" ht="15.75">
      <c r="A20" s="49" t="s">
        <v>23</v>
      </c>
      <c r="B20" s="84">
        <f>SQRT(SUMSQ(B18:B19))</f>
        <v>2.0156730435880834</v>
      </c>
      <c r="C20" s="67">
        <f t="shared" ref="C20:I20" si="6">SUM(C17:C19)</f>
        <v>0</v>
      </c>
      <c r="D20" s="67">
        <f t="shared" si="6"/>
        <v>0</v>
      </c>
      <c r="E20" s="99">
        <f t="shared" si="6"/>
        <v>1</v>
      </c>
      <c r="F20" s="67">
        <f t="shared" si="6"/>
        <v>-8.3803860844683751</v>
      </c>
      <c r="G20" s="67">
        <f t="shared" si="6"/>
        <v>20.59553415216201</v>
      </c>
      <c r="H20" s="100">
        <f t="shared" si="6"/>
        <v>-8.6580211436935173E-3</v>
      </c>
      <c r="I20" s="107">
        <f t="shared" si="6"/>
        <v>-9.7822999589851634E-3</v>
      </c>
      <c r="J20" s="49">
        <f>ABS(B20-B15)</f>
        <v>7.8578803910023254E-4</v>
      </c>
      <c r="K20" s="49">
        <f>ABS(J20/B20)*100</f>
        <v>3.8983903743707242E-2</v>
      </c>
      <c r="L20" s="105" t="s">
        <v>24</v>
      </c>
      <c r="M20" s="48">
        <f>IF(M18&lt;0,M19,(B18-SQRT(M18))/2)</f>
        <v>0.85394718506452805</v>
      </c>
      <c r="N20" s="104" t="s">
        <v>30</v>
      </c>
      <c r="O20" s="49">
        <f>IF(M18&lt;0,-O19,"")</f>
        <v>-0.58421252898461762</v>
      </c>
      <c r="P20" s="104" t="s">
        <v>25</v>
      </c>
    </row>
    <row r="21" spans="1:16" ht="15.75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91"/>
      <c r="M21" s="91"/>
      <c r="N21" s="91"/>
      <c r="O21" s="91"/>
      <c r="P21" s="91"/>
    </row>
    <row r="22" spans="1:16" ht="15.75">
      <c r="A22" s="47"/>
      <c r="B22" s="53" t="s">
        <v>33</v>
      </c>
      <c r="C22" s="92">
        <f t="shared" ref="C22:I22" si="7">C17</f>
        <v>0</v>
      </c>
      <c r="D22" s="106">
        <f t="shared" si="7"/>
        <v>0</v>
      </c>
      <c r="E22" s="106">
        <f t="shared" si="7"/>
        <v>1</v>
      </c>
      <c r="F22" s="106">
        <f t="shared" si="7"/>
        <v>-10.088280454597431</v>
      </c>
      <c r="G22" s="106">
        <f t="shared" si="7"/>
        <v>35.978878439235665</v>
      </c>
      <c r="H22" s="106">
        <f t="shared" si="7"/>
        <v>-44.155110183757074</v>
      </c>
      <c r="I22" s="106">
        <f t="shared" si="7"/>
        <v>22.053143383578771</v>
      </c>
      <c r="J22" s="47"/>
      <c r="K22" s="47"/>
      <c r="L22" s="91"/>
      <c r="M22" s="91"/>
      <c r="N22" s="91"/>
      <c r="O22" s="91"/>
      <c r="P22" s="91"/>
    </row>
    <row r="23" spans="1:16" ht="15.75">
      <c r="A23" s="49" t="s">
        <v>28</v>
      </c>
      <c r="B23" s="74">
        <f>-(H17+B24*F20)/G20</f>
        <v>1.7082158766825555</v>
      </c>
      <c r="C23" s="47"/>
      <c r="D23" s="49">
        <f>$B23*C25</f>
        <v>0</v>
      </c>
      <c r="E23" s="96">
        <f>$B23*D25</f>
        <v>0</v>
      </c>
      <c r="F23" s="96">
        <f>$B23*E25</f>
        <v>1.7082158766825555</v>
      </c>
      <c r="G23" s="96">
        <f>$B23*F25</f>
        <v>-14.314959359619289</v>
      </c>
      <c r="H23" s="96">
        <f>$B23*G25</f>
        <v>35.17753896022392</v>
      </c>
      <c r="I23" s="96">
        <f>$B23*H25</f>
        <v>-7.5566820913531502E-3</v>
      </c>
      <c r="J23" s="47"/>
      <c r="K23" s="47"/>
      <c r="L23" s="48" t="s">
        <v>20</v>
      </c>
      <c r="M23" s="64">
        <f>B23^2+4*B24</f>
        <v>-1.3650908085893581</v>
      </c>
      <c r="N23" s="91"/>
      <c r="O23" s="91"/>
      <c r="P23" s="91"/>
    </row>
    <row r="24" spans="1:16" ht="15.75">
      <c r="A24" s="49" t="s">
        <v>29</v>
      </c>
      <c r="B24" s="75">
        <f>-I17/G20</f>
        <v>-1.0707730724849274</v>
      </c>
      <c r="C24" s="103"/>
      <c r="D24" s="97"/>
      <c r="E24" s="98">
        <f>$B24*C25</f>
        <v>0</v>
      </c>
      <c r="F24" s="98">
        <f>$B24*D25</f>
        <v>0</v>
      </c>
      <c r="G24" s="98">
        <f>$B24*E25</f>
        <v>-1.0707730724849274</v>
      </c>
      <c r="H24" s="98">
        <f>$B24*F25</f>
        <v>8.9731474957160184</v>
      </c>
      <c r="I24" s="98">
        <f>$B24*G25</f>
        <v>-22.050586222186858</v>
      </c>
      <c r="J24" s="47"/>
      <c r="K24" s="47"/>
      <c r="L24" s="49" t="s">
        <v>22</v>
      </c>
      <c r="M24" s="84">
        <f>IF(M23&lt;0,B23/2,(B23+SQRT(M23))/2)</f>
        <v>0.85410793834127774</v>
      </c>
      <c r="N24" s="49" t="s">
        <v>30</v>
      </c>
      <c r="O24" s="49">
        <f>IF(M23&lt;0,SQRT(ABS(M23))/2,"")</f>
        <v>0.58418550319854701</v>
      </c>
      <c r="P24" s="49" t="str">
        <f>IF(M23&lt;0,"i","")</f>
        <v>i</v>
      </c>
    </row>
    <row r="25" spans="1:16" ht="15.75">
      <c r="A25" s="49" t="s">
        <v>23</v>
      </c>
      <c r="B25" s="84">
        <f>SQRT(SUMSQ(B23:B24))</f>
        <v>2.0160745160110434</v>
      </c>
      <c r="C25" s="67">
        <f t="shared" ref="C25:I25" si="8">SUM(C22:C24)</f>
        <v>0</v>
      </c>
      <c r="D25" s="67">
        <f t="shared" si="8"/>
        <v>0</v>
      </c>
      <c r="E25" s="67">
        <f t="shared" si="8"/>
        <v>1</v>
      </c>
      <c r="F25" s="67">
        <f t="shared" si="8"/>
        <v>-8.3800645779148759</v>
      </c>
      <c r="G25" s="67">
        <f t="shared" si="8"/>
        <v>20.593146007131452</v>
      </c>
      <c r="H25" s="100">
        <f t="shared" si="8"/>
        <v>-4.4237278171355143E-3</v>
      </c>
      <c r="I25" s="100">
        <f t="shared" si="8"/>
        <v>-4.9995206994388752E-3</v>
      </c>
      <c r="J25" s="49">
        <f>ABS(B25-B20)</f>
        <v>4.0147242295995866E-4</v>
      </c>
      <c r="K25" s="49">
        <f>ABS(J25/B25)*100</f>
        <v>1.9913570642929528E-2</v>
      </c>
      <c r="L25" s="105" t="s">
        <v>24</v>
      </c>
      <c r="M25" s="49">
        <f>IF(M23&lt;0,M24,(B23-SQRT(M23))/2)</f>
        <v>0.85410793834127774</v>
      </c>
      <c r="N25" s="108" t="s">
        <v>30</v>
      </c>
      <c r="O25" s="67">
        <f>IF(M23&lt;0,-O24,"")</f>
        <v>-0.58418550319854701</v>
      </c>
      <c r="P25" s="108" t="s">
        <v>25</v>
      </c>
    </row>
    <row r="27" spans="1:16" ht="15.75">
      <c r="A27" s="46" t="s">
        <v>34</v>
      </c>
      <c r="B27" s="47"/>
      <c r="C27" s="48" t="s">
        <v>1</v>
      </c>
      <c r="D27" s="49" t="s">
        <v>2</v>
      </c>
      <c r="E27" s="49" t="s">
        <v>3</v>
      </c>
      <c r="F27" s="49" t="s">
        <v>4</v>
      </c>
      <c r="G27" s="49" t="s">
        <v>5</v>
      </c>
      <c r="H27" s="49" t="s">
        <v>6</v>
      </c>
      <c r="I27" s="49" t="s">
        <v>7</v>
      </c>
      <c r="J27" s="50" t="s">
        <v>9</v>
      </c>
      <c r="K27" s="51" t="s">
        <v>10</v>
      </c>
      <c r="L27" s="91"/>
      <c r="M27" s="91"/>
      <c r="N27" s="91"/>
      <c r="O27" s="91"/>
      <c r="P27" s="91"/>
    </row>
    <row r="28" spans="1:16" ht="15.75">
      <c r="A28" s="47"/>
      <c r="B28" s="53" t="s">
        <v>18</v>
      </c>
      <c r="C28" s="92">
        <v>0</v>
      </c>
      <c r="D28" s="93">
        <v>0</v>
      </c>
      <c r="E28" s="57">
        <v>0</v>
      </c>
      <c r="F28" s="57">
        <v>0</v>
      </c>
      <c r="G28" s="57">
        <v>1</v>
      </c>
      <c r="H28" s="57">
        <v>-8.3800645779148759</v>
      </c>
      <c r="I28" s="57">
        <v>20.593146007131452</v>
      </c>
      <c r="J28" s="94"/>
      <c r="K28" s="95">
        <v>0.05</v>
      </c>
      <c r="L28" s="47"/>
      <c r="M28" s="47"/>
      <c r="N28" s="91"/>
      <c r="O28" s="91"/>
      <c r="P28" s="91"/>
    </row>
    <row r="29" spans="1:16" ht="15.75">
      <c r="A29" s="48" t="s">
        <v>19</v>
      </c>
      <c r="B29" s="90">
        <v>1</v>
      </c>
      <c r="C29" s="47"/>
      <c r="D29" s="49">
        <f>$B29*C31</f>
        <v>0</v>
      </c>
      <c r="E29" s="96">
        <f>$B29*D31</f>
        <v>0</v>
      </c>
      <c r="F29" s="96">
        <f>$B29*E31</f>
        <v>0</v>
      </c>
      <c r="G29" s="96">
        <f>$B29*F31</f>
        <v>0</v>
      </c>
      <c r="H29" s="96">
        <f>$B29*G31</f>
        <v>1</v>
      </c>
      <c r="I29" s="96">
        <f>$B29*H31</f>
        <v>-7.3800645779148759</v>
      </c>
      <c r="J29" s="47"/>
      <c r="K29" s="47"/>
      <c r="L29" s="49" t="s">
        <v>20</v>
      </c>
      <c r="M29" s="64">
        <f>B29^2+4*B30</f>
        <v>1</v>
      </c>
      <c r="N29" s="91"/>
      <c r="O29" s="91"/>
      <c r="P29" s="91"/>
    </row>
    <row r="30" spans="1:16" ht="15.75">
      <c r="A30" s="48" t="s">
        <v>21</v>
      </c>
      <c r="B30" s="74">
        <v>0</v>
      </c>
      <c r="C30" s="97"/>
      <c r="D30" s="97"/>
      <c r="E30" s="98">
        <f>$B30*C31</f>
        <v>0</v>
      </c>
      <c r="F30" s="98">
        <f>$B30*D31</f>
        <v>0</v>
      </c>
      <c r="G30" s="98">
        <f>$B30*E31</f>
        <v>0</v>
      </c>
      <c r="H30" s="98">
        <f>$B30*F31</f>
        <v>0</v>
      </c>
      <c r="I30" s="98">
        <f>$B30*G31</f>
        <v>0</v>
      </c>
      <c r="J30" s="47"/>
      <c r="K30" s="47"/>
      <c r="L30" s="49" t="s">
        <v>22</v>
      </c>
      <c r="M30" s="49">
        <f>IF(M29&lt;0,B29/2,(B29+SQRT(M29))/2)</f>
        <v>1</v>
      </c>
      <c r="N30" s="49" t="str">
        <f>IF(M29&lt;0,"+","")</f>
        <v/>
      </c>
      <c r="O30" s="49" t="str">
        <f>IF(M29&lt;0,SQRT(ABS(M29))/2,"")</f>
        <v/>
      </c>
      <c r="P30" s="49" t="str">
        <f>IF(M29&lt;0,"i","")</f>
        <v/>
      </c>
    </row>
    <row r="31" spans="1:16" ht="15.75">
      <c r="A31" s="48" t="s">
        <v>23</v>
      </c>
      <c r="B31" s="67">
        <f>SQRT(SUMSQ(B29:B30))</f>
        <v>1</v>
      </c>
      <c r="C31" s="99">
        <f t="shared" ref="C31:I31" si="9">SUM(C28:C30)</f>
        <v>0</v>
      </c>
      <c r="D31" s="67">
        <f t="shared" si="9"/>
        <v>0</v>
      </c>
      <c r="E31" s="99">
        <f t="shared" si="9"/>
        <v>0</v>
      </c>
      <c r="F31" s="67">
        <f t="shared" si="9"/>
        <v>0</v>
      </c>
      <c r="G31" s="67">
        <f t="shared" si="9"/>
        <v>1</v>
      </c>
      <c r="H31" s="100">
        <f t="shared" si="9"/>
        <v>-7.3800645779148759</v>
      </c>
      <c r="I31" s="100">
        <f t="shared" si="9"/>
        <v>13.213081429216576</v>
      </c>
      <c r="J31" s="47"/>
      <c r="K31" s="47"/>
      <c r="L31" s="49" t="s">
        <v>24</v>
      </c>
      <c r="M31" s="49">
        <f>IF(M29&lt;0,M30,(B29-SQRT(M29))/2)</f>
        <v>0</v>
      </c>
      <c r="N31" s="104" t="str">
        <f>IF(M29&lt;0,"+","")</f>
        <v/>
      </c>
      <c r="O31" s="49" t="str">
        <f>IF(M29&lt;0,-O30,"")</f>
        <v/>
      </c>
      <c r="P31" s="104" t="s">
        <v>25</v>
      </c>
    </row>
    <row r="32" spans="1:16" ht="15.75">
      <c r="A32" s="47"/>
      <c r="B32" s="47"/>
      <c r="C32" s="47"/>
      <c r="D32" s="47"/>
      <c r="E32" s="47"/>
      <c r="F32" s="47"/>
      <c r="G32" s="47"/>
      <c r="H32" s="47"/>
      <c r="I32" s="47"/>
      <c r="J32" s="47" t="s">
        <v>39</v>
      </c>
      <c r="K32" s="47"/>
      <c r="L32" s="91"/>
      <c r="M32" s="91"/>
      <c r="N32" s="91"/>
      <c r="O32" s="91"/>
      <c r="P32" s="91"/>
    </row>
    <row r="33" spans="1:16" ht="15.75">
      <c r="A33" s="47"/>
      <c r="B33" s="53" t="s">
        <v>26</v>
      </c>
      <c r="C33" s="102">
        <f t="shared" ref="C33:I33" si="10">C28</f>
        <v>0</v>
      </c>
      <c r="D33" s="93">
        <f t="shared" si="10"/>
        <v>0</v>
      </c>
      <c r="E33" s="93">
        <f t="shared" si="10"/>
        <v>0</v>
      </c>
      <c r="F33" s="93">
        <f t="shared" si="10"/>
        <v>0</v>
      </c>
      <c r="G33" s="93">
        <f t="shared" si="10"/>
        <v>1</v>
      </c>
      <c r="H33" s="93">
        <f t="shared" si="10"/>
        <v>-8.3800645779148759</v>
      </c>
      <c r="I33" s="93">
        <f t="shared" si="10"/>
        <v>20.593146007131452</v>
      </c>
      <c r="J33" s="47"/>
      <c r="K33" s="47"/>
      <c r="L33" s="47"/>
      <c r="M33" s="49" t="s">
        <v>27</v>
      </c>
      <c r="N33" s="91"/>
      <c r="O33" s="91"/>
      <c r="P33" s="91"/>
    </row>
    <row r="34" spans="1:16" ht="15.75">
      <c r="A34" s="48" t="s">
        <v>28</v>
      </c>
      <c r="B34" s="74">
        <f>-(H28+B35*F31)/G31</f>
        <v>8.3800645779148759</v>
      </c>
      <c r="C34" s="47"/>
      <c r="D34" s="49">
        <f>$B34*C36</f>
        <v>0</v>
      </c>
      <c r="E34" s="49">
        <f>$B34*D36</f>
        <v>0</v>
      </c>
      <c r="F34" s="49">
        <f>$B34*E36</f>
        <v>0</v>
      </c>
      <c r="G34" s="49">
        <f>$B34*F36</f>
        <v>0</v>
      </c>
      <c r="H34" s="49">
        <f>$B34*G36</f>
        <v>8.3800645779148759</v>
      </c>
      <c r="I34" s="49">
        <f>$B34*H36</f>
        <v>0</v>
      </c>
      <c r="J34" s="47"/>
      <c r="K34" s="47"/>
      <c r="L34" s="49" t="s">
        <v>20</v>
      </c>
      <c r="M34" s="64">
        <f>B34^2+4*B35</f>
        <v>-12.147101698502183</v>
      </c>
      <c r="N34" s="91"/>
      <c r="O34" s="91"/>
      <c r="P34" s="91"/>
    </row>
    <row r="35" spans="1:16" ht="15.75">
      <c r="A35" s="48" t="s">
        <v>29</v>
      </c>
      <c r="B35" s="75">
        <f>-I28/G31</f>
        <v>-20.593146007131452</v>
      </c>
      <c r="C35" s="103"/>
      <c r="D35" s="97"/>
      <c r="E35" s="98">
        <f>$B35*C36</f>
        <v>0</v>
      </c>
      <c r="F35" s="98">
        <f>$B35*D36</f>
        <v>0</v>
      </c>
      <c r="G35" s="98">
        <f>$B35*E36</f>
        <v>0</v>
      </c>
      <c r="H35" s="98">
        <f>$B35*F36</f>
        <v>0</v>
      </c>
      <c r="I35" s="98">
        <f>$B35*G36</f>
        <v>-20.593146007131452</v>
      </c>
      <c r="J35" s="47"/>
      <c r="K35" s="47"/>
      <c r="L35" s="49" t="s">
        <v>22</v>
      </c>
      <c r="M35" s="48">
        <f>IF(M34&lt;0,B34/2,(B34+SQRT(M34))/2)</f>
        <v>4.190032288957438</v>
      </c>
      <c r="N35" s="49" t="s">
        <v>30</v>
      </c>
      <c r="O35" s="49">
        <f>IF(M34&lt;0,SQRT(ABS(M34))/2,"")</f>
        <v>1.7426346216650082</v>
      </c>
      <c r="P35" s="49" t="str">
        <f>IF(M34&lt;0,"i","")</f>
        <v>i</v>
      </c>
    </row>
    <row r="36" spans="1:16" ht="15.75">
      <c r="A36" s="49" t="s">
        <v>23</v>
      </c>
      <c r="B36" s="67">
        <f>SQRT(SUMSQ(B34:B35))</f>
        <v>22.23292928970579</v>
      </c>
      <c r="C36" s="67">
        <f t="shared" ref="C36:I36" si="11">SUM(C33:C35)</f>
        <v>0</v>
      </c>
      <c r="D36" s="67">
        <f t="shared" si="11"/>
        <v>0</v>
      </c>
      <c r="E36" s="67">
        <f t="shared" si="11"/>
        <v>0</v>
      </c>
      <c r="F36" s="67">
        <f t="shared" si="11"/>
        <v>0</v>
      </c>
      <c r="G36" s="67">
        <f t="shared" si="11"/>
        <v>1</v>
      </c>
      <c r="H36" s="100">
        <f t="shared" si="11"/>
        <v>0</v>
      </c>
      <c r="I36" s="100">
        <f t="shared" si="11"/>
        <v>0</v>
      </c>
      <c r="J36" s="49">
        <f>ABS(B36-B31)</f>
        <v>21.23292928970579</v>
      </c>
      <c r="K36" s="48">
        <f>ABS(J36/B36)*100</f>
        <v>95.502167136999731</v>
      </c>
      <c r="L36" s="49" t="s">
        <v>24</v>
      </c>
      <c r="M36" s="48">
        <f>IF(M34&lt;0,M35,(B34-SQRT(M34))/2)</f>
        <v>4.190032288957438</v>
      </c>
      <c r="N36" s="104" t="s">
        <v>30</v>
      </c>
      <c r="O36" s="49">
        <f>IF(M34&lt;0,-O35,"")</f>
        <v>-1.7426346216650082</v>
      </c>
      <c r="P36" s="104" t="s">
        <v>25</v>
      </c>
    </row>
    <row r="37" spans="1:16" ht="15.75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91"/>
      <c r="M37" s="91"/>
      <c r="N37" s="91"/>
      <c r="O37" s="91"/>
      <c r="P37" s="91"/>
    </row>
    <row r="38" spans="1:16" ht="15.75">
      <c r="A38" s="47"/>
      <c r="B38" s="53" t="s">
        <v>31</v>
      </c>
      <c r="C38" s="92">
        <f t="shared" ref="C38:I38" si="12">C33</f>
        <v>0</v>
      </c>
      <c r="D38" s="75">
        <f t="shared" si="12"/>
        <v>0</v>
      </c>
      <c r="E38" s="93">
        <f t="shared" si="12"/>
        <v>0</v>
      </c>
      <c r="F38" s="93">
        <f t="shared" si="12"/>
        <v>0</v>
      </c>
      <c r="G38" s="93">
        <f t="shared" si="12"/>
        <v>1</v>
      </c>
      <c r="H38" s="93">
        <f t="shared" si="12"/>
        <v>-8.3800645779148759</v>
      </c>
      <c r="I38" s="93">
        <f t="shared" si="12"/>
        <v>20.593146007131452</v>
      </c>
      <c r="J38" s="47"/>
      <c r="K38" s="47"/>
      <c r="L38" s="91"/>
      <c r="M38" s="91"/>
      <c r="N38" s="91"/>
      <c r="O38" s="91"/>
      <c r="P38" s="91"/>
    </row>
    <row r="39" spans="1:16" ht="15.75">
      <c r="A39" s="48" t="s">
        <v>19</v>
      </c>
      <c r="B39" s="80">
        <f>-(H33+B40*F36)/G36</f>
        <v>8.3800645779148759</v>
      </c>
      <c r="C39" s="47"/>
      <c r="D39" s="48">
        <f>$B39*C41</f>
        <v>0</v>
      </c>
      <c r="E39" s="49">
        <f>$B39*D41</f>
        <v>0</v>
      </c>
      <c r="F39" s="49">
        <f>$B39*E41</f>
        <v>0</v>
      </c>
      <c r="G39" s="49">
        <f>$B39*F41</f>
        <v>0</v>
      </c>
      <c r="H39" s="49">
        <f>$B39*G41</f>
        <v>8.3800645779148759</v>
      </c>
      <c r="I39" s="49">
        <f>$B39*H41</f>
        <v>0</v>
      </c>
      <c r="J39" s="47"/>
      <c r="K39" s="47"/>
      <c r="L39" s="49" t="s">
        <v>20</v>
      </c>
      <c r="M39" s="64">
        <f>B39^2+4*B40</f>
        <v>-12.147101698502183</v>
      </c>
      <c r="N39" s="91"/>
      <c r="O39" s="91"/>
      <c r="P39" s="91"/>
    </row>
    <row r="40" spans="1:16" ht="15.75">
      <c r="A40" s="48" t="s">
        <v>21</v>
      </c>
      <c r="B40" s="75">
        <f>-I33/G36</f>
        <v>-20.593146007131452</v>
      </c>
      <c r="C40" s="103"/>
      <c r="D40" s="97"/>
      <c r="E40" s="98">
        <f>$B40*C41</f>
        <v>0</v>
      </c>
      <c r="F40" s="98">
        <f>$B40*D41</f>
        <v>0</v>
      </c>
      <c r="G40" s="98">
        <f>$B40*E41</f>
        <v>0</v>
      </c>
      <c r="H40" s="98">
        <f>$B40*F41</f>
        <v>0</v>
      </c>
      <c r="I40" s="98">
        <f>$B40*G41</f>
        <v>-20.593146007131452</v>
      </c>
      <c r="J40" s="47"/>
      <c r="K40" s="47"/>
      <c r="L40" s="49" t="s">
        <v>22</v>
      </c>
      <c r="M40" s="48">
        <f>IF(M39&lt;0,B39/2,(B39+SQRT(M39))/2)</f>
        <v>4.190032288957438</v>
      </c>
      <c r="N40" s="49" t="s">
        <v>30</v>
      </c>
      <c r="O40" s="49">
        <f>IF(M39&lt;0,SQRT(ABS(M39))/2,"")</f>
        <v>1.7426346216650082</v>
      </c>
      <c r="P40" s="49" t="str">
        <f>IF(M39&lt;0,"i","")</f>
        <v>i</v>
      </c>
    </row>
    <row r="41" spans="1:16" ht="15.75">
      <c r="A41" s="48" t="s">
        <v>23</v>
      </c>
      <c r="B41" s="67">
        <f>SQRT(SUMSQ(B39:B40))</f>
        <v>22.23292928970579</v>
      </c>
      <c r="C41" s="67">
        <f t="shared" ref="C41:I41" si="13">SUM(C38:C40)</f>
        <v>0</v>
      </c>
      <c r="D41" s="84">
        <f t="shared" si="13"/>
        <v>0</v>
      </c>
      <c r="E41" s="67">
        <f t="shared" si="13"/>
        <v>0</v>
      </c>
      <c r="F41" s="67">
        <f t="shared" si="13"/>
        <v>0</v>
      </c>
      <c r="G41" s="67">
        <f t="shared" si="13"/>
        <v>1</v>
      </c>
      <c r="H41" s="100">
        <f t="shared" si="13"/>
        <v>0</v>
      </c>
      <c r="I41" s="100">
        <f t="shared" si="13"/>
        <v>0</v>
      </c>
      <c r="J41" s="105">
        <f>ABS(B41-B36)</f>
        <v>0</v>
      </c>
      <c r="K41" s="48">
        <f>ABS(J41/B41)*100</f>
        <v>0</v>
      </c>
      <c r="L41" s="49" t="s">
        <v>24</v>
      </c>
      <c r="M41" s="48">
        <f>IF(M39&lt;0,M40,(B39-SQRT(M39))/2)</f>
        <v>4.190032288957438</v>
      </c>
      <c r="N41" s="104" t="s">
        <v>30</v>
      </c>
      <c r="O41" s="49">
        <f>IF(M39&lt;0,-O40,"")</f>
        <v>-1.7426346216650082</v>
      </c>
      <c r="P41" s="104" t="s">
        <v>25</v>
      </c>
    </row>
    <row r="42" spans="1:16" ht="15.75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91"/>
      <c r="M42" s="91"/>
      <c r="N42" s="91"/>
      <c r="O42" s="91"/>
      <c r="P42" s="91"/>
    </row>
    <row r="43" spans="1:16" ht="15.75">
      <c r="A43" s="47"/>
      <c r="B43" s="53" t="s">
        <v>32</v>
      </c>
      <c r="C43" s="92">
        <f t="shared" ref="C43:I43" si="14">C38</f>
        <v>0</v>
      </c>
      <c r="D43" s="106">
        <f t="shared" si="14"/>
        <v>0</v>
      </c>
      <c r="E43" s="106">
        <f t="shared" si="14"/>
        <v>0</v>
      </c>
      <c r="F43" s="106">
        <f t="shared" si="14"/>
        <v>0</v>
      </c>
      <c r="G43" s="106">
        <f t="shared" si="14"/>
        <v>1</v>
      </c>
      <c r="H43" s="106">
        <f t="shared" si="14"/>
        <v>-8.3800645779148759</v>
      </c>
      <c r="I43" s="106">
        <f t="shared" si="14"/>
        <v>20.593146007131452</v>
      </c>
      <c r="J43" s="47"/>
      <c r="K43" s="47"/>
      <c r="L43" s="91"/>
      <c r="M43" s="91"/>
      <c r="N43" s="91"/>
      <c r="O43" s="91"/>
      <c r="P43" s="91"/>
    </row>
    <row r="44" spans="1:16" ht="15.75">
      <c r="A44" s="49" t="s">
        <v>28</v>
      </c>
      <c r="B44" s="74">
        <f>-(H38+B45*F41)/G41</f>
        <v>8.3800645779148759</v>
      </c>
      <c r="C44" s="47"/>
      <c r="D44" s="49">
        <f>$B44*C46</f>
        <v>0</v>
      </c>
      <c r="E44" s="96">
        <f>$B44*D46</f>
        <v>0</v>
      </c>
      <c r="F44" s="96">
        <f>$B44*E46</f>
        <v>0</v>
      </c>
      <c r="G44" s="96">
        <f>$B44*F46</f>
        <v>0</v>
      </c>
      <c r="H44" s="96">
        <f>$B44*G46</f>
        <v>8.3800645779148759</v>
      </c>
      <c r="I44" s="96">
        <f>$B44*H46</f>
        <v>0</v>
      </c>
      <c r="J44" s="47"/>
      <c r="K44" s="47"/>
      <c r="L44" s="49" t="s">
        <v>20</v>
      </c>
      <c r="M44" s="64">
        <f>B44^2+4*B45</f>
        <v>-12.147101698502183</v>
      </c>
      <c r="N44" s="91"/>
      <c r="O44" s="91"/>
      <c r="P44" s="91"/>
    </row>
    <row r="45" spans="1:16" ht="15.75">
      <c r="A45" s="49" t="s">
        <v>29</v>
      </c>
      <c r="B45" s="75">
        <f>-I38/G41</f>
        <v>-20.593146007131452</v>
      </c>
      <c r="C45" s="103"/>
      <c r="D45" s="97"/>
      <c r="E45" s="98">
        <f>$B45*C46</f>
        <v>0</v>
      </c>
      <c r="F45" s="98">
        <f>$B45*D46</f>
        <v>0</v>
      </c>
      <c r="G45" s="98">
        <f>$B45*E46</f>
        <v>0</v>
      </c>
      <c r="H45" s="98">
        <f>$B45*F46</f>
        <v>0</v>
      </c>
      <c r="I45" s="98">
        <f>$B45*G46</f>
        <v>-20.593146007131452</v>
      </c>
      <c r="J45" s="47"/>
      <c r="K45" s="47"/>
      <c r="L45" s="49" t="s">
        <v>22</v>
      </c>
      <c r="M45" s="48">
        <f>IF(M44&lt;0,B44/2,(B44+SQRT(M44))/2)</f>
        <v>4.190032288957438</v>
      </c>
      <c r="N45" s="49" t="s">
        <v>30</v>
      </c>
      <c r="O45" s="49">
        <f>IF(M44&lt;0,SQRT(ABS(M44))/2,"")</f>
        <v>1.7426346216650082</v>
      </c>
      <c r="P45" s="49" t="str">
        <f>IF(M44&lt;0,"i","")</f>
        <v>i</v>
      </c>
    </row>
    <row r="46" spans="1:16" ht="15.75">
      <c r="A46" s="49" t="s">
        <v>23</v>
      </c>
      <c r="B46" s="84">
        <f>SQRT(SUMSQ(B44:B45))</f>
        <v>22.23292928970579</v>
      </c>
      <c r="C46" s="67">
        <f t="shared" ref="C46:I46" si="15">SUM(C43:C45)</f>
        <v>0</v>
      </c>
      <c r="D46" s="67">
        <f t="shared" si="15"/>
        <v>0</v>
      </c>
      <c r="E46" s="99">
        <f t="shared" si="15"/>
        <v>0</v>
      </c>
      <c r="F46" s="67">
        <f t="shared" si="15"/>
        <v>0</v>
      </c>
      <c r="G46" s="67">
        <f t="shared" si="15"/>
        <v>1</v>
      </c>
      <c r="H46" s="100">
        <f t="shared" si="15"/>
        <v>0</v>
      </c>
      <c r="I46" s="107">
        <f t="shared" si="15"/>
        <v>0</v>
      </c>
      <c r="J46" s="49">
        <f>ABS(B46-B41)</f>
        <v>0</v>
      </c>
      <c r="K46" s="49">
        <f>ABS(J46/B46)*100</f>
        <v>0</v>
      </c>
      <c r="L46" s="105" t="s">
        <v>24</v>
      </c>
      <c r="M46" s="48">
        <f>IF(M44&lt;0,M45,(B44-SQRT(M44))/2)</f>
        <v>4.190032288957438</v>
      </c>
      <c r="N46" s="104" t="s">
        <v>30</v>
      </c>
      <c r="O46" s="49">
        <f>IF(M44&lt;0,-O45,"")</f>
        <v>-1.7426346216650082</v>
      </c>
      <c r="P46" s="104" t="s">
        <v>25</v>
      </c>
    </row>
    <row r="47" spans="1:16" ht="15.75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91"/>
      <c r="M47" s="91"/>
      <c r="N47" s="91"/>
      <c r="O47" s="91"/>
      <c r="P47" s="91"/>
    </row>
    <row r="48" spans="1:16" ht="15.75">
      <c r="A48" s="47"/>
      <c r="B48" s="53" t="s">
        <v>33</v>
      </c>
      <c r="C48" s="92">
        <f t="shared" ref="C48:I48" si="16">C43</f>
        <v>0</v>
      </c>
      <c r="D48" s="106">
        <f t="shared" si="16"/>
        <v>0</v>
      </c>
      <c r="E48" s="106">
        <f t="shared" si="16"/>
        <v>0</v>
      </c>
      <c r="F48" s="106">
        <f t="shared" si="16"/>
        <v>0</v>
      </c>
      <c r="G48" s="106">
        <f t="shared" si="16"/>
        <v>1</v>
      </c>
      <c r="H48" s="106">
        <f t="shared" si="16"/>
        <v>-8.3800645779148759</v>
      </c>
      <c r="I48" s="106">
        <f t="shared" si="16"/>
        <v>20.593146007131452</v>
      </c>
      <c r="J48" s="47"/>
      <c r="K48" s="47"/>
      <c r="L48" s="91"/>
      <c r="M48" s="91"/>
      <c r="N48" s="91"/>
      <c r="O48" s="91"/>
      <c r="P48" s="91"/>
    </row>
    <row r="49" spans="1:16" ht="15.75">
      <c r="A49" s="49" t="s">
        <v>28</v>
      </c>
      <c r="B49" s="74">
        <f>-(H43+B50*F46)/G46</f>
        <v>8.3800645779148759</v>
      </c>
      <c r="C49" s="47"/>
      <c r="D49" s="49">
        <f>$B49*C51</f>
        <v>0</v>
      </c>
      <c r="E49" s="96">
        <f>$B49*D51</f>
        <v>0</v>
      </c>
      <c r="F49" s="96">
        <f>$B49*E51</f>
        <v>0</v>
      </c>
      <c r="G49" s="96">
        <f>$B49*F51</f>
        <v>0</v>
      </c>
      <c r="H49" s="96">
        <f>$B49*G51</f>
        <v>8.3800645779148759</v>
      </c>
      <c r="I49" s="96">
        <f>$B49*H51</f>
        <v>0</v>
      </c>
      <c r="J49" s="47"/>
      <c r="K49" s="47"/>
      <c r="L49" s="48" t="s">
        <v>20</v>
      </c>
      <c r="M49" s="64">
        <f>B49^2+4*B50</f>
        <v>-12.147101698502183</v>
      </c>
      <c r="N49" s="91"/>
      <c r="O49" s="91"/>
      <c r="P49" s="91"/>
    </row>
    <row r="50" spans="1:16" ht="15.75">
      <c r="A50" s="49" t="s">
        <v>29</v>
      </c>
      <c r="B50" s="75">
        <f>-I43/G46</f>
        <v>-20.593146007131452</v>
      </c>
      <c r="C50" s="103"/>
      <c r="D50" s="97"/>
      <c r="E50" s="98">
        <f>$B50*C51</f>
        <v>0</v>
      </c>
      <c r="F50" s="98">
        <f>$B50*D51</f>
        <v>0</v>
      </c>
      <c r="G50" s="98">
        <f>$B50*E51</f>
        <v>0</v>
      </c>
      <c r="H50" s="98">
        <f>$B50*F51</f>
        <v>0</v>
      </c>
      <c r="I50" s="98">
        <f>$B50*G51</f>
        <v>-20.593146007131452</v>
      </c>
      <c r="J50" s="47"/>
      <c r="K50" s="47"/>
      <c r="L50" s="49" t="s">
        <v>22</v>
      </c>
      <c r="M50" s="84">
        <f>IF(M49&lt;0,B49/2,(B49+SQRT(M49))/2)</f>
        <v>4.190032288957438</v>
      </c>
      <c r="N50" s="49" t="s">
        <v>30</v>
      </c>
      <c r="O50" s="49">
        <f>IF(M49&lt;0,SQRT(ABS(M49))/2,"")</f>
        <v>1.7426346216650082</v>
      </c>
      <c r="P50" s="49" t="str">
        <f>IF(M49&lt;0,"i","")</f>
        <v>i</v>
      </c>
    </row>
    <row r="51" spans="1:16" ht="15.75">
      <c r="A51" s="49" t="s">
        <v>23</v>
      </c>
      <c r="B51" s="84">
        <f>SQRT(SUMSQ(B49:B50))</f>
        <v>22.23292928970579</v>
      </c>
      <c r="C51" s="67">
        <f t="shared" ref="C51:I51" si="17">SUM(C48:C50)</f>
        <v>0</v>
      </c>
      <c r="D51" s="67">
        <f t="shared" si="17"/>
        <v>0</v>
      </c>
      <c r="E51" s="67">
        <f t="shared" si="17"/>
        <v>0</v>
      </c>
      <c r="F51" s="67">
        <f t="shared" si="17"/>
        <v>0</v>
      </c>
      <c r="G51" s="67">
        <f t="shared" si="17"/>
        <v>1</v>
      </c>
      <c r="H51" s="100">
        <f t="shared" si="17"/>
        <v>0</v>
      </c>
      <c r="I51" s="100">
        <f t="shared" si="17"/>
        <v>0</v>
      </c>
      <c r="J51" s="49">
        <f>ABS(B51-B46)</f>
        <v>0</v>
      </c>
      <c r="K51" s="49">
        <f>ABS(J51/B51)*100</f>
        <v>0</v>
      </c>
      <c r="L51" s="105" t="s">
        <v>24</v>
      </c>
      <c r="M51" s="49">
        <f>IF(M49&lt;0,M50,(B49-SQRT(M49))/2)</f>
        <v>4.190032288957438</v>
      </c>
      <c r="N51" s="108" t="s">
        <v>30</v>
      </c>
      <c r="O51" s="67">
        <f>IF(M49&lt;0,-O50,"")</f>
        <v>-1.7426346216650082</v>
      </c>
      <c r="P51" s="108" t="s">
        <v>25</v>
      </c>
    </row>
  </sheetData>
  <conditionalFormatting sqref="B10">
    <cfRule type="expression" dxfId="125" priority="8">
      <formula>J10&lt;$J$2</formula>
    </cfRule>
  </conditionalFormatting>
  <conditionalFormatting sqref="B15">
    <cfRule type="expression" dxfId="124" priority="13">
      <formula>K15&lt;$K$2</formula>
    </cfRule>
    <cfRule type="expression" dxfId="123" priority="14">
      <formula>J15&lt;$J$2</formula>
    </cfRule>
  </conditionalFormatting>
  <conditionalFormatting sqref="B20">
    <cfRule type="expression" dxfId="122" priority="11">
      <formula>K20&lt;$K$2</formula>
    </cfRule>
    <cfRule type="expression" dxfId="121" priority="12">
      <formula>J20&lt;$J$2</formula>
    </cfRule>
  </conditionalFormatting>
  <conditionalFormatting sqref="B25">
    <cfRule type="expression" dxfId="120" priority="9">
      <formula>K25&lt;$K$2</formula>
    </cfRule>
    <cfRule type="expression" dxfId="119" priority="10">
      <formula>J25&lt;$J$2</formula>
    </cfRule>
  </conditionalFormatting>
  <conditionalFormatting sqref="B36">
    <cfRule type="expression" dxfId="118" priority="1">
      <formula>J36&lt;$J$2</formula>
    </cfRule>
  </conditionalFormatting>
  <conditionalFormatting sqref="B41">
    <cfRule type="expression" dxfId="117" priority="6">
      <formula>K41&lt;$K$2</formula>
    </cfRule>
    <cfRule type="expression" dxfId="116" priority="7">
      <formula>J41&lt;$J$2</formula>
    </cfRule>
  </conditionalFormatting>
  <conditionalFormatting sqref="B46">
    <cfRule type="expression" dxfId="115" priority="4">
      <formula>K46&lt;$K$2</formula>
    </cfRule>
    <cfRule type="expression" dxfId="114" priority="5">
      <formula>J46&lt;$J$2</formula>
    </cfRule>
  </conditionalFormatting>
  <conditionalFormatting sqref="B51">
    <cfRule type="expression" dxfId="113" priority="2">
      <formula>K51&lt;$K$2</formula>
    </cfRule>
    <cfRule type="expression" dxfId="112" priority="3">
      <formula>J51&lt;$J$2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78E4A-E87A-4FFC-B0FC-5436E64CE044}">
  <dimension ref="A1:K98"/>
  <sheetViews>
    <sheetView zoomScaleNormal="100" workbookViewId="0">
      <selection sqref="A1:K30"/>
    </sheetView>
  </sheetViews>
  <sheetFormatPr defaultColWidth="11.42578125" defaultRowHeight="14.45"/>
  <cols>
    <col min="1" max="1" width="19.140625" bestFit="1" customWidth="1"/>
    <col min="2" max="2" width="9.28515625" bestFit="1" customWidth="1"/>
    <col min="3" max="3" width="7.7109375" bestFit="1" customWidth="1"/>
    <col min="4" max="4" width="8.5703125" bestFit="1" customWidth="1"/>
    <col min="5" max="5" width="7.7109375" bestFit="1" customWidth="1"/>
    <col min="6" max="6" width="9.7109375" bestFit="1" customWidth="1"/>
    <col min="7" max="7" width="10.28515625" bestFit="1" customWidth="1"/>
    <col min="8" max="8" width="12.28515625" bestFit="1" customWidth="1"/>
    <col min="9" max="9" width="11.42578125" bestFit="1" customWidth="1"/>
    <col min="10" max="10" width="7.7109375" bestFit="1" customWidth="1"/>
    <col min="11" max="11" width="9" bestFit="1" customWidth="1"/>
    <col min="13" max="13" width="19.140625" bestFit="1" customWidth="1"/>
    <col min="14" max="14" width="11" bestFit="1" customWidth="1"/>
    <col min="15" max="15" width="7.7109375" bestFit="1" customWidth="1"/>
    <col min="16" max="16" width="8.5703125" bestFit="1" customWidth="1"/>
    <col min="17" max="17" width="7.7109375" bestFit="1" customWidth="1"/>
    <col min="18" max="18" width="9.7109375" bestFit="1" customWidth="1"/>
    <col min="19" max="19" width="10.28515625" bestFit="1" customWidth="1"/>
    <col min="20" max="20" width="12.28515625" bestFit="1" customWidth="1"/>
    <col min="21" max="21" width="11.42578125" bestFit="1" customWidth="1"/>
    <col min="22" max="22" width="7.7109375" bestFit="1" customWidth="1"/>
  </cols>
  <sheetData>
    <row r="1" spans="1:11" ht="15.6">
      <c r="A1" s="16" t="s">
        <v>0</v>
      </c>
      <c r="B1" s="29"/>
      <c r="C1" s="30" t="s">
        <v>1</v>
      </c>
      <c r="D1" s="30" t="s">
        <v>2</v>
      </c>
      <c r="E1" s="30" t="s">
        <v>3</v>
      </c>
      <c r="F1" s="30" t="s">
        <v>4</v>
      </c>
      <c r="G1" s="30" t="s">
        <v>5</v>
      </c>
      <c r="H1" s="30" t="s">
        <v>6</v>
      </c>
      <c r="I1" s="30" t="s">
        <v>7</v>
      </c>
      <c r="J1" s="32">
        <v>5.0000000000000001E-3</v>
      </c>
      <c r="K1" s="33"/>
    </row>
    <row r="2" spans="1:11" ht="15.6">
      <c r="A2" s="17"/>
      <c r="B2" s="25" t="s">
        <v>8</v>
      </c>
      <c r="C2" s="36">
        <v>0</v>
      </c>
      <c r="D2" s="31">
        <v>0</v>
      </c>
      <c r="E2" s="31">
        <v>0</v>
      </c>
      <c r="F2" s="31">
        <v>0</v>
      </c>
      <c r="G2" s="31">
        <v>0</v>
      </c>
      <c r="H2" s="31">
        <v>1</v>
      </c>
      <c r="I2" s="31">
        <v>1.2</v>
      </c>
      <c r="J2" s="18" t="s">
        <v>9</v>
      </c>
      <c r="K2" s="19" t="s">
        <v>10</v>
      </c>
    </row>
    <row r="3" spans="1:11" ht="15.6">
      <c r="A3" s="17"/>
      <c r="B3" s="37">
        <v>1.5</v>
      </c>
      <c r="C3" s="34"/>
      <c r="D3" s="2">
        <f t="shared" ref="D3:I3" si="0">$B3*C4</f>
        <v>0</v>
      </c>
      <c r="E3" s="2">
        <f t="shared" si="0"/>
        <v>0</v>
      </c>
      <c r="F3" s="2">
        <f t="shared" si="0"/>
        <v>0</v>
      </c>
      <c r="G3" s="2">
        <f t="shared" si="0"/>
        <v>0</v>
      </c>
      <c r="H3" s="2">
        <f t="shared" si="0"/>
        <v>0</v>
      </c>
      <c r="I3" s="2">
        <f t="shared" si="0"/>
        <v>1.5</v>
      </c>
      <c r="J3" s="5"/>
      <c r="K3" s="6"/>
    </row>
    <row r="4" spans="1:11" ht="15.6">
      <c r="B4" s="4"/>
      <c r="C4" s="20">
        <f>SUM(C2:C3)</f>
        <v>0</v>
      </c>
      <c r="D4" s="5">
        <f t="shared" ref="D4:I4" si="1">SUM(D2:D3)</f>
        <v>0</v>
      </c>
      <c r="E4" s="6">
        <f t="shared" si="1"/>
        <v>0</v>
      </c>
      <c r="F4" s="6">
        <f t="shared" si="1"/>
        <v>0</v>
      </c>
      <c r="G4" s="6">
        <f t="shared" si="1"/>
        <v>0</v>
      </c>
      <c r="H4" s="6">
        <f t="shared" si="1"/>
        <v>1</v>
      </c>
      <c r="I4" s="7">
        <f t="shared" si="1"/>
        <v>2.7</v>
      </c>
      <c r="J4" s="5"/>
      <c r="K4" s="6"/>
    </row>
    <row r="5" spans="1:11" ht="15.6" thickBot="1">
      <c r="C5" s="21"/>
      <c r="D5" s="22">
        <f>$B3*C6</f>
        <v>0</v>
      </c>
      <c r="E5" s="23">
        <f>$B3*D6</f>
        <v>0</v>
      </c>
      <c r="F5" s="23">
        <f>$B3*E6</f>
        <v>0</v>
      </c>
      <c r="G5" s="23">
        <f>$B3*F6</f>
        <v>0</v>
      </c>
      <c r="H5" s="24">
        <f>$B3*G6</f>
        <v>0</v>
      </c>
      <c r="I5" s="1"/>
      <c r="J5" s="6"/>
      <c r="K5" s="6"/>
    </row>
    <row r="6" spans="1:11" ht="15.6">
      <c r="C6" s="13">
        <f>SUM(C4:C5)</f>
        <v>0</v>
      </c>
      <c r="D6" s="13">
        <f t="shared" ref="D6:H6" si="2">SUM(D4:D5)</f>
        <v>0</v>
      </c>
      <c r="E6" s="13">
        <f t="shared" si="2"/>
        <v>0</v>
      </c>
      <c r="F6" s="13">
        <f t="shared" si="2"/>
        <v>0</v>
      </c>
      <c r="G6" s="13">
        <f t="shared" si="2"/>
        <v>0</v>
      </c>
      <c r="H6" s="8">
        <f t="shared" si="2"/>
        <v>1</v>
      </c>
      <c r="I6" s="9"/>
      <c r="J6" s="6"/>
      <c r="K6" s="5"/>
    </row>
    <row r="7" spans="1:11" ht="15">
      <c r="C7" s="9"/>
      <c r="D7" s="9"/>
      <c r="E7" s="9"/>
      <c r="F7" s="9"/>
      <c r="G7" s="9"/>
      <c r="H7" s="9"/>
      <c r="I7" s="9"/>
      <c r="J7" s="6"/>
      <c r="K7" s="5"/>
    </row>
    <row r="8" spans="1:11" ht="15">
      <c r="B8" s="25" t="s">
        <v>11</v>
      </c>
      <c r="C8" s="10">
        <f t="shared" ref="C8:I8" si="3">C2</f>
        <v>0</v>
      </c>
      <c r="D8" s="11">
        <f t="shared" si="3"/>
        <v>0</v>
      </c>
      <c r="E8" s="11">
        <f t="shared" si="3"/>
        <v>0</v>
      </c>
      <c r="F8" s="11">
        <f t="shared" si="3"/>
        <v>0</v>
      </c>
      <c r="G8" s="11">
        <f t="shared" si="3"/>
        <v>0</v>
      </c>
      <c r="H8" s="11">
        <f t="shared" si="3"/>
        <v>1</v>
      </c>
      <c r="I8" s="12">
        <f t="shared" si="3"/>
        <v>1.2</v>
      </c>
      <c r="J8" s="6"/>
      <c r="K8" s="5"/>
    </row>
    <row r="9" spans="1:11" ht="15">
      <c r="B9" s="12">
        <f>B3-I4/H6</f>
        <v>-1.2000000000000002</v>
      </c>
      <c r="C9" s="40"/>
      <c r="D9" s="6">
        <f t="shared" ref="D9:I9" si="4">$B9*C10</f>
        <v>0</v>
      </c>
      <c r="E9" s="6">
        <f>$B9*D10</f>
        <v>0</v>
      </c>
      <c r="F9" s="6">
        <f t="shared" si="4"/>
        <v>0</v>
      </c>
      <c r="G9" s="6">
        <f t="shared" si="4"/>
        <v>0</v>
      </c>
      <c r="H9" s="6">
        <f t="shared" si="4"/>
        <v>0</v>
      </c>
      <c r="I9" s="6">
        <f t="shared" si="4"/>
        <v>-1.2000000000000002</v>
      </c>
      <c r="J9" s="26">
        <f>ABS(B9-B3)</f>
        <v>2.7</v>
      </c>
      <c r="K9" s="6">
        <f xml:space="preserve"> ABS(J9/B9)*100</f>
        <v>225</v>
      </c>
    </row>
    <row r="10" spans="1:11" ht="15.6">
      <c r="B10" s="35"/>
      <c r="C10" s="26">
        <f t="shared" ref="C10:I10" si="5">SUM(C8:C9)</f>
        <v>0</v>
      </c>
      <c r="D10" s="13">
        <f t="shared" si="5"/>
        <v>0</v>
      </c>
      <c r="E10" s="13">
        <f t="shared" si="5"/>
        <v>0</v>
      </c>
      <c r="F10" s="13">
        <f>SUM(F8:F9)</f>
        <v>0</v>
      </c>
      <c r="G10" s="13">
        <f t="shared" si="5"/>
        <v>0</v>
      </c>
      <c r="H10" s="13">
        <f t="shared" si="5"/>
        <v>1</v>
      </c>
      <c r="I10" s="14">
        <f t="shared" si="5"/>
        <v>0</v>
      </c>
    </row>
    <row r="11" spans="1:11" ht="15.6" thickBot="1">
      <c r="B11" s="38"/>
      <c r="C11" s="42"/>
      <c r="D11" s="23">
        <f>$B9*C12</f>
        <v>0</v>
      </c>
      <c r="E11" s="23">
        <f>$B9*D12</f>
        <v>0</v>
      </c>
      <c r="F11" s="23">
        <f>$B9*E12</f>
        <v>0</v>
      </c>
      <c r="G11" s="23">
        <f>$B9*F12</f>
        <v>0</v>
      </c>
      <c r="H11" s="23">
        <f>$B9*G12</f>
        <v>0</v>
      </c>
      <c r="I11" s="39"/>
    </row>
    <row r="12" spans="1:11" ht="15.6">
      <c r="C12" s="13">
        <f t="shared" ref="C12:H12" si="6">SUM(C10:C11)</f>
        <v>0</v>
      </c>
      <c r="D12" s="13">
        <f t="shared" si="6"/>
        <v>0</v>
      </c>
      <c r="E12" s="13">
        <f t="shared" si="6"/>
        <v>0</v>
      </c>
      <c r="F12" s="13">
        <f t="shared" si="6"/>
        <v>0</v>
      </c>
      <c r="G12" s="13">
        <f t="shared" si="6"/>
        <v>0</v>
      </c>
      <c r="H12" s="8">
        <f t="shared" si="6"/>
        <v>1</v>
      </c>
    </row>
    <row r="14" spans="1:11" ht="15">
      <c r="B14" s="25" t="s">
        <v>12</v>
      </c>
      <c r="C14" s="27">
        <f t="shared" ref="C14:I14" si="7">C8</f>
        <v>0</v>
      </c>
      <c r="D14" s="28">
        <f t="shared" si="7"/>
        <v>0</v>
      </c>
      <c r="E14" s="28">
        <f t="shared" si="7"/>
        <v>0</v>
      </c>
      <c r="F14" s="28">
        <f t="shared" si="7"/>
        <v>0</v>
      </c>
      <c r="G14" s="28">
        <f t="shared" si="7"/>
        <v>0</v>
      </c>
      <c r="H14" s="28">
        <f t="shared" si="7"/>
        <v>1</v>
      </c>
      <c r="I14" s="28">
        <f t="shared" si="7"/>
        <v>1.2</v>
      </c>
    </row>
    <row r="15" spans="1:11" ht="15">
      <c r="B15" s="41">
        <f>B9-I10/H12</f>
        <v>-1.2000000000000002</v>
      </c>
      <c r="C15" s="5"/>
      <c r="D15" s="6">
        <f t="shared" ref="D15:I15" si="8">$B15*C16</f>
        <v>0</v>
      </c>
      <c r="E15" s="6">
        <f t="shared" si="8"/>
        <v>0</v>
      </c>
      <c r="F15" s="6">
        <f t="shared" si="8"/>
        <v>0</v>
      </c>
      <c r="G15" s="6">
        <f t="shared" si="8"/>
        <v>0</v>
      </c>
      <c r="H15" s="6">
        <f t="shared" si="8"/>
        <v>0</v>
      </c>
      <c r="I15" s="6">
        <f t="shared" si="8"/>
        <v>-1.2000000000000002</v>
      </c>
      <c r="J15" s="5">
        <f>ABS(B15-B9)</f>
        <v>0</v>
      </c>
      <c r="K15" s="6">
        <f xml:space="preserve"> ABS(J15/B15)*100</f>
        <v>0</v>
      </c>
    </row>
    <row r="16" spans="1:11" ht="15.6">
      <c r="B16" s="35"/>
      <c r="C16" s="26">
        <f t="shared" ref="C16:I16" si="9">SUM(C14:C15)</f>
        <v>0</v>
      </c>
      <c r="D16" s="13">
        <f t="shared" si="9"/>
        <v>0</v>
      </c>
      <c r="E16" s="13">
        <f t="shared" si="9"/>
        <v>0</v>
      </c>
      <c r="F16" s="13">
        <f t="shared" si="9"/>
        <v>0</v>
      </c>
      <c r="G16" s="13">
        <f t="shared" si="9"/>
        <v>0</v>
      </c>
      <c r="H16" s="13">
        <f t="shared" si="9"/>
        <v>1</v>
      </c>
      <c r="I16" s="14">
        <f t="shared" si="9"/>
        <v>0</v>
      </c>
    </row>
    <row r="17" spans="1:11" ht="15.6" thickBot="1">
      <c r="B17" s="38"/>
      <c r="C17" s="22"/>
      <c r="D17" s="23">
        <f>$B15*C18</f>
        <v>0</v>
      </c>
      <c r="E17" s="23">
        <f>$B15*D18</f>
        <v>0</v>
      </c>
      <c r="F17" s="23">
        <f>$B15*E18</f>
        <v>0</v>
      </c>
      <c r="G17" s="23">
        <f>$B15*F18</f>
        <v>0</v>
      </c>
      <c r="H17" s="23">
        <f>$B15*G18</f>
        <v>0</v>
      </c>
      <c r="I17" s="24"/>
    </row>
    <row r="18" spans="1:11" ht="15.6">
      <c r="C18" s="13">
        <f t="shared" ref="C18:H18" si="10">SUM(C16:C17)</f>
        <v>0</v>
      </c>
      <c r="D18" s="13">
        <f t="shared" si="10"/>
        <v>0</v>
      </c>
      <c r="E18" s="13">
        <f t="shared" si="10"/>
        <v>0</v>
      </c>
      <c r="F18" s="13">
        <f t="shared" si="10"/>
        <v>0</v>
      </c>
      <c r="G18" s="13">
        <f t="shared" si="10"/>
        <v>0</v>
      </c>
      <c r="H18" s="8">
        <f t="shared" si="10"/>
        <v>1</v>
      </c>
      <c r="I18" s="15"/>
    </row>
    <row r="20" spans="1:11" ht="15">
      <c r="B20" s="25" t="s">
        <v>13</v>
      </c>
      <c r="C20" s="27">
        <f t="shared" ref="C20:I20" si="11">C14</f>
        <v>0</v>
      </c>
      <c r="D20" s="28">
        <f t="shared" si="11"/>
        <v>0</v>
      </c>
      <c r="E20" s="28">
        <f t="shared" si="11"/>
        <v>0</v>
      </c>
      <c r="F20" s="28">
        <f t="shared" si="11"/>
        <v>0</v>
      </c>
      <c r="G20" s="28">
        <f t="shared" si="11"/>
        <v>0</v>
      </c>
      <c r="H20" s="28">
        <f t="shared" si="11"/>
        <v>1</v>
      </c>
      <c r="I20" s="28">
        <f t="shared" si="11"/>
        <v>1.2</v>
      </c>
      <c r="J20" s="15"/>
      <c r="K20" s="15"/>
    </row>
    <row r="21" spans="1:11" ht="15">
      <c r="B21" s="12">
        <f>B15-I16/H18</f>
        <v>-1.2000000000000002</v>
      </c>
      <c r="C21" s="20"/>
      <c r="D21" s="6">
        <f t="shared" ref="D21:I21" si="12">$B21*C22</f>
        <v>0</v>
      </c>
      <c r="E21" s="6">
        <f t="shared" si="12"/>
        <v>0</v>
      </c>
      <c r="F21" s="6">
        <f t="shared" si="12"/>
        <v>0</v>
      </c>
      <c r="G21" s="6">
        <f t="shared" si="12"/>
        <v>0</v>
      </c>
      <c r="H21" s="6">
        <f t="shared" si="12"/>
        <v>0</v>
      </c>
      <c r="I21" s="6">
        <f t="shared" si="12"/>
        <v>-1.2000000000000002</v>
      </c>
      <c r="J21" s="5">
        <f>ABS(B21-B15)</f>
        <v>0</v>
      </c>
      <c r="K21" s="6">
        <f xml:space="preserve"> ABS(J21/B21)*100</f>
        <v>0</v>
      </c>
    </row>
    <row r="22" spans="1:11" ht="15.6">
      <c r="B22" s="35"/>
      <c r="C22" s="26">
        <f t="shared" ref="C22:I22" si="13">SUM(C20:C21)</f>
        <v>0</v>
      </c>
      <c r="D22" s="13">
        <f t="shared" si="13"/>
        <v>0</v>
      </c>
      <c r="E22" s="13">
        <f t="shared" si="13"/>
        <v>0</v>
      </c>
      <c r="F22" s="13">
        <f t="shared" si="13"/>
        <v>0</v>
      </c>
      <c r="G22" s="13">
        <f t="shared" si="13"/>
        <v>0</v>
      </c>
      <c r="H22" s="13">
        <f t="shared" si="13"/>
        <v>1</v>
      </c>
      <c r="I22" s="14">
        <f t="shared" si="13"/>
        <v>0</v>
      </c>
      <c r="J22" s="15"/>
      <c r="K22" s="15"/>
    </row>
    <row r="23" spans="1:11" ht="15.6" thickBot="1">
      <c r="B23" s="38"/>
      <c r="C23" s="22"/>
      <c r="D23" s="23">
        <f>$B21*C24</f>
        <v>0</v>
      </c>
      <c r="E23" s="23">
        <f>$B21*D24</f>
        <v>0</v>
      </c>
      <c r="F23" s="23">
        <f>$B21*E24</f>
        <v>0</v>
      </c>
      <c r="G23" s="23">
        <f>$B21*F24</f>
        <v>0</v>
      </c>
      <c r="H23" s="23">
        <f>$B21*G24</f>
        <v>0</v>
      </c>
      <c r="I23" s="24"/>
      <c r="J23" s="15"/>
      <c r="K23" s="15"/>
    </row>
    <row r="24" spans="1:11" ht="15.6">
      <c r="C24" s="13">
        <f t="shared" ref="C24:H24" si="14">SUM(C22:C23)</f>
        <v>0</v>
      </c>
      <c r="D24" s="13">
        <f t="shared" si="14"/>
        <v>0</v>
      </c>
      <c r="E24" s="13">
        <f t="shared" si="14"/>
        <v>0</v>
      </c>
      <c r="F24" s="13">
        <f t="shared" si="14"/>
        <v>0</v>
      </c>
      <c r="G24" s="13">
        <f t="shared" si="14"/>
        <v>0</v>
      </c>
      <c r="H24" s="8">
        <f t="shared" si="14"/>
        <v>1</v>
      </c>
      <c r="I24" s="15"/>
      <c r="J24" s="15"/>
      <c r="K24" s="15"/>
    </row>
    <row r="26" spans="1:11" ht="15">
      <c r="B26" s="25" t="s">
        <v>14</v>
      </c>
      <c r="C26" s="27">
        <f t="shared" ref="C26:I26" si="15">C20</f>
        <v>0</v>
      </c>
      <c r="D26" s="28">
        <f t="shared" si="15"/>
        <v>0</v>
      </c>
      <c r="E26" s="28">
        <f t="shared" si="15"/>
        <v>0</v>
      </c>
      <c r="F26" s="28">
        <f t="shared" si="15"/>
        <v>0</v>
      </c>
      <c r="G26" s="28">
        <f t="shared" si="15"/>
        <v>0</v>
      </c>
      <c r="H26" s="28">
        <f t="shared" si="15"/>
        <v>1</v>
      </c>
      <c r="I26" s="28">
        <f t="shared" si="15"/>
        <v>1.2</v>
      </c>
      <c r="J26" s="15"/>
      <c r="K26" s="15"/>
    </row>
    <row r="27" spans="1:11" ht="15">
      <c r="B27" s="12">
        <f>B21-I22/H24</f>
        <v>-1.2000000000000002</v>
      </c>
      <c r="C27" s="20"/>
      <c r="D27" s="6">
        <f t="shared" ref="D27:I27" si="16">$B27*C28</f>
        <v>0</v>
      </c>
      <c r="E27" s="6">
        <f t="shared" si="16"/>
        <v>0</v>
      </c>
      <c r="F27" s="6">
        <f t="shared" si="16"/>
        <v>0</v>
      </c>
      <c r="G27" s="6">
        <f t="shared" si="16"/>
        <v>0</v>
      </c>
      <c r="H27" s="6">
        <f t="shared" si="16"/>
        <v>0</v>
      </c>
      <c r="I27" s="6">
        <f t="shared" si="16"/>
        <v>-1.2000000000000002</v>
      </c>
      <c r="J27" s="5">
        <f>ABS(B27-B21)</f>
        <v>0</v>
      </c>
      <c r="K27" s="6">
        <f xml:space="preserve"> ABS(J27/B27)*100</f>
        <v>0</v>
      </c>
    </row>
    <row r="28" spans="1:11" ht="15.6">
      <c r="B28" s="35"/>
      <c r="C28" s="26">
        <f t="shared" ref="C28:I28" si="17">SUM(C26:C27)</f>
        <v>0</v>
      </c>
      <c r="D28" s="13">
        <f t="shared" si="17"/>
        <v>0</v>
      </c>
      <c r="E28" s="13">
        <f t="shared" si="17"/>
        <v>0</v>
      </c>
      <c r="F28" s="13">
        <f t="shared" si="17"/>
        <v>0</v>
      </c>
      <c r="G28" s="13">
        <f t="shared" si="17"/>
        <v>0</v>
      </c>
      <c r="H28" s="13">
        <f t="shared" si="17"/>
        <v>1</v>
      </c>
      <c r="I28" s="14">
        <f t="shared" si="17"/>
        <v>0</v>
      </c>
      <c r="J28" s="15"/>
      <c r="K28" s="15"/>
    </row>
    <row r="29" spans="1:11" ht="15.6" thickBot="1">
      <c r="B29" s="38"/>
      <c r="C29" s="22"/>
      <c r="D29" s="23">
        <f>$B27*C30</f>
        <v>0</v>
      </c>
      <c r="E29" s="23">
        <f>$B27*D30</f>
        <v>0</v>
      </c>
      <c r="F29" s="23">
        <f>$B27*E30</f>
        <v>0</v>
      </c>
      <c r="G29" s="23">
        <f>$B27*F30</f>
        <v>0</v>
      </c>
      <c r="H29" s="23">
        <f>$B27*G30</f>
        <v>0</v>
      </c>
      <c r="I29" s="24"/>
      <c r="J29" s="15"/>
      <c r="K29" s="15"/>
    </row>
    <row r="30" spans="1:11" ht="15.6">
      <c r="C30" s="13">
        <f t="shared" ref="C30:H30" si="18">SUM(C28:C29)</f>
        <v>0</v>
      </c>
      <c r="D30" s="13">
        <f t="shared" si="18"/>
        <v>0</v>
      </c>
      <c r="E30" s="13">
        <f t="shared" si="18"/>
        <v>0</v>
      </c>
      <c r="F30" s="13">
        <f t="shared" si="18"/>
        <v>0</v>
      </c>
      <c r="G30" s="13">
        <f t="shared" si="18"/>
        <v>0</v>
      </c>
      <c r="H30" s="8">
        <f t="shared" si="18"/>
        <v>1</v>
      </c>
      <c r="I30" s="15"/>
      <c r="J30" s="15"/>
      <c r="K30" s="15"/>
    </row>
    <row r="32" spans="1:11" ht="15.6">
      <c r="A32" s="16" t="s">
        <v>0</v>
      </c>
      <c r="B32" s="29"/>
      <c r="C32" s="30" t="s">
        <v>1</v>
      </c>
      <c r="D32" s="30" t="s">
        <v>2</v>
      </c>
      <c r="E32" s="30" t="s">
        <v>3</v>
      </c>
      <c r="F32" s="30" t="s">
        <v>4</v>
      </c>
      <c r="G32" s="30" t="s">
        <v>5</v>
      </c>
      <c r="H32" s="30" t="s">
        <v>6</v>
      </c>
      <c r="I32" s="30" t="s">
        <v>7</v>
      </c>
      <c r="J32" s="32">
        <v>0.02</v>
      </c>
      <c r="K32" s="33"/>
    </row>
    <row r="33" spans="1:11" ht="15.6">
      <c r="A33" s="17"/>
      <c r="B33" s="25" t="s">
        <v>8</v>
      </c>
      <c r="C33" s="36">
        <v>0</v>
      </c>
      <c r="D33" s="31">
        <v>0</v>
      </c>
      <c r="E33" s="31">
        <v>0</v>
      </c>
      <c r="F33" s="31">
        <v>1</v>
      </c>
      <c r="G33" s="31">
        <v>1.2</v>
      </c>
      <c r="H33" s="31">
        <v>-4</v>
      </c>
      <c r="I33" s="31">
        <v>-4.8</v>
      </c>
      <c r="J33" s="18" t="s">
        <v>9</v>
      </c>
      <c r="K33" s="19" t="s">
        <v>10</v>
      </c>
    </row>
    <row r="34" spans="1:11" ht="15.6">
      <c r="A34" s="17"/>
      <c r="B34" s="37">
        <v>-1</v>
      </c>
      <c r="C34" s="34"/>
      <c r="D34" s="2">
        <f t="shared" ref="D34:I34" si="19">$B34*C35</f>
        <v>0</v>
      </c>
      <c r="E34" s="2">
        <f t="shared" si="19"/>
        <v>0</v>
      </c>
      <c r="F34" s="2">
        <f t="shared" si="19"/>
        <v>0</v>
      </c>
      <c r="G34" s="2">
        <f t="shared" si="19"/>
        <v>-1</v>
      </c>
      <c r="H34" s="2">
        <f t="shared" si="19"/>
        <v>-0.19999999999999996</v>
      </c>
      <c r="I34" s="2">
        <f t="shared" si="19"/>
        <v>4.2</v>
      </c>
      <c r="J34" s="5"/>
      <c r="K34" s="6"/>
    </row>
    <row r="35" spans="1:11" ht="15.6">
      <c r="B35" s="4"/>
      <c r="C35" s="20">
        <f>SUM(C33:C34)</f>
        <v>0</v>
      </c>
      <c r="D35" s="5">
        <f t="shared" ref="D35:I35" si="20">SUM(D33:D34)</f>
        <v>0</v>
      </c>
      <c r="E35" s="6">
        <f t="shared" si="20"/>
        <v>0</v>
      </c>
      <c r="F35" s="6">
        <f t="shared" si="20"/>
        <v>1</v>
      </c>
      <c r="G35" s="6">
        <f t="shared" si="20"/>
        <v>0.19999999999999996</v>
      </c>
      <c r="H35" s="6">
        <f t="shared" si="20"/>
        <v>-4.2</v>
      </c>
      <c r="I35" s="7">
        <f t="shared" si="20"/>
        <v>-0.59999999999999964</v>
      </c>
      <c r="J35" s="5"/>
      <c r="K35" s="6"/>
    </row>
    <row r="36" spans="1:11" ht="15.6" thickBot="1">
      <c r="C36" s="21"/>
      <c r="D36" s="22">
        <f>$B34*C37</f>
        <v>0</v>
      </c>
      <c r="E36" s="23">
        <f>$B34*D37</f>
        <v>0</v>
      </c>
      <c r="F36" s="23">
        <f>$B34*E37</f>
        <v>0</v>
      </c>
      <c r="G36" s="23">
        <f>$B34*F37</f>
        <v>-1</v>
      </c>
      <c r="H36" s="24">
        <f>$B34*G37</f>
        <v>0.8</v>
      </c>
      <c r="I36" s="1"/>
      <c r="J36" s="6"/>
      <c r="K36" s="6"/>
    </row>
    <row r="37" spans="1:11" ht="15.6">
      <c r="C37" s="13">
        <f>SUM(C35:C36)</f>
        <v>0</v>
      </c>
      <c r="D37" s="13">
        <f t="shared" ref="D37:H37" si="21">SUM(D35:D36)</f>
        <v>0</v>
      </c>
      <c r="E37" s="13">
        <f t="shared" si="21"/>
        <v>0</v>
      </c>
      <c r="F37" s="13">
        <f t="shared" si="21"/>
        <v>1</v>
      </c>
      <c r="G37" s="13">
        <f t="shared" si="21"/>
        <v>-0.8</v>
      </c>
      <c r="H37" s="8">
        <f t="shared" si="21"/>
        <v>-3.4000000000000004</v>
      </c>
      <c r="I37" s="9"/>
      <c r="J37" s="6"/>
      <c r="K37" s="5"/>
    </row>
    <row r="38" spans="1:11" ht="15">
      <c r="C38" s="9"/>
      <c r="D38" s="9"/>
      <c r="E38" s="9"/>
      <c r="F38" s="9"/>
      <c r="G38" s="9"/>
      <c r="H38" s="9"/>
      <c r="I38" s="9"/>
      <c r="J38" s="6"/>
      <c r="K38" s="5"/>
    </row>
    <row r="39" spans="1:11" ht="15">
      <c r="B39" s="25" t="s">
        <v>11</v>
      </c>
      <c r="C39" s="10">
        <f t="shared" ref="C39:I39" si="22">C33</f>
        <v>0</v>
      </c>
      <c r="D39" s="11">
        <f t="shared" si="22"/>
        <v>0</v>
      </c>
      <c r="E39" s="11">
        <f t="shared" si="22"/>
        <v>0</v>
      </c>
      <c r="F39" s="11">
        <f t="shared" si="22"/>
        <v>1</v>
      </c>
      <c r="G39" s="11">
        <f t="shared" si="22"/>
        <v>1.2</v>
      </c>
      <c r="H39" s="11">
        <f t="shared" si="22"/>
        <v>-4</v>
      </c>
      <c r="I39" s="12">
        <f t="shared" si="22"/>
        <v>-4.8</v>
      </c>
      <c r="J39" s="6"/>
      <c r="K39" s="5"/>
    </row>
    <row r="40" spans="1:11" ht="15">
      <c r="B40" s="12">
        <f>B34-I35/H37</f>
        <v>-1.1764705882352939</v>
      </c>
      <c r="C40" s="40"/>
      <c r="D40" s="6">
        <f t="shared" ref="D40:I40" si="23">$B40*C41</f>
        <v>0</v>
      </c>
      <c r="E40" s="6">
        <f>$B40*D41</f>
        <v>0</v>
      </c>
      <c r="F40" s="6">
        <f t="shared" si="23"/>
        <v>0</v>
      </c>
      <c r="G40" s="6">
        <f t="shared" si="23"/>
        <v>-1.1764705882352939</v>
      </c>
      <c r="H40" s="6">
        <f t="shared" si="23"/>
        <v>-2.7681660899654136E-2</v>
      </c>
      <c r="I40" s="6">
        <f t="shared" si="23"/>
        <v>4.7384490128231223</v>
      </c>
      <c r="J40" s="26">
        <f>ABS(B40-B34)</f>
        <v>0.17647058823529393</v>
      </c>
      <c r="K40" s="6">
        <f xml:space="preserve"> ABS(J40/B40)*100</f>
        <v>14.999999999999986</v>
      </c>
    </row>
    <row r="41" spans="1:11" ht="15.6">
      <c r="B41" s="35"/>
      <c r="C41" s="26">
        <f t="shared" ref="C41:I41" si="24">SUM(C39:C40)</f>
        <v>0</v>
      </c>
      <c r="D41" s="13">
        <f t="shared" si="24"/>
        <v>0</v>
      </c>
      <c r="E41" s="13">
        <f t="shared" si="24"/>
        <v>0</v>
      </c>
      <c r="F41" s="13">
        <f>SUM(F39:F40)</f>
        <v>1</v>
      </c>
      <c r="G41" s="13">
        <f t="shared" si="24"/>
        <v>2.3529411764706021E-2</v>
      </c>
      <c r="H41" s="13">
        <f t="shared" si="24"/>
        <v>-4.0276816608996544</v>
      </c>
      <c r="I41" s="14">
        <f t="shared" si="24"/>
        <v>-6.155098717687757E-2</v>
      </c>
    </row>
    <row r="42" spans="1:11" ht="15.6" thickBot="1">
      <c r="B42" s="38"/>
      <c r="C42" s="42"/>
      <c r="D42" s="23">
        <f>$B40*C43</f>
        <v>0</v>
      </c>
      <c r="E42" s="23">
        <f>$B40*D43</f>
        <v>0</v>
      </c>
      <c r="F42" s="23">
        <f>$B40*E43</f>
        <v>0</v>
      </c>
      <c r="G42" s="23">
        <f>$B40*F43</f>
        <v>-1.1764705882352939</v>
      </c>
      <c r="H42" s="23">
        <f>$B40*G43</f>
        <v>1.3564013840830444</v>
      </c>
      <c r="I42" s="39"/>
    </row>
    <row r="43" spans="1:11" ht="15.6">
      <c r="C43" s="13">
        <f t="shared" ref="C43:H43" si="25">SUM(C41:C42)</f>
        <v>0</v>
      </c>
      <c r="D43" s="13">
        <f t="shared" si="25"/>
        <v>0</v>
      </c>
      <c r="E43" s="13">
        <f t="shared" si="25"/>
        <v>0</v>
      </c>
      <c r="F43" s="13">
        <f t="shared" si="25"/>
        <v>1</v>
      </c>
      <c r="G43" s="13">
        <f t="shared" si="25"/>
        <v>-1.1529411764705879</v>
      </c>
      <c r="H43" s="8">
        <f t="shared" si="25"/>
        <v>-2.67128027681661</v>
      </c>
    </row>
    <row r="45" spans="1:11" ht="15">
      <c r="B45" s="25" t="s">
        <v>12</v>
      </c>
      <c r="C45" s="27">
        <f t="shared" ref="C45:I45" si="26">C39</f>
        <v>0</v>
      </c>
      <c r="D45" s="28">
        <f t="shared" si="26"/>
        <v>0</v>
      </c>
      <c r="E45" s="28">
        <f t="shared" si="26"/>
        <v>0</v>
      </c>
      <c r="F45" s="28">
        <f t="shared" si="26"/>
        <v>1</v>
      </c>
      <c r="G45" s="28">
        <f t="shared" si="26"/>
        <v>1.2</v>
      </c>
      <c r="H45" s="28">
        <f t="shared" si="26"/>
        <v>-4</v>
      </c>
      <c r="I45" s="28">
        <f t="shared" si="26"/>
        <v>-4.8</v>
      </c>
    </row>
    <row r="46" spans="1:11" ht="15">
      <c r="B46" s="41">
        <f>B40-I41/H43</f>
        <v>-1.1995123437976225</v>
      </c>
      <c r="C46" s="5"/>
      <c r="D46" s="6">
        <f t="shared" ref="D46:I46" si="27">$B46*C47</f>
        <v>0</v>
      </c>
      <c r="E46" s="6">
        <f t="shared" si="27"/>
        <v>0</v>
      </c>
      <c r="F46" s="6">
        <f t="shared" si="27"/>
        <v>0</v>
      </c>
      <c r="G46" s="6">
        <f t="shared" si="27"/>
        <v>-1.1995123437976225</v>
      </c>
      <c r="H46" s="6">
        <f t="shared" si="27"/>
        <v>-5.8494963428122409E-4</v>
      </c>
      <c r="I46" s="6">
        <f t="shared" si="27"/>
        <v>4.7987510294973106</v>
      </c>
      <c r="J46" s="5">
        <f>ABS(B46-B40)</f>
        <v>2.304175556232857E-2</v>
      </c>
      <c r="K46" s="6">
        <f xml:space="preserve"> ABS(J46/B46)*100</f>
        <v>1.9209269234678334</v>
      </c>
    </row>
    <row r="47" spans="1:11" ht="15.6">
      <c r="B47" s="35"/>
      <c r="C47" s="26">
        <f t="shared" ref="C47:I47" si="28">SUM(C45:C46)</f>
        <v>0</v>
      </c>
      <c r="D47" s="13">
        <f t="shared" si="28"/>
        <v>0</v>
      </c>
      <c r="E47" s="13">
        <f t="shared" si="28"/>
        <v>0</v>
      </c>
      <c r="F47" s="13">
        <f t="shared" si="28"/>
        <v>1</v>
      </c>
      <c r="G47" s="13">
        <f t="shared" si="28"/>
        <v>4.8765620237745111E-4</v>
      </c>
      <c r="H47" s="13">
        <f t="shared" si="28"/>
        <v>-4.0005849496342814</v>
      </c>
      <c r="I47" s="14">
        <f t="shared" si="28"/>
        <v>-1.2489705026892395E-3</v>
      </c>
    </row>
    <row r="48" spans="1:11" ht="15.6" thickBot="1">
      <c r="B48" s="38"/>
      <c r="C48" s="22"/>
      <c r="D48" s="23">
        <f>$B46*C49</f>
        <v>0</v>
      </c>
      <c r="E48" s="23">
        <f>$B46*D49</f>
        <v>0</v>
      </c>
      <c r="F48" s="23">
        <f>$B46*E49</f>
        <v>0</v>
      </c>
      <c r="G48" s="23">
        <f>$B46*F49</f>
        <v>-1.1995123437976225</v>
      </c>
      <c r="H48" s="23">
        <f>$B46*G49</f>
        <v>1.4382449132885846</v>
      </c>
      <c r="I48" s="24"/>
    </row>
    <row r="49" spans="1:11" ht="15.6">
      <c r="C49" s="13">
        <f t="shared" ref="C49:H49" si="29">SUM(C47:C48)</f>
        <v>0</v>
      </c>
      <c r="D49" s="13">
        <f t="shared" si="29"/>
        <v>0</v>
      </c>
      <c r="E49" s="13">
        <f t="shared" si="29"/>
        <v>0</v>
      </c>
      <c r="F49" s="13">
        <f t="shared" si="29"/>
        <v>1</v>
      </c>
      <c r="G49" s="13">
        <f t="shared" si="29"/>
        <v>-1.1990246875952451</v>
      </c>
      <c r="H49" s="8">
        <f t="shared" si="29"/>
        <v>-2.562340036345697</v>
      </c>
      <c r="I49" s="15"/>
    </row>
    <row r="51" spans="1:11" ht="15">
      <c r="B51" s="25" t="s">
        <v>13</v>
      </c>
      <c r="C51" s="27">
        <f t="shared" ref="C51:I51" si="30">C45</f>
        <v>0</v>
      </c>
      <c r="D51" s="28">
        <f t="shared" si="30"/>
        <v>0</v>
      </c>
      <c r="E51" s="28">
        <f t="shared" si="30"/>
        <v>0</v>
      </c>
      <c r="F51" s="28">
        <f t="shared" si="30"/>
        <v>1</v>
      </c>
      <c r="G51" s="28">
        <f t="shared" si="30"/>
        <v>1.2</v>
      </c>
      <c r="H51" s="28">
        <f t="shared" si="30"/>
        <v>-4</v>
      </c>
      <c r="I51" s="28">
        <f t="shared" si="30"/>
        <v>-4.8</v>
      </c>
      <c r="J51" s="15"/>
      <c r="K51" s="15"/>
    </row>
    <row r="52" spans="1:11" ht="15">
      <c r="B52" s="12">
        <f>B46-I47/H49</f>
        <v>-1.1999997773485849</v>
      </c>
      <c r="C52" s="20"/>
      <c r="D52" s="6">
        <f t="shared" ref="D52:I52" si="31">$B52*C53</f>
        <v>0</v>
      </c>
      <c r="E52" s="6">
        <f t="shared" si="31"/>
        <v>0</v>
      </c>
      <c r="F52" s="6">
        <f t="shared" si="31"/>
        <v>0</v>
      </c>
      <c r="G52" s="6">
        <f t="shared" si="31"/>
        <v>-1.1999997773485849</v>
      </c>
      <c r="H52" s="6">
        <f t="shared" si="31"/>
        <v>-2.6718164852559764E-7</v>
      </c>
      <c r="I52" s="6">
        <f t="shared" si="31"/>
        <v>4.7999994300122584</v>
      </c>
      <c r="J52" s="5">
        <f>ABS(B52-B46)</f>
        <v>4.874335509623684E-4</v>
      </c>
      <c r="K52" s="6">
        <f xml:space="preserve"> ABS(J52/B52)*100</f>
        <v>4.0619470116849452E-2</v>
      </c>
    </row>
    <row r="53" spans="1:11" ht="15.6">
      <c r="B53" s="35"/>
      <c r="C53" s="26">
        <f t="shared" ref="C53:I53" si="32">SUM(C51:C52)</f>
        <v>0</v>
      </c>
      <c r="D53" s="13">
        <f t="shared" si="32"/>
        <v>0</v>
      </c>
      <c r="E53" s="13">
        <f t="shared" si="32"/>
        <v>0</v>
      </c>
      <c r="F53" s="13">
        <f t="shared" si="32"/>
        <v>1</v>
      </c>
      <c r="G53" s="13">
        <f t="shared" si="32"/>
        <v>2.2265141508270858E-7</v>
      </c>
      <c r="H53" s="13">
        <f t="shared" si="32"/>
        <v>-4.0000002671816484</v>
      </c>
      <c r="I53" s="14">
        <f t="shared" si="32"/>
        <v>-5.6998774145000652E-7</v>
      </c>
      <c r="J53" s="15"/>
      <c r="K53" s="15"/>
    </row>
    <row r="54" spans="1:11" ht="15.6" thickBot="1">
      <c r="B54" s="38"/>
      <c r="C54" s="22"/>
      <c r="D54" s="23">
        <f>$B52*C55</f>
        <v>0</v>
      </c>
      <c r="E54" s="23">
        <f>$B52*D55</f>
        <v>0</v>
      </c>
      <c r="F54" s="23">
        <f>$B52*E55</f>
        <v>0</v>
      </c>
      <c r="G54" s="23">
        <f>$B52*F55</f>
        <v>-1.1999997773485849</v>
      </c>
      <c r="H54" s="23">
        <f>$B52*G55</f>
        <v>1.4399991984550047</v>
      </c>
      <c r="I54" s="24"/>
      <c r="J54" s="15"/>
      <c r="K54" s="15"/>
    </row>
    <row r="55" spans="1:11" ht="15.6">
      <c r="C55" s="13">
        <f t="shared" ref="C55:H55" si="33">SUM(C53:C54)</f>
        <v>0</v>
      </c>
      <c r="D55" s="13">
        <f t="shared" si="33"/>
        <v>0</v>
      </c>
      <c r="E55" s="13">
        <f t="shared" si="33"/>
        <v>0</v>
      </c>
      <c r="F55" s="13">
        <f t="shared" si="33"/>
        <v>1</v>
      </c>
      <c r="G55" s="13">
        <f t="shared" si="33"/>
        <v>-1.1999995546971698</v>
      </c>
      <c r="H55" s="8">
        <f t="shared" si="33"/>
        <v>-2.5600010687266437</v>
      </c>
      <c r="I55" s="15"/>
      <c r="J55" s="15"/>
      <c r="K55" s="15"/>
    </row>
    <row r="57" spans="1:11" ht="15">
      <c r="B57" s="25" t="s">
        <v>14</v>
      </c>
      <c r="C57" s="27">
        <f t="shared" ref="C57:I57" si="34">C51</f>
        <v>0</v>
      </c>
      <c r="D57" s="28">
        <f t="shared" si="34"/>
        <v>0</v>
      </c>
      <c r="E57" s="28">
        <f t="shared" si="34"/>
        <v>0</v>
      </c>
      <c r="F57" s="28">
        <f t="shared" si="34"/>
        <v>1</v>
      </c>
      <c r="G57" s="28">
        <f t="shared" si="34"/>
        <v>1.2</v>
      </c>
      <c r="H57" s="28">
        <f t="shared" si="34"/>
        <v>-4</v>
      </c>
      <c r="I57" s="28">
        <f t="shared" si="34"/>
        <v>-4.8</v>
      </c>
      <c r="J57" s="15"/>
      <c r="K57" s="15"/>
    </row>
    <row r="58" spans="1:11" ht="15">
      <c r="B58" s="12">
        <f>B52-I53/H55</f>
        <v>-1.1999999999999533</v>
      </c>
      <c r="C58" s="20"/>
      <c r="D58" s="6">
        <f t="shared" ref="D58:I58" si="35">$B58*C59</f>
        <v>0</v>
      </c>
      <c r="E58" s="6">
        <f t="shared" si="35"/>
        <v>0</v>
      </c>
      <c r="F58" s="6">
        <f t="shared" si="35"/>
        <v>0</v>
      </c>
      <c r="G58" s="6">
        <f t="shared" si="35"/>
        <v>-1.1999999999999533</v>
      </c>
      <c r="H58" s="6">
        <f t="shared" si="35"/>
        <v>-5.5955240441105712E-14</v>
      </c>
      <c r="I58" s="6">
        <f t="shared" si="35"/>
        <v>4.7999999999998808</v>
      </c>
      <c r="J58" s="5">
        <f>ABS(B58-B52)</f>
        <v>2.2265136845334155E-7</v>
      </c>
      <c r="K58" s="6">
        <f xml:space="preserve"> ABS(J58/B58)*100</f>
        <v>1.8554280704445852E-5</v>
      </c>
    </row>
    <row r="59" spans="1:11" ht="15.6">
      <c r="B59" s="35"/>
      <c r="C59" s="26">
        <f t="shared" ref="C59:I59" si="36">SUM(C57:C58)</f>
        <v>0</v>
      </c>
      <c r="D59" s="13">
        <f t="shared" si="36"/>
        <v>0</v>
      </c>
      <c r="E59" s="13">
        <f t="shared" si="36"/>
        <v>0</v>
      </c>
      <c r="F59" s="13">
        <f t="shared" si="36"/>
        <v>1</v>
      </c>
      <c r="G59" s="13">
        <f t="shared" si="36"/>
        <v>4.6629367034256575E-14</v>
      </c>
      <c r="H59" s="13">
        <f t="shared" si="36"/>
        <v>-4.000000000000056</v>
      </c>
      <c r="I59" s="14">
        <f t="shared" si="36"/>
        <v>-1.1901590823981678E-13</v>
      </c>
      <c r="J59" s="15"/>
      <c r="K59" s="15"/>
    </row>
    <row r="60" spans="1:11" ht="15.6" thickBot="1">
      <c r="B60" s="38"/>
      <c r="C60" s="22"/>
      <c r="D60" s="23">
        <f>$B58*C61</f>
        <v>0</v>
      </c>
      <c r="E60" s="23">
        <f>$B58*D61</f>
        <v>0</v>
      </c>
      <c r="F60" s="23">
        <f>$B58*E61</f>
        <v>0</v>
      </c>
      <c r="G60" s="23">
        <f>$B58*F61</f>
        <v>-1.1999999999999533</v>
      </c>
      <c r="H60" s="23">
        <f>$B58*G61</f>
        <v>1.4399999999998321</v>
      </c>
      <c r="I60" s="24"/>
      <c r="J60" s="15"/>
      <c r="K60" s="15"/>
    </row>
    <row r="61" spans="1:11" ht="15.6">
      <c r="C61" s="13">
        <f t="shared" ref="C61:H61" si="37">SUM(C59:C60)</f>
        <v>0</v>
      </c>
      <c r="D61" s="13">
        <f t="shared" si="37"/>
        <v>0</v>
      </c>
      <c r="E61" s="13">
        <f t="shared" si="37"/>
        <v>0</v>
      </c>
      <c r="F61" s="13">
        <f t="shared" si="37"/>
        <v>1</v>
      </c>
      <c r="G61" s="13">
        <f t="shared" si="37"/>
        <v>-1.1999999999999067</v>
      </c>
      <c r="H61" s="8">
        <f t="shared" si="37"/>
        <v>-2.5600000000002239</v>
      </c>
      <c r="I61" s="15"/>
      <c r="J61" s="15"/>
      <c r="K61" s="15"/>
    </row>
    <row r="63" spans="1:11" ht="15.6">
      <c r="A63" s="16" t="s">
        <v>0</v>
      </c>
      <c r="B63" s="29"/>
      <c r="C63" s="30" t="s">
        <v>1</v>
      </c>
      <c r="D63" s="30" t="s">
        <v>2</v>
      </c>
      <c r="E63" s="30" t="s">
        <v>3</v>
      </c>
      <c r="F63" s="30" t="s">
        <v>4</v>
      </c>
      <c r="G63" s="30" t="s">
        <v>5</v>
      </c>
      <c r="H63" s="30" t="s">
        <v>6</v>
      </c>
      <c r="I63" s="30" t="s">
        <v>7</v>
      </c>
      <c r="J63" s="32">
        <v>0.02</v>
      </c>
      <c r="K63" s="33"/>
    </row>
    <row r="64" spans="1:11" ht="15.6">
      <c r="A64" s="17"/>
      <c r="B64" s="25" t="s">
        <v>8</v>
      </c>
      <c r="C64" s="36">
        <v>0</v>
      </c>
      <c r="D64" s="31">
        <v>0</v>
      </c>
      <c r="E64" s="31">
        <v>0</v>
      </c>
      <c r="F64" s="31">
        <v>1</v>
      </c>
      <c r="G64" s="31">
        <v>1.2</v>
      </c>
      <c r="H64" s="31">
        <v>-4</v>
      </c>
      <c r="I64" s="31">
        <v>-4.8</v>
      </c>
      <c r="J64" s="18" t="s">
        <v>9</v>
      </c>
      <c r="K64" s="19" t="s">
        <v>10</v>
      </c>
    </row>
    <row r="65" spans="1:11" ht="15.6">
      <c r="A65" s="17"/>
      <c r="B65" s="37">
        <v>-1.8</v>
      </c>
      <c r="C65" s="34"/>
      <c r="D65" s="2">
        <f t="shared" ref="D65:I65" si="38">$B65*C66</f>
        <v>0</v>
      </c>
      <c r="E65" s="2">
        <f t="shared" si="38"/>
        <v>0</v>
      </c>
      <c r="F65" s="2">
        <f t="shared" si="38"/>
        <v>0</v>
      </c>
      <c r="G65" s="2">
        <f t="shared" si="38"/>
        <v>-1.8</v>
      </c>
      <c r="H65" s="2">
        <f t="shared" si="38"/>
        <v>1.0800000000000003</v>
      </c>
      <c r="I65" s="2">
        <f t="shared" si="38"/>
        <v>5.2560000000000002</v>
      </c>
      <c r="J65" s="5"/>
      <c r="K65" s="6"/>
    </row>
    <row r="66" spans="1:11" ht="15.6">
      <c r="B66" s="4"/>
      <c r="C66" s="20">
        <f>SUM(C64:C65)</f>
        <v>0</v>
      </c>
      <c r="D66" s="5">
        <f t="shared" ref="D66:I66" si="39">SUM(D64:D65)</f>
        <v>0</v>
      </c>
      <c r="E66" s="6">
        <f t="shared" si="39"/>
        <v>0</v>
      </c>
      <c r="F66" s="6">
        <f t="shared" si="39"/>
        <v>1</v>
      </c>
      <c r="G66" s="6">
        <f t="shared" si="39"/>
        <v>-0.60000000000000009</v>
      </c>
      <c r="H66" s="6">
        <f t="shared" si="39"/>
        <v>-2.92</v>
      </c>
      <c r="I66" s="7">
        <f t="shared" si="39"/>
        <v>0.45600000000000041</v>
      </c>
      <c r="J66" s="5"/>
      <c r="K66" s="6"/>
    </row>
    <row r="67" spans="1:11" ht="15.6" thickBot="1">
      <c r="C67" s="21"/>
      <c r="D67" s="22">
        <f>$B65*C68</f>
        <v>0</v>
      </c>
      <c r="E67" s="23">
        <f>$B65*D68</f>
        <v>0</v>
      </c>
      <c r="F67" s="23">
        <f>$B65*E68</f>
        <v>0</v>
      </c>
      <c r="G67" s="23">
        <f>$B65*F68</f>
        <v>-1.8</v>
      </c>
      <c r="H67" s="24">
        <f>$B65*G68</f>
        <v>4.3200000000000012</v>
      </c>
      <c r="I67" s="1"/>
      <c r="J67" s="6"/>
      <c r="K67" s="6"/>
    </row>
    <row r="68" spans="1:11" ht="15.6">
      <c r="C68" s="13">
        <f>SUM(C66:C67)</f>
        <v>0</v>
      </c>
      <c r="D68" s="13">
        <f t="shared" ref="D68:H68" si="40">SUM(D66:D67)</f>
        <v>0</v>
      </c>
      <c r="E68" s="13">
        <f t="shared" si="40"/>
        <v>0</v>
      </c>
      <c r="F68" s="13">
        <f t="shared" si="40"/>
        <v>1</v>
      </c>
      <c r="G68" s="13">
        <f t="shared" si="40"/>
        <v>-2.4000000000000004</v>
      </c>
      <c r="H68" s="8">
        <f t="shared" si="40"/>
        <v>1.4000000000000012</v>
      </c>
      <c r="I68" s="9"/>
      <c r="J68" s="6"/>
      <c r="K68" s="5"/>
    </row>
    <row r="69" spans="1:11" ht="15">
      <c r="C69" s="9"/>
      <c r="D69" s="9"/>
      <c r="E69" s="9"/>
      <c r="F69" s="9"/>
      <c r="G69" s="9"/>
      <c r="H69" s="9"/>
      <c r="I69" s="9"/>
      <c r="J69" s="6"/>
      <c r="K69" s="5"/>
    </row>
    <row r="70" spans="1:11" ht="15">
      <c r="B70" s="25" t="s">
        <v>11</v>
      </c>
      <c r="C70" s="10">
        <f t="shared" ref="C70:I70" si="41">C64</f>
        <v>0</v>
      </c>
      <c r="D70" s="11">
        <f t="shared" si="41"/>
        <v>0</v>
      </c>
      <c r="E70" s="11">
        <f t="shared" si="41"/>
        <v>0</v>
      </c>
      <c r="F70" s="11">
        <f t="shared" si="41"/>
        <v>1</v>
      </c>
      <c r="G70" s="11">
        <f t="shared" si="41"/>
        <v>1.2</v>
      </c>
      <c r="H70" s="11">
        <f t="shared" si="41"/>
        <v>-4</v>
      </c>
      <c r="I70" s="12">
        <f t="shared" si="41"/>
        <v>-4.8</v>
      </c>
      <c r="J70" s="6"/>
      <c r="K70" s="5"/>
    </row>
    <row r="71" spans="1:11" ht="15">
      <c r="B71" s="12">
        <f>B65-I66/H68</f>
        <v>-2.1257142857142859</v>
      </c>
      <c r="C71" s="40"/>
      <c r="D71" s="6">
        <f t="shared" ref="D71:I71" si="42">$B71*C72</f>
        <v>0</v>
      </c>
      <c r="E71" s="6">
        <f>$B71*D72</f>
        <v>0</v>
      </c>
      <c r="F71" s="6">
        <f t="shared" si="42"/>
        <v>0</v>
      </c>
      <c r="G71" s="6">
        <f t="shared" si="42"/>
        <v>-2.1257142857142859</v>
      </c>
      <c r="H71" s="6">
        <f t="shared" si="42"/>
        <v>1.9678040816326536</v>
      </c>
      <c r="I71" s="6">
        <f t="shared" si="42"/>
        <v>4.319867895043731</v>
      </c>
      <c r="J71" s="26">
        <f>ABS(B71-B65)</f>
        <v>0.32571428571428584</v>
      </c>
      <c r="K71" s="6">
        <f xml:space="preserve"> ABS(J71/B71)*100</f>
        <v>15.322580645161295</v>
      </c>
    </row>
    <row r="72" spans="1:11" ht="15.6">
      <c r="B72" s="35"/>
      <c r="C72" s="26">
        <f t="shared" ref="C72:I72" si="43">SUM(C70:C71)</f>
        <v>0</v>
      </c>
      <c r="D72" s="13">
        <f t="shared" si="43"/>
        <v>0</v>
      </c>
      <c r="E72" s="13">
        <f t="shared" si="43"/>
        <v>0</v>
      </c>
      <c r="F72" s="13">
        <f>SUM(F70:F71)</f>
        <v>1</v>
      </c>
      <c r="G72" s="13">
        <f t="shared" si="43"/>
        <v>-0.92571428571428593</v>
      </c>
      <c r="H72" s="13">
        <f t="shared" si="43"/>
        <v>-2.0321959183673464</v>
      </c>
      <c r="I72" s="14">
        <f t="shared" si="43"/>
        <v>-0.48013210495626879</v>
      </c>
    </row>
    <row r="73" spans="1:11" ht="15.6" thickBot="1">
      <c r="B73" s="38"/>
      <c r="C73" s="42"/>
      <c r="D73" s="23">
        <f>$B71*C74</f>
        <v>0</v>
      </c>
      <c r="E73" s="23">
        <f>$B71*D74</f>
        <v>0</v>
      </c>
      <c r="F73" s="23">
        <f>$B71*E74</f>
        <v>0</v>
      </c>
      <c r="G73" s="23">
        <f>$B71*F74</f>
        <v>-2.1257142857142859</v>
      </c>
      <c r="H73" s="23">
        <f>$B71*G74</f>
        <v>6.48646530612245</v>
      </c>
      <c r="I73" s="39"/>
    </row>
    <row r="74" spans="1:11" ht="15.6">
      <c r="C74" s="13">
        <f t="shared" ref="C74:H74" si="44">SUM(C72:C73)</f>
        <v>0</v>
      </c>
      <c r="D74" s="13">
        <f t="shared" si="44"/>
        <v>0</v>
      </c>
      <c r="E74" s="13">
        <f t="shared" si="44"/>
        <v>0</v>
      </c>
      <c r="F74" s="13">
        <f t="shared" si="44"/>
        <v>1</v>
      </c>
      <c r="G74" s="13">
        <f t="shared" si="44"/>
        <v>-3.0514285714285716</v>
      </c>
      <c r="H74" s="8">
        <f t="shared" si="44"/>
        <v>4.4542693877551036</v>
      </c>
    </row>
    <row r="76" spans="1:11" ht="15">
      <c r="B76" s="25" t="s">
        <v>12</v>
      </c>
      <c r="C76" s="27">
        <f t="shared" ref="C76:I76" si="45">C70</f>
        <v>0</v>
      </c>
      <c r="D76" s="28">
        <f t="shared" si="45"/>
        <v>0</v>
      </c>
      <c r="E76" s="28">
        <f t="shared" si="45"/>
        <v>0</v>
      </c>
      <c r="F76" s="28">
        <f t="shared" si="45"/>
        <v>1</v>
      </c>
      <c r="G76" s="28">
        <f t="shared" si="45"/>
        <v>1.2</v>
      </c>
      <c r="H76" s="28">
        <f t="shared" si="45"/>
        <v>-4</v>
      </c>
      <c r="I76" s="28">
        <f t="shared" si="45"/>
        <v>-4.8</v>
      </c>
    </row>
    <row r="77" spans="1:11" ht="15">
      <c r="B77" s="41">
        <f>B71-I72/H74</f>
        <v>-2.0179228471730597</v>
      </c>
      <c r="C77" s="5"/>
      <c r="D77" s="6">
        <f t="shared" ref="D77:I77" si="46">$B77*C78</f>
        <v>0</v>
      </c>
      <c r="E77" s="6">
        <f t="shared" si="46"/>
        <v>0</v>
      </c>
      <c r="F77" s="6">
        <f t="shared" si="46"/>
        <v>0</v>
      </c>
      <c r="G77" s="6">
        <f t="shared" si="46"/>
        <v>-2.0179228471730597</v>
      </c>
      <c r="H77" s="6">
        <f t="shared" si="46"/>
        <v>1.650505200535356</v>
      </c>
      <c r="I77" s="6">
        <f t="shared" si="46"/>
        <v>4.7410992351539907</v>
      </c>
      <c r="J77" s="5">
        <f>ABS(B77-B71)</f>
        <v>0.10779143854122619</v>
      </c>
      <c r="K77" s="6">
        <f xml:space="preserve"> ABS(J77/B77)*100</f>
        <v>5.3417026667909004</v>
      </c>
    </row>
    <row r="78" spans="1:11" ht="15.6">
      <c r="B78" s="35"/>
      <c r="C78" s="26">
        <f t="shared" ref="C78:I78" si="47">SUM(C76:C77)</f>
        <v>0</v>
      </c>
      <c r="D78" s="13">
        <f t="shared" si="47"/>
        <v>0</v>
      </c>
      <c r="E78" s="13">
        <f t="shared" si="47"/>
        <v>0</v>
      </c>
      <c r="F78" s="13">
        <f t="shared" si="47"/>
        <v>1</v>
      </c>
      <c r="G78" s="13">
        <f t="shared" si="47"/>
        <v>-0.81792284717305974</v>
      </c>
      <c r="H78" s="13">
        <f t="shared" si="47"/>
        <v>-2.3494947994646438</v>
      </c>
      <c r="I78" s="14">
        <f t="shared" si="47"/>
        <v>-5.8900764846009146E-2</v>
      </c>
    </row>
    <row r="79" spans="1:11" ht="15.6" thickBot="1">
      <c r="B79" s="38"/>
      <c r="C79" s="22"/>
      <c r="D79" s="23">
        <f>$B77*C80</f>
        <v>0</v>
      </c>
      <c r="E79" s="23">
        <f>$B77*D80</f>
        <v>0</v>
      </c>
      <c r="F79" s="23">
        <f>$B77*E80</f>
        <v>0</v>
      </c>
      <c r="G79" s="23">
        <f>$B77*F80</f>
        <v>-2.0179228471730597</v>
      </c>
      <c r="H79" s="23">
        <f>$B77*G80</f>
        <v>5.7225178176783835</v>
      </c>
      <c r="I79" s="24"/>
    </row>
    <row r="80" spans="1:11" ht="15.6">
      <c r="C80" s="13">
        <f t="shared" ref="C80:H80" si="48">SUM(C78:C79)</f>
        <v>0</v>
      </c>
      <c r="D80" s="13">
        <f t="shared" si="48"/>
        <v>0</v>
      </c>
      <c r="E80" s="13">
        <f t="shared" si="48"/>
        <v>0</v>
      </c>
      <c r="F80" s="13">
        <f t="shared" si="48"/>
        <v>1</v>
      </c>
      <c r="G80" s="13">
        <f t="shared" si="48"/>
        <v>-2.8358456943461192</v>
      </c>
      <c r="H80" s="8">
        <f t="shared" si="48"/>
        <v>3.3730230182137397</v>
      </c>
      <c r="I80" s="15"/>
    </row>
    <row r="82" spans="2:11" ht="15">
      <c r="B82" s="25" t="s">
        <v>13</v>
      </c>
      <c r="C82" s="27">
        <f t="shared" ref="C82:I82" si="49">C76</f>
        <v>0</v>
      </c>
      <c r="D82" s="28">
        <f t="shared" si="49"/>
        <v>0</v>
      </c>
      <c r="E82" s="28">
        <f t="shared" si="49"/>
        <v>0</v>
      </c>
      <c r="F82" s="28">
        <f t="shared" si="49"/>
        <v>1</v>
      </c>
      <c r="G82" s="28">
        <f t="shared" si="49"/>
        <v>1.2</v>
      </c>
      <c r="H82" s="28">
        <f t="shared" si="49"/>
        <v>-4</v>
      </c>
      <c r="I82" s="28">
        <f t="shared" si="49"/>
        <v>-4.8</v>
      </c>
      <c r="J82" s="15"/>
      <c r="K82" s="15"/>
    </row>
    <row r="83" spans="2:11" ht="15">
      <c r="B83" s="12">
        <f>B77-I78/H80</f>
        <v>-2.0004605397627766</v>
      </c>
      <c r="C83" s="20"/>
      <c r="D83" s="6">
        <f t="shared" ref="D83:I83" si="50">$B83*C84</f>
        <v>0</v>
      </c>
      <c r="E83" s="6">
        <f t="shared" si="50"/>
        <v>0</v>
      </c>
      <c r="F83" s="6">
        <f t="shared" si="50"/>
        <v>0</v>
      </c>
      <c r="G83" s="6">
        <f t="shared" si="50"/>
        <v>-2.0004605397627766</v>
      </c>
      <c r="H83" s="6">
        <f t="shared" si="50"/>
        <v>1.6012897234326477</v>
      </c>
      <c r="I83" s="6">
        <f t="shared" si="50"/>
        <v>4.798525254596445</v>
      </c>
      <c r="J83" s="5">
        <f>ABS(B83-B77)</f>
        <v>1.7462307410283096E-2</v>
      </c>
      <c r="K83" s="6">
        <f xml:space="preserve"> ABS(J83/B83)*100</f>
        <v>0.87291436462694993</v>
      </c>
    </row>
    <row r="84" spans="2:11" ht="15.6">
      <c r="B84" s="35"/>
      <c r="C84" s="26">
        <f t="shared" ref="C84:I84" si="51">SUM(C82:C83)</f>
        <v>0</v>
      </c>
      <c r="D84" s="13">
        <f t="shared" si="51"/>
        <v>0</v>
      </c>
      <c r="E84" s="13">
        <f t="shared" si="51"/>
        <v>0</v>
      </c>
      <c r="F84" s="13">
        <f t="shared" si="51"/>
        <v>1</v>
      </c>
      <c r="G84" s="13">
        <f t="shared" si="51"/>
        <v>-0.80046053976277665</v>
      </c>
      <c r="H84" s="13">
        <f t="shared" si="51"/>
        <v>-2.3987102765673525</v>
      </c>
      <c r="I84" s="14">
        <f t="shared" si="51"/>
        <v>-1.4747454035548557E-3</v>
      </c>
      <c r="J84" s="15"/>
      <c r="K84" s="15"/>
    </row>
    <row r="85" spans="2:11" ht="15.6" thickBot="1">
      <c r="B85" s="38"/>
      <c r="C85" s="22"/>
      <c r="D85" s="23">
        <f>$B83*C86</f>
        <v>0</v>
      </c>
      <c r="E85" s="23">
        <f>$B83*D86</f>
        <v>0</v>
      </c>
      <c r="F85" s="23">
        <f>$B83*E86</f>
        <v>0</v>
      </c>
      <c r="G85" s="23">
        <f>$B83*F86</f>
        <v>-2.0004605397627766</v>
      </c>
      <c r="H85" s="23">
        <f>$B83*G86</f>
        <v>5.6031320945806264</v>
      </c>
      <c r="I85" s="24"/>
      <c r="J85" s="15"/>
      <c r="K85" s="15"/>
    </row>
    <row r="86" spans="2:11" ht="15.6">
      <c r="C86" s="13">
        <f t="shared" ref="C86:H86" si="52">SUM(C84:C85)</f>
        <v>0</v>
      </c>
      <c r="D86" s="13">
        <f t="shared" si="52"/>
        <v>0</v>
      </c>
      <c r="E86" s="13">
        <f t="shared" si="52"/>
        <v>0</v>
      </c>
      <c r="F86" s="13">
        <f t="shared" si="52"/>
        <v>1</v>
      </c>
      <c r="G86" s="13">
        <f t="shared" si="52"/>
        <v>-2.800921079525553</v>
      </c>
      <c r="H86" s="8">
        <f t="shared" si="52"/>
        <v>3.204421818013274</v>
      </c>
      <c r="I86" s="15"/>
      <c r="J86" s="15"/>
      <c r="K86" s="15"/>
    </row>
    <row r="88" spans="2:11" ht="15">
      <c r="B88" s="25" t="s">
        <v>14</v>
      </c>
      <c r="C88" s="27">
        <f t="shared" ref="C88:I88" si="53">C82</f>
        <v>0</v>
      </c>
      <c r="D88" s="28">
        <f t="shared" si="53"/>
        <v>0</v>
      </c>
      <c r="E88" s="28">
        <f t="shared" si="53"/>
        <v>0</v>
      </c>
      <c r="F88" s="28">
        <f t="shared" si="53"/>
        <v>1</v>
      </c>
      <c r="G88" s="28">
        <f t="shared" si="53"/>
        <v>1.2</v>
      </c>
      <c r="H88" s="28">
        <f t="shared" si="53"/>
        <v>-4</v>
      </c>
      <c r="I88" s="28">
        <f t="shared" si="53"/>
        <v>-4.8</v>
      </c>
      <c r="J88" s="15"/>
      <c r="K88" s="15"/>
    </row>
    <row r="89" spans="2:11" ht="15">
      <c r="B89" s="12">
        <f>B83-I84/H86</f>
        <v>-2.0000003177672627</v>
      </c>
      <c r="C89" s="20"/>
      <c r="D89" s="6">
        <f t="shared" ref="D89:I89" si="54">$B89*C90</f>
        <v>0</v>
      </c>
      <c r="E89" s="6">
        <f t="shared" si="54"/>
        <v>0</v>
      </c>
      <c r="F89" s="6">
        <f t="shared" si="54"/>
        <v>0</v>
      </c>
      <c r="G89" s="6">
        <f t="shared" si="54"/>
        <v>-2.0000003177672627</v>
      </c>
      <c r="H89" s="6">
        <f t="shared" si="54"/>
        <v>1.6000008897484368</v>
      </c>
      <c r="I89" s="6">
        <f t="shared" si="54"/>
        <v>4.799998983144274</v>
      </c>
      <c r="J89" s="5">
        <f>ABS(B89-B83)</f>
        <v>4.6022199551387644E-4</v>
      </c>
      <c r="K89" s="6">
        <f xml:space="preserve"> ABS(J89/B89)*100</f>
        <v>2.3011096119607308E-2</v>
      </c>
    </row>
    <row r="90" spans="2:11" ht="15.6">
      <c r="B90" s="35"/>
      <c r="C90" s="26">
        <f t="shared" ref="C90:I90" si="55">SUM(C88:C89)</f>
        <v>0</v>
      </c>
      <c r="D90" s="13">
        <f t="shared" si="55"/>
        <v>0</v>
      </c>
      <c r="E90" s="13">
        <f t="shared" si="55"/>
        <v>0</v>
      </c>
      <c r="F90" s="13">
        <f t="shared" si="55"/>
        <v>1</v>
      </c>
      <c r="G90" s="13">
        <f t="shared" si="55"/>
        <v>-0.80000031776726277</v>
      </c>
      <c r="H90" s="13">
        <f t="shared" si="55"/>
        <v>-2.3999991102515632</v>
      </c>
      <c r="I90" s="14">
        <f t="shared" si="55"/>
        <v>-1.0168557258438682E-6</v>
      </c>
      <c r="J90" s="15"/>
      <c r="K90" s="15"/>
    </row>
    <row r="91" spans="2:11" ht="15.6" thickBot="1">
      <c r="B91" s="38"/>
      <c r="C91" s="22"/>
      <c r="D91" s="23">
        <f>$B89*C92</f>
        <v>0</v>
      </c>
      <c r="E91" s="23">
        <f>$B89*D92</f>
        <v>0</v>
      </c>
      <c r="F91" s="23">
        <f>$B89*E92</f>
        <v>0</v>
      </c>
      <c r="G91" s="23">
        <f>$B89*F92</f>
        <v>-2.0000003177672627</v>
      </c>
      <c r="H91" s="23">
        <f>$B89*G92</f>
        <v>5.6000021608175885</v>
      </c>
      <c r="I91" s="24"/>
      <c r="J91" s="15"/>
      <c r="K91" s="15"/>
    </row>
    <row r="92" spans="2:11" ht="15.6">
      <c r="C92" s="13">
        <f t="shared" ref="C92:H92" si="56">SUM(C90:C91)</f>
        <v>0</v>
      </c>
      <c r="D92" s="13">
        <f t="shared" si="56"/>
        <v>0</v>
      </c>
      <c r="E92" s="13">
        <f t="shared" si="56"/>
        <v>0</v>
      </c>
      <c r="F92" s="13">
        <f t="shared" si="56"/>
        <v>1</v>
      </c>
      <c r="G92" s="13">
        <f t="shared" si="56"/>
        <v>-2.8000006355345253</v>
      </c>
      <c r="H92" s="8">
        <f t="shared" si="56"/>
        <v>3.2000030505660253</v>
      </c>
      <c r="I92" s="15"/>
      <c r="J92" s="15"/>
      <c r="K92" s="15"/>
    </row>
    <row r="94" spans="2:11" ht="15">
      <c r="B94" s="25" t="s">
        <v>15</v>
      </c>
      <c r="C94" s="27">
        <f t="shared" ref="C94:I94" si="57">C88</f>
        <v>0</v>
      </c>
      <c r="D94" s="28">
        <f t="shared" si="57"/>
        <v>0</v>
      </c>
      <c r="E94" s="28">
        <f t="shared" si="57"/>
        <v>0</v>
      </c>
      <c r="F94" s="28">
        <f t="shared" si="57"/>
        <v>1</v>
      </c>
      <c r="G94" s="28">
        <f t="shared" si="57"/>
        <v>1.2</v>
      </c>
      <c r="H94" s="28">
        <f t="shared" si="57"/>
        <v>-4</v>
      </c>
      <c r="I94" s="28">
        <f t="shared" si="57"/>
        <v>-4.8</v>
      </c>
      <c r="J94" s="15"/>
      <c r="K94" s="15"/>
    </row>
    <row r="95" spans="2:11" ht="15">
      <c r="B95" s="12">
        <f>B89-I90/H92</f>
        <v>-2.0000000000001514</v>
      </c>
      <c r="C95" s="20"/>
      <c r="D95" s="6">
        <f t="shared" ref="D95" si="58">$B95*C96</f>
        <v>0</v>
      </c>
      <c r="E95" s="6">
        <f t="shared" ref="E95" si="59">$B95*D96</f>
        <v>0</v>
      </c>
      <c r="F95" s="6">
        <f t="shared" ref="F95" si="60">$B95*E96</f>
        <v>0</v>
      </c>
      <c r="G95" s="6">
        <f t="shared" ref="G95" si="61">$B95*F96</f>
        <v>-2.0000000000001514</v>
      </c>
      <c r="H95" s="6">
        <f t="shared" ref="H95" si="62">$B95*G96</f>
        <v>1.6000000000004242</v>
      </c>
      <c r="I95" s="6">
        <f t="shared" ref="I95" si="63">$B95*H96</f>
        <v>4.7999999999995149</v>
      </c>
      <c r="J95" s="5">
        <f>ABS(B95-B89)</f>
        <v>3.1776711129083424E-7</v>
      </c>
      <c r="K95" s="6">
        <f xml:space="preserve"> ABS(J95/B95)*100</f>
        <v>1.5888355564540509E-5</v>
      </c>
    </row>
    <row r="96" spans="2:11" ht="15.6">
      <c r="B96" s="35"/>
      <c r="C96" s="26">
        <f t="shared" ref="C96:I96" si="64">SUM(C94:C95)</f>
        <v>0</v>
      </c>
      <c r="D96" s="13">
        <f t="shared" si="64"/>
        <v>0</v>
      </c>
      <c r="E96" s="13">
        <f t="shared" si="64"/>
        <v>0</v>
      </c>
      <c r="F96" s="13">
        <f t="shared" si="64"/>
        <v>1</v>
      </c>
      <c r="G96" s="13">
        <f t="shared" si="64"/>
        <v>-0.80000000000015148</v>
      </c>
      <c r="H96" s="13">
        <f t="shared" si="64"/>
        <v>-2.3999999999995758</v>
      </c>
      <c r="I96" s="14">
        <f t="shared" si="64"/>
        <v>-4.8494541715626838E-13</v>
      </c>
      <c r="J96" s="15"/>
      <c r="K96" s="15"/>
    </row>
    <row r="97" spans="2:11" ht="15.6" thickBot="1">
      <c r="B97" s="38"/>
      <c r="C97" s="22"/>
      <c r="D97" s="23">
        <f>$B95*C98</f>
        <v>0</v>
      </c>
      <c r="E97" s="23">
        <f>$B95*D98</f>
        <v>0</v>
      </c>
      <c r="F97" s="23">
        <f>$B95*E98</f>
        <v>0</v>
      </c>
      <c r="G97" s="23">
        <f>$B95*F98</f>
        <v>-2.0000000000001514</v>
      </c>
      <c r="H97" s="23">
        <f>$B95*G98</f>
        <v>5.600000000001029</v>
      </c>
      <c r="I97" s="24"/>
      <c r="J97" s="15"/>
      <c r="K97" s="15"/>
    </row>
    <row r="98" spans="2:11" ht="15.6">
      <c r="C98" s="13">
        <f t="shared" ref="C98:H98" si="65">SUM(C96:C97)</f>
        <v>0</v>
      </c>
      <c r="D98" s="13">
        <f t="shared" si="65"/>
        <v>0</v>
      </c>
      <c r="E98" s="13">
        <f t="shared" si="65"/>
        <v>0</v>
      </c>
      <c r="F98" s="13">
        <f t="shared" si="65"/>
        <v>1</v>
      </c>
      <c r="G98" s="13">
        <f t="shared" si="65"/>
        <v>-2.8000000000003027</v>
      </c>
      <c r="H98" s="8">
        <f t="shared" si="65"/>
        <v>3.2000000000014532</v>
      </c>
      <c r="I98" s="15"/>
      <c r="J98" s="15"/>
      <c r="K98" s="15"/>
    </row>
  </sheetData>
  <conditionalFormatting sqref="B9">
    <cfRule type="expression" dxfId="111" priority="13">
      <formula xml:space="preserve"> J9 &lt; $J$1</formula>
    </cfRule>
  </conditionalFormatting>
  <conditionalFormatting sqref="B15">
    <cfRule type="expression" dxfId="110" priority="12">
      <formula>J15&lt;$J$1</formula>
    </cfRule>
  </conditionalFormatting>
  <conditionalFormatting sqref="B21">
    <cfRule type="expression" dxfId="109" priority="11">
      <formula>J21&lt;$J$1</formula>
    </cfRule>
  </conditionalFormatting>
  <conditionalFormatting sqref="B27">
    <cfRule type="expression" dxfId="108" priority="10">
      <formula>J27&lt;$J$1</formula>
    </cfRule>
  </conditionalFormatting>
  <conditionalFormatting sqref="B40">
    <cfRule type="expression" dxfId="107" priority="9">
      <formula xml:space="preserve"> J40 &lt; $J$1</formula>
    </cfRule>
  </conditionalFormatting>
  <conditionalFormatting sqref="B46">
    <cfRule type="expression" dxfId="106" priority="8">
      <formula>J46&lt;$J$1</formula>
    </cfRule>
  </conditionalFormatting>
  <conditionalFormatting sqref="B52">
    <cfRule type="expression" dxfId="105" priority="7">
      <formula>J52&lt;$J$1</formula>
    </cfRule>
  </conditionalFormatting>
  <conditionalFormatting sqref="B58">
    <cfRule type="expression" dxfId="104" priority="6">
      <formula>J58&lt;$J$1</formula>
    </cfRule>
  </conditionalFormatting>
  <conditionalFormatting sqref="B71">
    <cfRule type="expression" dxfId="103" priority="5">
      <formula xml:space="preserve"> J71 &lt; $J$1</formula>
    </cfRule>
  </conditionalFormatting>
  <conditionalFormatting sqref="B77">
    <cfRule type="expression" dxfId="102" priority="4">
      <formula>J77&lt;$J$1</formula>
    </cfRule>
  </conditionalFormatting>
  <conditionalFormatting sqref="B83">
    <cfRule type="expression" dxfId="101" priority="3">
      <formula>J83&lt;$J$1</formula>
    </cfRule>
  </conditionalFormatting>
  <conditionalFormatting sqref="B89">
    <cfRule type="expression" dxfId="100" priority="2">
      <formula>J89&lt;$J$1</formula>
    </cfRule>
  </conditionalFormatting>
  <conditionalFormatting sqref="B95">
    <cfRule type="expression" dxfId="99" priority="1">
      <formula>J95&lt;$J$1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86CF-F323-47B2-A5ED-527E16FFC41F}">
  <dimension ref="A1:P25"/>
  <sheetViews>
    <sheetView workbookViewId="0">
      <selection activeCell="Q12" sqref="Q12"/>
    </sheetView>
  </sheetViews>
  <sheetFormatPr defaultColWidth="11.42578125" defaultRowHeight="14.45"/>
  <cols>
    <col min="1" max="1" width="7.7109375" bestFit="1" customWidth="1"/>
    <col min="2" max="2" width="9.28515625" bestFit="1" customWidth="1"/>
    <col min="3" max="7" width="9.140625" bestFit="1" customWidth="1"/>
    <col min="8" max="9" width="10" bestFit="1" customWidth="1"/>
    <col min="10" max="11" width="8.28515625" bestFit="1" customWidth="1"/>
    <col min="12" max="12" width="11.28515625" bestFit="1" customWidth="1"/>
    <col min="13" max="13" width="15.140625" bestFit="1" customWidth="1"/>
    <col min="14" max="14" width="2.5703125" bestFit="1" customWidth="1"/>
    <col min="15" max="15" width="9" bestFit="1" customWidth="1"/>
    <col min="16" max="16" width="1.5703125" bestFit="1" customWidth="1"/>
  </cols>
  <sheetData>
    <row r="1" spans="1:16" ht="15.6">
      <c r="A1" s="46" t="s">
        <v>34</v>
      </c>
      <c r="B1" s="47"/>
      <c r="C1" s="48" t="s">
        <v>1</v>
      </c>
      <c r="D1" s="49" t="s">
        <v>2</v>
      </c>
      <c r="E1" s="49" t="s">
        <v>3</v>
      </c>
      <c r="F1" s="49" t="s">
        <v>4</v>
      </c>
      <c r="G1" s="49" t="s">
        <v>5</v>
      </c>
      <c r="H1" s="49" t="s">
        <v>6</v>
      </c>
      <c r="I1" s="49" t="s">
        <v>7</v>
      </c>
      <c r="J1" s="50" t="s">
        <v>9</v>
      </c>
      <c r="K1" s="51" t="s">
        <v>10</v>
      </c>
      <c r="L1" s="91"/>
      <c r="M1" s="91"/>
      <c r="N1" s="91"/>
      <c r="O1" s="91"/>
      <c r="P1" s="91"/>
    </row>
    <row r="2" spans="1:16" ht="15.6">
      <c r="A2" s="47"/>
      <c r="B2" s="53" t="s">
        <v>18</v>
      </c>
      <c r="C2" s="92">
        <v>0</v>
      </c>
      <c r="D2" s="93">
        <v>0</v>
      </c>
      <c r="E2" s="57">
        <v>0</v>
      </c>
      <c r="F2" s="57">
        <v>1</v>
      </c>
      <c r="G2" s="57">
        <v>1.2</v>
      </c>
      <c r="H2" s="57">
        <v>-4</v>
      </c>
      <c r="I2" s="57">
        <v>-4.8</v>
      </c>
      <c r="J2" s="94">
        <v>5.0000000000000001E-3</v>
      </c>
      <c r="K2" s="95"/>
      <c r="L2" s="47"/>
      <c r="M2" s="47"/>
      <c r="N2" s="91"/>
      <c r="O2" s="91"/>
      <c r="P2" s="91"/>
    </row>
    <row r="3" spans="1:16" ht="15.6">
      <c r="A3" s="48" t="s">
        <v>19</v>
      </c>
      <c r="B3" s="90">
        <v>0</v>
      </c>
      <c r="C3" s="47"/>
      <c r="D3" s="49">
        <f t="shared" ref="D3:I3" si="0">$B3*C5</f>
        <v>0</v>
      </c>
      <c r="E3" s="96">
        <f t="shared" si="0"/>
        <v>0</v>
      </c>
      <c r="F3" s="96">
        <f t="shared" si="0"/>
        <v>0</v>
      </c>
      <c r="G3" s="96">
        <f t="shared" si="0"/>
        <v>0</v>
      </c>
      <c r="H3" s="96">
        <f t="shared" si="0"/>
        <v>0</v>
      </c>
      <c r="I3" s="96">
        <f t="shared" si="0"/>
        <v>0</v>
      </c>
      <c r="J3" s="47"/>
      <c r="K3" s="47"/>
      <c r="L3" s="49" t="s">
        <v>20</v>
      </c>
      <c r="M3" s="64">
        <f>B3^2+4*B4</f>
        <v>0</v>
      </c>
      <c r="N3" s="91"/>
      <c r="O3" s="91"/>
      <c r="P3" s="91"/>
    </row>
    <row r="4" spans="1:16" ht="16.149999999999999" thickBot="1">
      <c r="A4" s="48" t="s">
        <v>21</v>
      </c>
      <c r="B4" s="74">
        <v>0</v>
      </c>
      <c r="C4" s="97"/>
      <c r="D4" s="97"/>
      <c r="E4" s="98">
        <f>$B4*C5</f>
        <v>0</v>
      </c>
      <c r="F4" s="98">
        <f>$B4*D5</f>
        <v>0</v>
      </c>
      <c r="G4" s="98">
        <f>$B4*E5</f>
        <v>0</v>
      </c>
      <c r="H4" s="98">
        <f>$B4*F5</f>
        <v>0</v>
      </c>
      <c r="I4" s="98">
        <f>$B4*G5</f>
        <v>0</v>
      </c>
      <c r="J4" s="47"/>
      <c r="K4" s="47"/>
      <c r="L4" s="49" t="s">
        <v>22</v>
      </c>
      <c r="M4" s="49">
        <f>IF(M3&lt;0,B3/2,(B3+SQRT(M3))/2)</f>
        <v>0</v>
      </c>
      <c r="N4" s="47" t="str">
        <f>IF(M3&lt;0,"+","")</f>
        <v/>
      </c>
      <c r="O4" s="47" t="str">
        <f>IF(M3&lt;0,SQRT(ABS(M3))/2,"")</f>
        <v/>
      </c>
      <c r="P4" s="47" t="str">
        <f>IF(M3&lt;0,"i","")</f>
        <v/>
      </c>
    </row>
    <row r="5" spans="1:16" ht="15.6">
      <c r="A5" s="48" t="s">
        <v>23</v>
      </c>
      <c r="B5" s="67">
        <f>SQRT(SUMSQ(B3:B4))</f>
        <v>0</v>
      </c>
      <c r="C5" s="99">
        <f t="shared" ref="C5:I5" si="1">SUM(C2:C4)</f>
        <v>0</v>
      </c>
      <c r="D5" s="67">
        <f t="shared" si="1"/>
        <v>0</v>
      </c>
      <c r="E5" s="99">
        <f t="shared" si="1"/>
        <v>0</v>
      </c>
      <c r="F5" s="67">
        <f t="shared" si="1"/>
        <v>1</v>
      </c>
      <c r="G5" s="67">
        <f t="shared" si="1"/>
        <v>1.2</v>
      </c>
      <c r="H5" s="100">
        <f t="shared" si="1"/>
        <v>-4</v>
      </c>
      <c r="I5" s="100">
        <f t="shared" si="1"/>
        <v>-4.8</v>
      </c>
      <c r="J5" s="47"/>
      <c r="K5" s="47"/>
      <c r="L5" s="49" t="s">
        <v>24</v>
      </c>
      <c r="M5" s="49">
        <f>IF(M3&lt;0,M4,(B3-SQRT(M3))/2)</f>
        <v>0</v>
      </c>
      <c r="N5" s="101" t="str">
        <f>IF(M3&lt;0,"+","")</f>
        <v/>
      </c>
      <c r="O5" s="47" t="str">
        <f>IF(M3&lt;0,-O4,"")</f>
        <v/>
      </c>
      <c r="P5" s="101"/>
    </row>
    <row r="6" spans="1:16" ht="15.6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91"/>
      <c r="M6" s="91"/>
      <c r="N6" s="91"/>
      <c r="O6" s="91"/>
      <c r="P6" s="91"/>
    </row>
    <row r="7" spans="1:16" ht="15.6">
      <c r="A7" s="47"/>
      <c r="B7" s="53" t="s">
        <v>26</v>
      </c>
      <c r="C7" s="102">
        <f t="shared" ref="C7:I7" si="2">C2</f>
        <v>0</v>
      </c>
      <c r="D7" s="93">
        <f t="shared" si="2"/>
        <v>0</v>
      </c>
      <c r="E7" s="93">
        <f t="shared" si="2"/>
        <v>0</v>
      </c>
      <c r="F7" s="93">
        <f t="shared" si="2"/>
        <v>1</v>
      </c>
      <c r="G7" s="93">
        <f t="shared" si="2"/>
        <v>1.2</v>
      </c>
      <c r="H7" s="93">
        <f t="shared" si="2"/>
        <v>-4</v>
      </c>
      <c r="I7" s="93">
        <f t="shared" si="2"/>
        <v>-4.8</v>
      </c>
      <c r="J7" s="47"/>
      <c r="K7" s="47"/>
      <c r="L7" s="47"/>
      <c r="M7" s="49" t="s">
        <v>27</v>
      </c>
      <c r="N7" s="91"/>
      <c r="O7" s="91"/>
      <c r="P7" s="91"/>
    </row>
    <row r="8" spans="1:16" ht="15.6">
      <c r="A8" s="48" t="s">
        <v>28</v>
      </c>
      <c r="B8" s="74">
        <f>-(H2+B9*F5)/G5</f>
        <v>0</v>
      </c>
      <c r="C8" s="47"/>
      <c r="D8" s="49">
        <f t="shared" ref="D8:I8" si="3">$B8*C10</f>
        <v>0</v>
      </c>
      <c r="E8" s="49">
        <f t="shared" si="3"/>
        <v>0</v>
      </c>
      <c r="F8" s="49">
        <f t="shared" si="3"/>
        <v>0</v>
      </c>
      <c r="G8" s="49">
        <f t="shared" si="3"/>
        <v>0</v>
      </c>
      <c r="H8" s="49">
        <f t="shared" si="3"/>
        <v>0</v>
      </c>
      <c r="I8" s="49">
        <f t="shared" si="3"/>
        <v>0</v>
      </c>
      <c r="J8" s="47"/>
      <c r="K8" s="47"/>
      <c r="L8" s="49" t="s">
        <v>20</v>
      </c>
      <c r="M8" s="64">
        <f>B8^2+4*B9</f>
        <v>16</v>
      </c>
      <c r="N8" s="91"/>
      <c r="O8" s="91"/>
      <c r="P8" s="91"/>
    </row>
    <row r="9" spans="1:16" ht="16.149999999999999" thickBot="1">
      <c r="A9" s="48" t="s">
        <v>29</v>
      </c>
      <c r="B9" s="75">
        <f>-I2/G5</f>
        <v>4</v>
      </c>
      <c r="C9" s="103"/>
      <c r="D9" s="97"/>
      <c r="E9" s="98">
        <f>$B9*C10</f>
        <v>0</v>
      </c>
      <c r="F9" s="98">
        <f>$B9*D10</f>
        <v>0</v>
      </c>
      <c r="G9" s="98">
        <f>$B9*E10</f>
        <v>0</v>
      </c>
      <c r="H9" s="98">
        <f>$B9*F10</f>
        <v>4</v>
      </c>
      <c r="I9" s="98">
        <f>$B9*G10</f>
        <v>4.8</v>
      </c>
      <c r="J9" s="47"/>
      <c r="K9" s="47"/>
      <c r="L9" s="49" t="s">
        <v>22</v>
      </c>
      <c r="M9" s="48">
        <f>IF(M8&lt;0,B8/2,(B8+SQRT(M8))/2)</f>
        <v>2</v>
      </c>
      <c r="N9" s="49" t="s">
        <v>30</v>
      </c>
      <c r="O9" s="49" t="str">
        <f>IF(M8&lt;0,SQRT(ABS(M8))/2,"")</f>
        <v/>
      </c>
      <c r="P9" s="49" t="str">
        <f>IF(M8&lt;0,"i","")</f>
        <v/>
      </c>
    </row>
    <row r="10" spans="1:16" ht="15.6">
      <c r="A10" s="49" t="s">
        <v>23</v>
      </c>
      <c r="B10" s="67">
        <f>SQRT(SUMSQ(B8:B9))</f>
        <v>4</v>
      </c>
      <c r="C10" s="67">
        <f t="shared" ref="C10:I10" si="4">SUM(C7:C9)</f>
        <v>0</v>
      </c>
      <c r="D10" s="67">
        <f t="shared" si="4"/>
        <v>0</v>
      </c>
      <c r="E10" s="67">
        <f t="shared" si="4"/>
        <v>0</v>
      </c>
      <c r="F10" s="67">
        <f t="shared" si="4"/>
        <v>1</v>
      </c>
      <c r="G10" s="67">
        <f t="shared" si="4"/>
        <v>1.2</v>
      </c>
      <c r="H10" s="100">
        <f t="shared" si="4"/>
        <v>0</v>
      </c>
      <c r="I10" s="100">
        <f t="shared" si="4"/>
        <v>0</v>
      </c>
      <c r="J10" s="49">
        <f>ABS(B10-B5)</f>
        <v>4</v>
      </c>
      <c r="K10" s="48">
        <f>ABS(J10/B10)*100</f>
        <v>100</v>
      </c>
      <c r="L10" s="49" t="s">
        <v>24</v>
      </c>
      <c r="M10" s="48">
        <f>IF(M8&lt;0,M9,(B8-SQRT(M8))/2)</f>
        <v>-2</v>
      </c>
      <c r="N10" s="104" t="s">
        <v>30</v>
      </c>
      <c r="O10" s="49" t="str">
        <f>IF(M8&lt;0,-O9,"")</f>
        <v/>
      </c>
      <c r="P10" s="104" t="s">
        <v>25</v>
      </c>
    </row>
    <row r="11" spans="1:16" ht="15.6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91"/>
      <c r="M11" s="91"/>
      <c r="N11" s="91"/>
      <c r="O11" s="91"/>
      <c r="P11" s="91"/>
    </row>
    <row r="12" spans="1:16" ht="15.6">
      <c r="A12" s="47"/>
      <c r="B12" s="53" t="s">
        <v>31</v>
      </c>
      <c r="C12" s="92">
        <f t="shared" ref="C12:I12" si="5">C7</f>
        <v>0</v>
      </c>
      <c r="D12" s="75">
        <f t="shared" si="5"/>
        <v>0</v>
      </c>
      <c r="E12" s="93">
        <f t="shared" si="5"/>
        <v>0</v>
      </c>
      <c r="F12" s="93">
        <f t="shared" si="5"/>
        <v>1</v>
      </c>
      <c r="G12" s="93">
        <f t="shared" si="5"/>
        <v>1.2</v>
      </c>
      <c r="H12" s="93">
        <f t="shared" si="5"/>
        <v>-4</v>
      </c>
      <c r="I12" s="93">
        <f t="shared" si="5"/>
        <v>-4.8</v>
      </c>
      <c r="J12" s="47"/>
      <c r="K12" s="47"/>
      <c r="L12" s="91"/>
      <c r="M12" s="91"/>
      <c r="N12" s="91"/>
      <c r="O12" s="91"/>
      <c r="P12" s="91"/>
    </row>
    <row r="13" spans="1:16" ht="15.6">
      <c r="A13" s="48" t="s">
        <v>19</v>
      </c>
      <c r="B13" s="80">
        <f>-(H7+B14*F10)/G10</f>
        <v>0</v>
      </c>
      <c r="C13" s="47"/>
      <c r="D13" s="48">
        <f t="shared" ref="D13:I13" si="6">$B13*C15</f>
        <v>0</v>
      </c>
      <c r="E13" s="49">
        <f t="shared" si="6"/>
        <v>0</v>
      </c>
      <c r="F13" s="49">
        <f t="shared" si="6"/>
        <v>0</v>
      </c>
      <c r="G13" s="49">
        <f t="shared" si="6"/>
        <v>0</v>
      </c>
      <c r="H13" s="49">
        <f t="shared" si="6"/>
        <v>0</v>
      </c>
      <c r="I13" s="49">
        <f t="shared" si="6"/>
        <v>0</v>
      </c>
      <c r="J13" s="47"/>
      <c r="K13" s="47"/>
      <c r="L13" s="49" t="s">
        <v>20</v>
      </c>
      <c r="M13" s="64">
        <f>B13^2+4*B14</f>
        <v>16</v>
      </c>
      <c r="N13" s="91"/>
      <c r="O13" s="91"/>
      <c r="P13" s="91"/>
    </row>
    <row r="14" spans="1:16" ht="16.149999999999999" thickBot="1">
      <c r="A14" s="48" t="s">
        <v>21</v>
      </c>
      <c r="B14" s="75">
        <f>-I7/G10</f>
        <v>4</v>
      </c>
      <c r="C14" s="103"/>
      <c r="D14" s="97"/>
      <c r="E14" s="98">
        <f>$B14*C15</f>
        <v>0</v>
      </c>
      <c r="F14" s="98">
        <f>$B14*D15</f>
        <v>0</v>
      </c>
      <c r="G14" s="98">
        <f>$B14*E15</f>
        <v>0</v>
      </c>
      <c r="H14" s="98">
        <f>$B14*F15</f>
        <v>4</v>
      </c>
      <c r="I14" s="98">
        <f>$B14*G15</f>
        <v>4.8</v>
      </c>
      <c r="J14" s="47"/>
      <c r="K14" s="47"/>
      <c r="L14" s="49" t="s">
        <v>22</v>
      </c>
      <c r="M14" s="48">
        <f>IF(M13&lt;0,B13/2,(B13+SQRT(M13))/2)</f>
        <v>2</v>
      </c>
      <c r="N14" s="49" t="s">
        <v>30</v>
      </c>
      <c r="O14" s="49" t="str">
        <f>IF(M13&lt;0,SQRT(ABS(M13))/2,"")</f>
        <v/>
      </c>
      <c r="P14" s="49" t="str">
        <f>IF(M13&lt;0,"i","")</f>
        <v/>
      </c>
    </row>
    <row r="15" spans="1:16" ht="15.6">
      <c r="A15" s="48" t="s">
        <v>23</v>
      </c>
      <c r="B15" s="67">
        <f>SQRT(SUMSQ(B13:B14))</f>
        <v>4</v>
      </c>
      <c r="C15" s="67">
        <f t="shared" ref="C15:I15" si="7">SUM(C12:C14)</f>
        <v>0</v>
      </c>
      <c r="D15" s="84">
        <f t="shared" si="7"/>
        <v>0</v>
      </c>
      <c r="E15" s="67">
        <f t="shared" si="7"/>
        <v>0</v>
      </c>
      <c r="F15" s="67">
        <f t="shared" si="7"/>
        <v>1</v>
      </c>
      <c r="G15" s="67">
        <f t="shared" si="7"/>
        <v>1.2</v>
      </c>
      <c r="H15" s="100">
        <f t="shared" si="7"/>
        <v>0</v>
      </c>
      <c r="I15" s="100">
        <f t="shared" si="7"/>
        <v>0</v>
      </c>
      <c r="J15" s="105">
        <f>ABS(B15-B10)</f>
        <v>0</v>
      </c>
      <c r="K15" s="48">
        <f>ABS(J15/B15)*100</f>
        <v>0</v>
      </c>
      <c r="L15" s="49" t="s">
        <v>24</v>
      </c>
      <c r="M15" s="48">
        <f>IF(M13&lt;0,M14,(B13-SQRT(M13))/2)</f>
        <v>-2</v>
      </c>
      <c r="N15" s="104" t="s">
        <v>30</v>
      </c>
      <c r="O15" s="49" t="str">
        <f>IF(M13&lt;0,-O14,"")</f>
        <v/>
      </c>
      <c r="P15" s="104" t="s">
        <v>25</v>
      </c>
    </row>
    <row r="16" spans="1:16" ht="15.6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91"/>
      <c r="M16" s="91"/>
      <c r="N16" s="91"/>
      <c r="O16" s="91"/>
      <c r="P16" s="91"/>
    </row>
    <row r="17" spans="1:16" ht="15.6">
      <c r="A17" s="47"/>
      <c r="B17" s="53" t="s">
        <v>32</v>
      </c>
      <c r="C17" s="92">
        <f t="shared" ref="C17:I17" si="8">C12</f>
        <v>0</v>
      </c>
      <c r="D17" s="106">
        <f t="shared" si="8"/>
        <v>0</v>
      </c>
      <c r="E17" s="106">
        <f t="shared" si="8"/>
        <v>0</v>
      </c>
      <c r="F17" s="106">
        <f t="shared" si="8"/>
        <v>1</v>
      </c>
      <c r="G17" s="106">
        <f t="shared" si="8"/>
        <v>1.2</v>
      </c>
      <c r="H17" s="106">
        <f t="shared" si="8"/>
        <v>-4</v>
      </c>
      <c r="I17" s="106">
        <f t="shared" si="8"/>
        <v>-4.8</v>
      </c>
      <c r="J17" s="47"/>
      <c r="K17" s="47"/>
      <c r="L17" s="91"/>
      <c r="M17" s="91"/>
      <c r="N17" s="91"/>
      <c r="O17" s="91"/>
      <c r="P17" s="91"/>
    </row>
    <row r="18" spans="1:16" ht="15.6">
      <c r="A18" s="47" t="s">
        <v>28</v>
      </c>
      <c r="B18" s="74">
        <f>-(H12+B19*F15)/G15</f>
        <v>0</v>
      </c>
      <c r="C18" s="47"/>
      <c r="D18" s="49">
        <f t="shared" ref="D18:I18" si="9">$B18*C20</f>
        <v>0</v>
      </c>
      <c r="E18" s="96">
        <f t="shared" si="9"/>
        <v>0</v>
      </c>
      <c r="F18" s="96">
        <f t="shared" si="9"/>
        <v>0</v>
      </c>
      <c r="G18" s="96">
        <f t="shared" si="9"/>
        <v>0</v>
      </c>
      <c r="H18" s="96">
        <f t="shared" si="9"/>
        <v>0</v>
      </c>
      <c r="I18" s="96">
        <f t="shared" si="9"/>
        <v>0</v>
      </c>
      <c r="J18" s="47"/>
      <c r="K18" s="47"/>
      <c r="L18" s="49" t="s">
        <v>20</v>
      </c>
      <c r="M18" s="64">
        <f>B18^2+4*B19</f>
        <v>16</v>
      </c>
      <c r="N18" s="91"/>
      <c r="O18" s="91"/>
      <c r="P18" s="91"/>
    </row>
    <row r="19" spans="1:16" ht="16.149999999999999" thickBot="1">
      <c r="A19" s="47" t="s">
        <v>29</v>
      </c>
      <c r="B19" s="75">
        <f>-I12/G15</f>
        <v>4</v>
      </c>
      <c r="C19" s="103"/>
      <c r="D19" s="97"/>
      <c r="E19" s="98">
        <f>$B19*C20</f>
        <v>0</v>
      </c>
      <c r="F19" s="98">
        <f>$B19*D20</f>
        <v>0</v>
      </c>
      <c r="G19" s="98">
        <f>$B19*E20</f>
        <v>0</v>
      </c>
      <c r="H19" s="98">
        <f>$B19*F20</f>
        <v>4</v>
      </c>
      <c r="I19" s="98">
        <f>$B19*G20</f>
        <v>4.8</v>
      </c>
      <c r="J19" s="47"/>
      <c r="K19" s="47"/>
      <c r="L19" s="49" t="s">
        <v>22</v>
      </c>
      <c r="M19" s="48">
        <f>IF(M18&lt;0,B18/2,(B18+SQRT(M18))/2)</f>
        <v>2</v>
      </c>
      <c r="N19" s="49" t="s">
        <v>30</v>
      </c>
      <c r="O19" s="49" t="str">
        <f>IF(M18&lt;0,SQRT(ABS(M18))/2,"")</f>
        <v/>
      </c>
      <c r="P19" s="49" t="str">
        <f>IF(M18&lt;0,"i","")</f>
        <v/>
      </c>
    </row>
    <row r="20" spans="1:16" ht="15.6">
      <c r="A20" s="47" t="s">
        <v>23</v>
      </c>
      <c r="B20" s="84">
        <f>SQRT(SUMSQ(B18:B19))</f>
        <v>4</v>
      </c>
      <c r="C20" s="67">
        <f t="shared" ref="C20:I20" si="10">SUM(C17:C19)</f>
        <v>0</v>
      </c>
      <c r="D20" s="67">
        <f t="shared" si="10"/>
        <v>0</v>
      </c>
      <c r="E20" s="99">
        <f t="shared" si="10"/>
        <v>0</v>
      </c>
      <c r="F20" s="67">
        <f t="shared" si="10"/>
        <v>1</v>
      </c>
      <c r="G20" s="67">
        <f t="shared" si="10"/>
        <v>1.2</v>
      </c>
      <c r="H20" s="100">
        <f t="shared" si="10"/>
        <v>0</v>
      </c>
      <c r="I20" s="107">
        <f t="shared" si="10"/>
        <v>0</v>
      </c>
      <c r="J20" s="49">
        <f>ABS(B20-B15)</f>
        <v>0</v>
      </c>
      <c r="K20" s="49">
        <f>ABS(J20/B20)*100</f>
        <v>0</v>
      </c>
      <c r="L20" s="105" t="s">
        <v>24</v>
      </c>
      <c r="M20" s="48">
        <f>IF(M18&lt;0,M19,(B18-SQRT(M18))/2)</f>
        <v>-2</v>
      </c>
      <c r="N20" s="104" t="s">
        <v>30</v>
      </c>
      <c r="O20" s="49" t="str">
        <f>IF(M18&lt;0,-O19,"")</f>
        <v/>
      </c>
      <c r="P20" s="104" t="s">
        <v>25</v>
      </c>
    </row>
    <row r="21" spans="1:16" ht="15.6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91"/>
      <c r="M21" s="91"/>
      <c r="N21" s="91"/>
      <c r="O21" s="91"/>
      <c r="P21" s="91"/>
    </row>
    <row r="22" spans="1:16" ht="15.6">
      <c r="A22" s="47"/>
      <c r="B22" s="53" t="s">
        <v>33</v>
      </c>
      <c r="C22" s="92">
        <f t="shared" ref="C22:I22" si="11">C17</f>
        <v>0</v>
      </c>
      <c r="D22" s="106">
        <f t="shared" si="11"/>
        <v>0</v>
      </c>
      <c r="E22" s="106">
        <f t="shared" si="11"/>
        <v>0</v>
      </c>
      <c r="F22" s="106">
        <f t="shared" si="11"/>
        <v>1</v>
      </c>
      <c r="G22" s="106">
        <f t="shared" si="11"/>
        <v>1.2</v>
      </c>
      <c r="H22" s="106">
        <f t="shared" si="11"/>
        <v>-4</v>
      </c>
      <c r="I22" s="106">
        <f t="shared" si="11"/>
        <v>-4.8</v>
      </c>
      <c r="J22" s="47"/>
      <c r="K22" s="47"/>
      <c r="L22" s="91"/>
      <c r="M22" s="91"/>
      <c r="N22" s="91"/>
      <c r="O22" s="91"/>
      <c r="P22" s="91"/>
    </row>
    <row r="23" spans="1:16" ht="15.6">
      <c r="A23" s="47" t="s">
        <v>28</v>
      </c>
      <c r="B23" s="74">
        <f>-(H17+B24*F20)/G20</f>
        <v>0</v>
      </c>
      <c r="C23" s="47"/>
      <c r="D23" s="49">
        <f t="shared" ref="D23:I23" si="12">$B23*C25</f>
        <v>0</v>
      </c>
      <c r="E23" s="96">
        <f t="shared" si="12"/>
        <v>0</v>
      </c>
      <c r="F23" s="96">
        <f t="shared" si="12"/>
        <v>0</v>
      </c>
      <c r="G23" s="96">
        <f t="shared" si="12"/>
        <v>0</v>
      </c>
      <c r="H23" s="96">
        <f t="shared" si="12"/>
        <v>0</v>
      </c>
      <c r="I23" s="96">
        <f t="shared" si="12"/>
        <v>0</v>
      </c>
      <c r="J23" s="47"/>
      <c r="K23" s="47"/>
      <c r="L23" s="48" t="s">
        <v>20</v>
      </c>
      <c r="M23" s="64">
        <f>B23^2+4*B24</f>
        <v>16</v>
      </c>
      <c r="N23" s="91"/>
      <c r="O23" s="91"/>
      <c r="P23" s="91"/>
    </row>
    <row r="24" spans="1:16" ht="16.149999999999999" thickBot="1">
      <c r="A24" s="47" t="s">
        <v>29</v>
      </c>
      <c r="B24" s="75">
        <f>-I17/G20</f>
        <v>4</v>
      </c>
      <c r="C24" s="103"/>
      <c r="D24" s="97"/>
      <c r="E24" s="98">
        <f>$B24*C25</f>
        <v>0</v>
      </c>
      <c r="F24" s="98">
        <f>$B24*D25</f>
        <v>0</v>
      </c>
      <c r="G24" s="98">
        <f>$B24*E25</f>
        <v>0</v>
      </c>
      <c r="H24" s="98">
        <f>$B24*F25</f>
        <v>4</v>
      </c>
      <c r="I24" s="98">
        <f>$B24*G25</f>
        <v>4.8</v>
      </c>
      <c r="J24" s="47"/>
      <c r="K24" s="47"/>
      <c r="L24" s="49" t="s">
        <v>22</v>
      </c>
      <c r="M24" s="84">
        <f>IF(M23&lt;0,B23/2,(B23+SQRT(M23))/2)</f>
        <v>2</v>
      </c>
      <c r="N24" s="49" t="s">
        <v>30</v>
      </c>
      <c r="O24" s="49" t="str">
        <f>IF(M23&lt;0,SQRT(ABS(M23))/2,"")</f>
        <v/>
      </c>
      <c r="P24" s="49" t="str">
        <f>IF(M23&lt;0,"i","")</f>
        <v/>
      </c>
    </row>
    <row r="25" spans="1:16" ht="15.6">
      <c r="A25" s="47" t="s">
        <v>23</v>
      </c>
      <c r="B25" s="84">
        <f>SQRT(SUMSQ(B23:B24))</f>
        <v>4</v>
      </c>
      <c r="C25" s="67">
        <f t="shared" ref="C25:I25" si="13">SUM(C22:C24)</f>
        <v>0</v>
      </c>
      <c r="D25" s="67">
        <f t="shared" si="13"/>
        <v>0</v>
      </c>
      <c r="E25" s="67">
        <f t="shared" si="13"/>
        <v>0</v>
      </c>
      <c r="F25" s="67">
        <f t="shared" si="13"/>
        <v>1</v>
      </c>
      <c r="G25" s="67">
        <f t="shared" si="13"/>
        <v>1.2</v>
      </c>
      <c r="H25" s="100">
        <f t="shared" si="13"/>
        <v>0</v>
      </c>
      <c r="I25" s="100">
        <f t="shared" si="13"/>
        <v>0</v>
      </c>
      <c r="J25" s="49">
        <f>ABS(B25-B20)</f>
        <v>0</v>
      </c>
      <c r="K25" s="49">
        <f>ABS(J25/B25)*100</f>
        <v>0</v>
      </c>
      <c r="L25" s="105" t="s">
        <v>24</v>
      </c>
      <c r="M25" s="49">
        <f>IF(M23&lt;0,M24,(B23-SQRT(M23))/2)</f>
        <v>-2</v>
      </c>
      <c r="N25" s="108" t="s">
        <v>30</v>
      </c>
      <c r="O25" s="67" t="str">
        <f>IF(M23&lt;0,-O24,"")</f>
        <v/>
      </c>
      <c r="P25" s="108" t="s">
        <v>25</v>
      </c>
    </row>
  </sheetData>
  <conditionalFormatting sqref="B10">
    <cfRule type="expression" dxfId="98" priority="8">
      <formula>J10&lt;$J$2</formula>
    </cfRule>
  </conditionalFormatting>
  <conditionalFormatting sqref="B15">
    <cfRule type="expression" dxfId="97" priority="13">
      <formula>K15&lt;$K$2</formula>
    </cfRule>
    <cfRule type="expression" dxfId="96" priority="14">
      <formula>J15&lt;$J$2</formula>
    </cfRule>
  </conditionalFormatting>
  <conditionalFormatting sqref="B20">
    <cfRule type="expression" dxfId="95" priority="11">
      <formula>K20&lt;$K$2</formula>
    </cfRule>
    <cfRule type="expression" dxfId="94" priority="12">
      <formula>J20&lt;$J$2</formula>
    </cfRule>
  </conditionalFormatting>
  <conditionalFormatting sqref="B25">
    <cfRule type="expression" dxfId="93" priority="9">
      <formula>K25&lt;$K$2</formula>
    </cfRule>
    <cfRule type="expression" dxfId="92" priority="10">
      <formula>J25&lt;$J$2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9EED5-7333-4320-B3FC-9AF665C476B1}">
  <dimension ref="A1:K92"/>
  <sheetViews>
    <sheetView topLeftCell="A3" zoomScaleNormal="100" workbookViewId="0">
      <selection activeCell="I3" sqref="I3"/>
    </sheetView>
  </sheetViews>
  <sheetFormatPr defaultColWidth="11.42578125" defaultRowHeight="14.45"/>
  <cols>
    <col min="1" max="1" width="19.140625" bestFit="1" customWidth="1"/>
    <col min="2" max="2" width="9.7109375" bestFit="1" customWidth="1"/>
    <col min="3" max="3" width="7.7109375" bestFit="1" customWidth="1"/>
    <col min="4" max="4" width="8.5703125" bestFit="1" customWidth="1"/>
    <col min="5" max="5" width="7.7109375" bestFit="1" customWidth="1"/>
    <col min="6" max="6" width="9.7109375" bestFit="1" customWidth="1"/>
    <col min="7" max="7" width="10.28515625" bestFit="1" customWidth="1"/>
    <col min="8" max="8" width="12.28515625" bestFit="1" customWidth="1"/>
    <col min="9" max="9" width="11.42578125" bestFit="1" customWidth="1"/>
    <col min="10" max="10" width="7.7109375" bestFit="1" customWidth="1"/>
    <col min="11" max="11" width="9" bestFit="1" customWidth="1"/>
    <col min="13" max="13" width="19.140625" bestFit="1" customWidth="1"/>
    <col min="14" max="14" width="11" bestFit="1" customWidth="1"/>
    <col min="15" max="15" width="7.7109375" bestFit="1" customWidth="1"/>
    <col min="16" max="16" width="8.5703125" bestFit="1" customWidth="1"/>
    <col min="17" max="17" width="7.7109375" bestFit="1" customWidth="1"/>
    <col min="18" max="18" width="9.7109375" bestFit="1" customWidth="1"/>
    <col min="19" max="19" width="10.28515625" bestFit="1" customWidth="1"/>
    <col min="20" max="20" width="12.28515625" bestFit="1" customWidth="1"/>
    <col min="21" max="21" width="11.42578125" bestFit="1" customWidth="1"/>
    <col min="22" max="22" width="7.7109375" bestFit="1" customWidth="1"/>
  </cols>
  <sheetData>
    <row r="1" spans="1:11" ht="15.6">
      <c r="A1" s="16" t="s">
        <v>0</v>
      </c>
      <c r="B1" s="29"/>
      <c r="C1" s="30" t="s">
        <v>1</v>
      </c>
      <c r="D1" s="30" t="s">
        <v>2</v>
      </c>
      <c r="E1" s="30" t="s">
        <v>3</v>
      </c>
      <c r="F1" s="30" t="s">
        <v>4</v>
      </c>
      <c r="G1" s="30" t="s">
        <v>5</v>
      </c>
      <c r="H1" s="30" t="s">
        <v>6</v>
      </c>
      <c r="I1" s="30" t="s">
        <v>7</v>
      </c>
      <c r="J1" s="32"/>
      <c r="K1" s="33">
        <v>0.01</v>
      </c>
    </row>
    <row r="2" spans="1:11" ht="15.6">
      <c r="A2" s="17"/>
      <c r="B2" s="25" t="s">
        <v>8</v>
      </c>
      <c r="C2" s="36">
        <v>0</v>
      </c>
      <c r="D2" s="31">
        <v>0</v>
      </c>
      <c r="E2" s="31">
        <v>0</v>
      </c>
      <c r="F2" s="31">
        <v>0</v>
      </c>
      <c r="G2" s="31">
        <v>0</v>
      </c>
      <c r="H2" s="31">
        <v>1</v>
      </c>
      <c r="I2" s="31">
        <v>9.7998999999999992</v>
      </c>
      <c r="J2" s="18" t="s">
        <v>9</v>
      </c>
      <c r="K2" s="19" t="s">
        <v>10</v>
      </c>
    </row>
    <row r="3" spans="1:11" ht="15.6">
      <c r="A3" s="17"/>
      <c r="B3" s="37">
        <v>-11</v>
      </c>
      <c r="C3" s="34"/>
      <c r="D3" s="2">
        <f t="shared" ref="D3:I3" si="0">$B3*C4</f>
        <v>0</v>
      </c>
      <c r="E3" s="2">
        <f t="shared" si="0"/>
        <v>0</v>
      </c>
      <c r="F3" s="2">
        <f t="shared" si="0"/>
        <v>0</v>
      </c>
      <c r="G3" s="2">
        <f t="shared" si="0"/>
        <v>0</v>
      </c>
      <c r="H3" s="2">
        <f t="shared" si="0"/>
        <v>0</v>
      </c>
      <c r="I3" s="2">
        <f t="shared" si="0"/>
        <v>-11</v>
      </c>
      <c r="J3" s="5"/>
      <c r="K3" s="6"/>
    </row>
    <row r="4" spans="1:11" ht="15.6">
      <c r="B4" s="4"/>
      <c r="C4" s="20">
        <f>SUM(C2:C3)</f>
        <v>0</v>
      </c>
      <c r="D4" s="5">
        <f t="shared" ref="D4:I4" si="1">SUM(D2:D3)</f>
        <v>0</v>
      </c>
      <c r="E4" s="6">
        <f t="shared" si="1"/>
        <v>0</v>
      </c>
      <c r="F4" s="6">
        <f t="shared" si="1"/>
        <v>0</v>
      </c>
      <c r="G4" s="6">
        <f t="shared" si="1"/>
        <v>0</v>
      </c>
      <c r="H4" s="6">
        <f t="shared" si="1"/>
        <v>1</v>
      </c>
      <c r="I4" s="7">
        <f t="shared" si="1"/>
        <v>-1.2001000000000008</v>
      </c>
      <c r="J4" s="5"/>
      <c r="K4" s="6"/>
    </row>
    <row r="5" spans="1:11" ht="15.6" thickBot="1">
      <c r="C5" s="21"/>
      <c r="D5" s="22">
        <f>$B3*C6</f>
        <v>0</v>
      </c>
      <c r="E5" s="23">
        <f>$B3*D6</f>
        <v>0</v>
      </c>
      <c r="F5" s="23">
        <f>$B3*E6</f>
        <v>0</v>
      </c>
      <c r="G5" s="23">
        <f>$B3*F6</f>
        <v>0</v>
      </c>
      <c r="H5" s="24">
        <f>$B3*G6</f>
        <v>0</v>
      </c>
      <c r="I5" s="1"/>
      <c r="J5" s="6"/>
      <c r="K5" s="6"/>
    </row>
    <row r="6" spans="1:11" ht="15.6">
      <c r="C6" s="13">
        <f>SUM(C4:C5)</f>
        <v>0</v>
      </c>
      <c r="D6" s="13">
        <f t="shared" ref="D6:H6" si="2">SUM(D4:D5)</f>
        <v>0</v>
      </c>
      <c r="E6" s="13">
        <f t="shared" si="2"/>
        <v>0</v>
      </c>
      <c r="F6" s="13">
        <f t="shared" si="2"/>
        <v>0</v>
      </c>
      <c r="G6" s="13">
        <f t="shared" si="2"/>
        <v>0</v>
      </c>
      <c r="H6" s="8">
        <f t="shared" si="2"/>
        <v>1</v>
      </c>
      <c r="I6" s="9"/>
      <c r="J6" s="6"/>
      <c r="K6" s="5"/>
    </row>
    <row r="7" spans="1:11" ht="15">
      <c r="C7" s="9"/>
      <c r="D7" s="9"/>
      <c r="E7" s="9"/>
      <c r="F7" s="9"/>
      <c r="G7" s="9"/>
      <c r="H7" s="9"/>
      <c r="I7" s="9"/>
      <c r="J7" s="6"/>
      <c r="K7" s="5"/>
    </row>
    <row r="8" spans="1:11" ht="15">
      <c r="B8" s="25" t="s">
        <v>11</v>
      </c>
      <c r="C8" s="10">
        <f t="shared" ref="C8:I8" si="3">C2</f>
        <v>0</v>
      </c>
      <c r="D8" s="11">
        <f t="shared" si="3"/>
        <v>0</v>
      </c>
      <c r="E8" s="11">
        <f t="shared" si="3"/>
        <v>0</v>
      </c>
      <c r="F8" s="11">
        <f t="shared" si="3"/>
        <v>0</v>
      </c>
      <c r="G8" s="11">
        <f t="shared" si="3"/>
        <v>0</v>
      </c>
      <c r="H8" s="11">
        <f t="shared" si="3"/>
        <v>1</v>
      </c>
      <c r="I8" s="12">
        <f t="shared" si="3"/>
        <v>9.7998999999999992</v>
      </c>
      <c r="J8" s="6"/>
      <c r="K8" s="5"/>
    </row>
    <row r="9" spans="1:11" ht="15">
      <c r="B9" s="12">
        <f>B3-I4/H6</f>
        <v>-9.7998999999999992</v>
      </c>
      <c r="C9" s="40"/>
      <c r="D9" s="6">
        <f t="shared" ref="D9:I9" si="4">$B9*C10</f>
        <v>0</v>
      </c>
      <c r="E9" s="6">
        <f>$B9*D10</f>
        <v>0</v>
      </c>
      <c r="F9" s="6">
        <f t="shared" si="4"/>
        <v>0</v>
      </c>
      <c r="G9" s="6">
        <f t="shared" si="4"/>
        <v>0</v>
      </c>
      <c r="H9" s="6">
        <f t="shared" si="4"/>
        <v>0</v>
      </c>
      <c r="I9" s="6">
        <f t="shared" si="4"/>
        <v>-9.7998999999999992</v>
      </c>
      <c r="J9" s="26">
        <f>ABS(B9-B3)</f>
        <v>1.2001000000000008</v>
      </c>
      <c r="K9" s="6">
        <f xml:space="preserve"> ABS(J9/B9)*100</f>
        <v>12.246043326972734</v>
      </c>
    </row>
    <row r="10" spans="1:11" ht="15.6">
      <c r="B10" s="35"/>
      <c r="C10" s="26">
        <f t="shared" ref="C10:I10" si="5">SUM(C8:C9)</f>
        <v>0</v>
      </c>
      <c r="D10" s="13">
        <f t="shared" si="5"/>
        <v>0</v>
      </c>
      <c r="E10" s="13">
        <f t="shared" si="5"/>
        <v>0</v>
      </c>
      <c r="F10" s="13">
        <f>SUM(F8:F9)</f>
        <v>0</v>
      </c>
      <c r="G10" s="13">
        <f t="shared" si="5"/>
        <v>0</v>
      </c>
      <c r="H10" s="13">
        <f t="shared" si="5"/>
        <v>1</v>
      </c>
      <c r="I10" s="14">
        <f t="shared" si="5"/>
        <v>0</v>
      </c>
    </row>
    <row r="11" spans="1:11" ht="15.6" thickBot="1">
      <c r="B11" s="38"/>
      <c r="C11" s="42"/>
      <c r="D11" s="23">
        <f>$B9*C12</f>
        <v>0</v>
      </c>
      <c r="E11" s="23">
        <f>$B9*D12</f>
        <v>0</v>
      </c>
      <c r="F11" s="23">
        <f>$B9*E12</f>
        <v>0</v>
      </c>
      <c r="G11" s="23">
        <f>$B9*F12</f>
        <v>0</v>
      </c>
      <c r="H11" s="23">
        <f>$B9*G12</f>
        <v>0</v>
      </c>
      <c r="I11" s="39"/>
    </row>
    <row r="12" spans="1:11" ht="15.6">
      <c r="C12" s="13">
        <f t="shared" ref="C12:H12" si="6">SUM(C10:C11)</f>
        <v>0</v>
      </c>
      <c r="D12" s="13">
        <f t="shared" si="6"/>
        <v>0</v>
      </c>
      <c r="E12" s="13">
        <f t="shared" si="6"/>
        <v>0</v>
      </c>
      <c r="F12" s="13">
        <f t="shared" si="6"/>
        <v>0</v>
      </c>
      <c r="G12" s="13">
        <f t="shared" si="6"/>
        <v>0</v>
      </c>
      <c r="H12" s="8">
        <f t="shared" si="6"/>
        <v>1</v>
      </c>
    </row>
    <row r="14" spans="1:11" ht="15">
      <c r="B14" s="25" t="s">
        <v>12</v>
      </c>
      <c r="C14" s="27">
        <f t="shared" ref="C14:I14" si="7">C8</f>
        <v>0</v>
      </c>
      <c r="D14" s="28">
        <f t="shared" si="7"/>
        <v>0</v>
      </c>
      <c r="E14" s="28">
        <f t="shared" si="7"/>
        <v>0</v>
      </c>
      <c r="F14" s="28">
        <f t="shared" si="7"/>
        <v>0</v>
      </c>
      <c r="G14" s="28">
        <f t="shared" si="7"/>
        <v>0</v>
      </c>
      <c r="H14" s="28">
        <f t="shared" si="7"/>
        <v>1</v>
      </c>
      <c r="I14" s="28">
        <f t="shared" si="7"/>
        <v>9.7998999999999992</v>
      </c>
    </row>
    <row r="15" spans="1:11" ht="15">
      <c r="B15" s="41">
        <f>B9-I10/H12</f>
        <v>-9.7998999999999992</v>
      </c>
      <c r="C15" s="5"/>
      <c r="D15" s="6">
        <f t="shared" ref="D15:I15" si="8">$B15*C16</f>
        <v>0</v>
      </c>
      <c r="E15" s="6">
        <f t="shared" si="8"/>
        <v>0</v>
      </c>
      <c r="F15" s="6">
        <f t="shared" si="8"/>
        <v>0</v>
      </c>
      <c r="G15" s="6">
        <f t="shared" si="8"/>
        <v>0</v>
      </c>
      <c r="H15" s="6">
        <f t="shared" si="8"/>
        <v>0</v>
      </c>
      <c r="I15" s="6">
        <f t="shared" si="8"/>
        <v>-9.7998999999999992</v>
      </c>
      <c r="J15" s="5">
        <f>ABS(B15-B9)</f>
        <v>0</v>
      </c>
      <c r="K15" s="6">
        <f xml:space="preserve"> ABS(J15/B15)*100</f>
        <v>0</v>
      </c>
    </row>
    <row r="16" spans="1:11" ht="15.6">
      <c r="B16" s="35"/>
      <c r="C16" s="26">
        <f t="shared" ref="C16:I16" si="9">SUM(C14:C15)</f>
        <v>0</v>
      </c>
      <c r="D16" s="13">
        <f t="shared" si="9"/>
        <v>0</v>
      </c>
      <c r="E16" s="13">
        <f t="shared" si="9"/>
        <v>0</v>
      </c>
      <c r="F16" s="13">
        <f t="shared" si="9"/>
        <v>0</v>
      </c>
      <c r="G16" s="13">
        <f t="shared" si="9"/>
        <v>0</v>
      </c>
      <c r="H16" s="13">
        <f t="shared" si="9"/>
        <v>1</v>
      </c>
      <c r="I16" s="14">
        <f t="shared" si="9"/>
        <v>0</v>
      </c>
    </row>
    <row r="17" spans="1:11" ht="15.6" thickBot="1">
      <c r="B17" s="38"/>
      <c r="C17" s="22"/>
      <c r="D17" s="23">
        <f>$B15*C18</f>
        <v>0</v>
      </c>
      <c r="E17" s="23">
        <f>$B15*D18</f>
        <v>0</v>
      </c>
      <c r="F17" s="23">
        <f>$B15*E18</f>
        <v>0</v>
      </c>
      <c r="G17" s="23">
        <f>$B15*F18</f>
        <v>0</v>
      </c>
      <c r="H17" s="23">
        <f>$B15*G18</f>
        <v>0</v>
      </c>
      <c r="I17" s="24"/>
    </row>
    <row r="18" spans="1:11" ht="15.6">
      <c r="C18" s="13">
        <f t="shared" ref="C18:H18" si="10">SUM(C16:C17)</f>
        <v>0</v>
      </c>
      <c r="D18" s="13">
        <f t="shared" si="10"/>
        <v>0</v>
      </c>
      <c r="E18" s="13">
        <f t="shared" si="10"/>
        <v>0</v>
      </c>
      <c r="F18" s="13">
        <f t="shared" si="10"/>
        <v>0</v>
      </c>
      <c r="G18" s="13">
        <f t="shared" si="10"/>
        <v>0</v>
      </c>
      <c r="H18" s="8">
        <f t="shared" si="10"/>
        <v>1</v>
      </c>
      <c r="I18" s="15"/>
    </row>
    <row r="20" spans="1:11" ht="15">
      <c r="B20" s="25" t="s">
        <v>13</v>
      </c>
      <c r="C20" s="27">
        <f t="shared" ref="C20:I20" si="11">C14</f>
        <v>0</v>
      </c>
      <c r="D20" s="28">
        <f t="shared" si="11"/>
        <v>0</v>
      </c>
      <c r="E20" s="28">
        <f t="shared" si="11"/>
        <v>0</v>
      </c>
      <c r="F20" s="28">
        <f t="shared" si="11"/>
        <v>0</v>
      </c>
      <c r="G20" s="28">
        <f t="shared" si="11"/>
        <v>0</v>
      </c>
      <c r="H20" s="28">
        <f t="shared" si="11"/>
        <v>1</v>
      </c>
      <c r="I20" s="28">
        <f t="shared" si="11"/>
        <v>9.7998999999999992</v>
      </c>
      <c r="J20" s="15"/>
      <c r="K20" s="15"/>
    </row>
    <row r="21" spans="1:11" ht="15">
      <c r="B21" s="12">
        <f>B15-I16/H18</f>
        <v>-9.7998999999999992</v>
      </c>
      <c r="C21" s="20"/>
      <c r="D21" s="6">
        <f t="shared" ref="D21:I21" si="12">$B21*C22</f>
        <v>0</v>
      </c>
      <c r="E21" s="6">
        <f t="shared" si="12"/>
        <v>0</v>
      </c>
      <c r="F21" s="6">
        <f t="shared" si="12"/>
        <v>0</v>
      </c>
      <c r="G21" s="6">
        <f t="shared" si="12"/>
        <v>0</v>
      </c>
      <c r="H21" s="6">
        <f t="shared" si="12"/>
        <v>0</v>
      </c>
      <c r="I21" s="6">
        <f t="shared" si="12"/>
        <v>-9.7998999999999992</v>
      </c>
      <c r="J21" s="5">
        <f>ABS(B21-B15)</f>
        <v>0</v>
      </c>
      <c r="K21" s="6">
        <f xml:space="preserve"> ABS(J21/B21)*100</f>
        <v>0</v>
      </c>
    </row>
    <row r="22" spans="1:11" ht="15.6">
      <c r="B22" s="35"/>
      <c r="C22" s="26">
        <f t="shared" ref="C22:I22" si="13">SUM(C20:C21)</f>
        <v>0</v>
      </c>
      <c r="D22" s="13">
        <f t="shared" si="13"/>
        <v>0</v>
      </c>
      <c r="E22" s="13">
        <f t="shared" si="13"/>
        <v>0</v>
      </c>
      <c r="F22" s="13">
        <f t="shared" si="13"/>
        <v>0</v>
      </c>
      <c r="G22" s="13">
        <f t="shared" si="13"/>
        <v>0</v>
      </c>
      <c r="H22" s="13">
        <f t="shared" si="13"/>
        <v>1</v>
      </c>
      <c r="I22" s="14">
        <f t="shared" si="13"/>
        <v>0</v>
      </c>
      <c r="J22" s="15"/>
      <c r="K22" s="15"/>
    </row>
    <row r="23" spans="1:11" ht="15.6" thickBot="1">
      <c r="B23" s="38"/>
      <c r="C23" s="22"/>
      <c r="D23" s="23">
        <f>$B21*C24</f>
        <v>0</v>
      </c>
      <c r="E23" s="23">
        <f>$B21*D24</f>
        <v>0</v>
      </c>
      <c r="F23" s="23">
        <f>$B21*E24</f>
        <v>0</v>
      </c>
      <c r="G23" s="23">
        <f>$B21*F24</f>
        <v>0</v>
      </c>
      <c r="H23" s="23">
        <f>$B21*G24</f>
        <v>0</v>
      </c>
      <c r="I23" s="24"/>
      <c r="J23" s="15"/>
      <c r="K23" s="15"/>
    </row>
    <row r="24" spans="1:11" ht="15.6">
      <c r="C24" s="13">
        <f t="shared" ref="C24:H24" si="14">SUM(C22:C23)</f>
        <v>0</v>
      </c>
      <c r="D24" s="13">
        <f t="shared" si="14"/>
        <v>0</v>
      </c>
      <c r="E24" s="13">
        <f t="shared" si="14"/>
        <v>0</v>
      </c>
      <c r="F24" s="13">
        <f t="shared" si="14"/>
        <v>0</v>
      </c>
      <c r="G24" s="13">
        <f t="shared" si="14"/>
        <v>0</v>
      </c>
      <c r="H24" s="8">
        <f t="shared" si="14"/>
        <v>1</v>
      </c>
      <c r="I24" s="15"/>
      <c r="J24" s="15"/>
      <c r="K24" s="15"/>
    </row>
    <row r="26" spans="1:11" ht="15">
      <c r="B26" s="25" t="s">
        <v>14</v>
      </c>
      <c r="C26" s="27">
        <f t="shared" ref="C26:I26" si="15">C20</f>
        <v>0</v>
      </c>
      <c r="D26" s="28">
        <f t="shared" si="15"/>
        <v>0</v>
      </c>
      <c r="E26" s="28">
        <f t="shared" si="15"/>
        <v>0</v>
      </c>
      <c r="F26" s="28">
        <f t="shared" si="15"/>
        <v>0</v>
      </c>
      <c r="G26" s="28">
        <f t="shared" si="15"/>
        <v>0</v>
      </c>
      <c r="H26" s="28">
        <f t="shared" si="15"/>
        <v>1</v>
      </c>
      <c r="I26" s="28">
        <f t="shared" si="15"/>
        <v>9.7998999999999992</v>
      </c>
      <c r="J26" s="15"/>
      <c r="K26" s="15"/>
    </row>
    <row r="27" spans="1:11" ht="15">
      <c r="B27" s="12">
        <f>B21-I22/H24</f>
        <v>-9.7998999999999992</v>
      </c>
      <c r="C27" s="20"/>
      <c r="D27" s="6">
        <f t="shared" ref="D27:I27" si="16">$B27*C28</f>
        <v>0</v>
      </c>
      <c r="E27" s="6">
        <f t="shared" si="16"/>
        <v>0</v>
      </c>
      <c r="F27" s="6">
        <f t="shared" si="16"/>
        <v>0</v>
      </c>
      <c r="G27" s="6">
        <f t="shared" si="16"/>
        <v>0</v>
      </c>
      <c r="H27" s="6">
        <f t="shared" si="16"/>
        <v>0</v>
      </c>
      <c r="I27" s="6">
        <f t="shared" si="16"/>
        <v>-9.7998999999999992</v>
      </c>
      <c r="J27" s="5">
        <f>ABS(B27-B21)</f>
        <v>0</v>
      </c>
      <c r="K27" s="6">
        <f xml:space="preserve"> ABS(J27/B27)*100</f>
        <v>0</v>
      </c>
    </row>
    <row r="28" spans="1:11" ht="15.6">
      <c r="B28" s="35"/>
      <c r="C28" s="26">
        <f t="shared" ref="C28:I28" si="17">SUM(C26:C27)</f>
        <v>0</v>
      </c>
      <c r="D28" s="13">
        <f t="shared" si="17"/>
        <v>0</v>
      </c>
      <c r="E28" s="13">
        <f t="shared" si="17"/>
        <v>0</v>
      </c>
      <c r="F28" s="13">
        <f t="shared" si="17"/>
        <v>0</v>
      </c>
      <c r="G28" s="13">
        <f t="shared" si="17"/>
        <v>0</v>
      </c>
      <c r="H28" s="13">
        <f t="shared" si="17"/>
        <v>1</v>
      </c>
      <c r="I28" s="14">
        <f t="shared" si="17"/>
        <v>0</v>
      </c>
      <c r="J28" s="15"/>
      <c r="K28" s="15"/>
    </row>
    <row r="29" spans="1:11" ht="15.6" thickBot="1">
      <c r="B29" s="38"/>
      <c r="C29" s="22"/>
      <c r="D29" s="23">
        <f>$B27*C30</f>
        <v>0</v>
      </c>
      <c r="E29" s="23">
        <f>$B27*D30</f>
        <v>0</v>
      </c>
      <c r="F29" s="23">
        <f>$B27*E30</f>
        <v>0</v>
      </c>
      <c r="G29" s="23">
        <f>$B27*F30</f>
        <v>0</v>
      </c>
      <c r="H29" s="23">
        <f>$B27*G30</f>
        <v>0</v>
      </c>
      <c r="I29" s="24"/>
      <c r="J29" s="15"/>
      <c r="K29" s="15"/>
    </row>
    <row r="30" spans="1:11" ht="15.6">
      <c r="C30" s="13">
        <f t="shared" ref="C30:H30" si="18">SUM(C28:C29)</f>
        <v>0</v>
      </c>
      <c r="D30" s="13">
        <f t="shared" si="18"/>
        <v>0</v>
      </c>
      <c r="E30" s="13">
        <f t="shared" si="18"/>
        <v>0</v>
      </c>
      <c r="F30" s="13">
        <f t="shared" si="18"/>
        <v>0</v>
      </c>
      <c r="G30" s="13">
        <f t="shared" si="18"/>
        <v>0</v>
      </c>
      <c r="H30" s="8">
        <f t="shared" si="18"/>
        <v>1</v>
      </c>
      <c r="I30" s="15"/>
      <c r="J30" s="15"/>
      <c r="K30" s="15"/>
    </row>
    <row r="32" spans="1:11" ht="15.6">
      <c r="A32" s="16" t="s">
        <v>0</v>
      </c>
      <c r="B32" s="29"/>
      <c r="C32" s="30" t="s">
        <v>1</v>
      </c>
      <c r="D32" s="30" t="s">
        <v>2</v>
      </c>
      <c r="E32" s="30" t="s">
        <v>3</v>
      </c>
      <c r="F32" s="30" t="s">
        <v>4</v>
      </c>
      <c r="G32" s="30" t="s">
        <v>5</v>
      </c>
      <c r="H32" s="30" t="s">
        <v>6</v>
      </c>
      <c r="I32" s="30" t="s">
        <v>7</v>
      </c>
      <c r="J32" s="32"/>
      <c r="K32" s="33">
        <v>0.01</v>
      </c>
    </row>
    <row r="33" spans="1:11" ht="15.6">
      <c r="A33" s="17"/>
      <c r="B33" s="25" t="s">
        <v>8</v>
      </c>
      <c r="C33" s="36">
        <v>0</v>
      </c>
      <c r="D33" s="31">
        <v>0</v>
      </c>
      <c r="E33" s="31">
        <v>0</v>
      </c>
      <c r="F33" s="31">
        <v>1</v>
      </c>
      <c r="G33" s="31">
        <v>6.6</v>
      </c>
      <c r="H33" s="31">
        <v>-29.05</v>
      </c>
      <c r="I33" s="31">
        <v>22.64</v>
      </c>
      <c r="J33" s="18" t="s">
        <v>9</v>
      </c>
      <c r="K33" s="19" t="s">
        <v>10</v>
      </c>
    </row>
    <row r="34" spans="1:11" ht="15.6">
      <c r="A34" s="17"/>
      <c r="B34" s="37">
        <v>1</v>
      </c>
      <c r="C34" s="34"/>
      <c r="D34" s="2">
        <f t="shared" ref="D34:I34" si="19">$B34*C35</f>
        <v>0</v>
      </c>
      <c r="E34" s="2">
        <f t="shared" si="19"/>
        <v>0</v>
      </c>
      <c r="F34" s="2">
        <f t="shared" si="19"/>
        <v>0</v>
      </c>
      <c r="G34" s="2">
        <f t="shared" si="19"/>
        <v>1</v>
      </c>
      <c r="H34" s="2">
        <f t="shared" si="19"/>
        <v>7.6</v>
      </c>
      <c r="I34" s="2">
        <f t="shared" si="19"/>
        <v>-21.450000000000003</v>
      </c>
      <c r="J34" s="5"/>
      <c r="K34" s="6"/>
    </row>
    <row r="35" spans="1:11" ht="15.6">
      <c r="B35" s="4"/>
      <c r="C35" s="20">
        <f>SUM(C33:C34)</f>
        <v>0</v>
      </c>
      <c r="D35" s="5">
        <f t="shared" ref="D35:I35" si="20">SUM(D33:D34)</f>
        <v>0</v>
      </c>
      <c r="E35" s="6">
        <f t="shared" si="20"/>
        <v>0</v>
      </c>
      <c r="F35" s="6">
        <f t="shared" si="20"/>
        <v>1</v>
      </c>
      <c r="G35" s="6">
        <f t="shared" si="20"/>
        <v>7.6</v>
      </c>
      <c r="H35" s="6">
        <f t="shared" si="20"/>
        <v>-21.450000000000003</v>
      </c>
      <c r="I35" s="7">
        <f t="shared" si="20"/>
        <v>1.1899999999999977</v>
      </c>
      <c r="J35" s="5"/>
      <c r="K35" s="6"/>
    </row>
    <row r="36" spans="1:11" ht="15.6" thickBot="1">
      <c r="C36" s="21"/>
      <c r="D36" s="22">
        <f>$B34*C37</f>
        <v>0</v>
      </c>
      <c r="E36" s="23">
        <f>$B34*D37</f>
        <v>0</v>
      </c>
      <c r="F36" s="23">
        <f>$B34*E37</f>
        <v>0</v>
      </c>
      <c r="G36" s="23">
        <f>$B34*F37</f>
        <v>1</v>
      </c>
      <c r="H36" s="24">
        <f>$B34*G37</f>
        <v>8.6</v>
      </c>
      <c r="I36" s="1"/>
      <c r="J36" s="6"/>
      <c r="K36" s="6"/>
    </row>
    <row r="37" spans="1:11" ht="15.6">
      <c r="C37" s="13">
        <f>SUM(C35:C36)</f>
        <v>0</v>
      </c>
      <c r="D37" s="13">
        <f t="shared" ref="D37:H37" si="21">SUM(D35:D36)</f>
        <v>0</v>
      </c>
      <c r="E37" s="13">
        <f t="shared" si="21"/>
        <v>0</v>
      </c>
      <c r="F37" s="13">
        <f t="shared" si="21"/>
        <v>1</v>
      </c>
      <c r="G37" s="13">
        <f t="shared" si="21"/>
        <v>8.6</v>
      </c>
      <c r="H37" s="8">
        <f t="shared" si="21"/>
        <v>-12.850000000000003</v>
      </c>
      <c r="I37" s="9"/>
      <c r="J37" s="6"/>
      <c r="K37" s="5"/>
    </row>
    <row r="38" spans="1:11" ht="15">
      <c r="C38" s="9"/>
      <c r="D38" s="9"/>
      <c r="E38" s="9"/>
      <c r="F38" s="9"/>
      <c r="G38" s="9"/>
      <c r="H38" s="9"/>
      <c r="I38" s="9"/>
      <c r="J38" s="6"/>
      <c r="K38" s="5"/>
    </row>
    <row r="39" spans="1:11" ht="15">
      <c r="B39" s="25" t="s">
        <v>11</v>
      </c>
      <c r="C39" s="10">
        <f t="shared" ref="C39:I39" si="22">C33</f>
        <v>0</v>
      </c>
      <c r="D39" s="11">
        <f t="shared" si="22"/>
        <v>0</v>
      </c>
      <c r="E39" s="11">
        <f t="shared" si="22"/>
        <v>0</v>
      </c>
      <c r="F39" s="11">
        <f t="shared" si="22"/>
        <v>1</v>
      </c>
      <c r="G39" s="11">
        <f t="shared" si="22"/>
        <v>6.6</v>
      </c>
      <c r="H39" s="11">
        <f t="shared" si="22"/>
        <v>-29.05</v>
      </c>
      <c r="I39" s="12">
        <f t="shared" si="22"/>
        <v>22.64</v>
      </c>
      <c r="J39" s="6"/>
      <c r="K39" s="5"/>
    </row>
    <row r="40" spans="1:11" ht="15">
      <c r="B40" s="12">
        <f>B34-I35/H37</f>
        <v>1.0926070038910505</v>
      </c>
      <c r="C40" s="40"/>
      <c r="D40" s="6">
        <f t="shared" ref="D40:I40" si="23">$B40*C41</f>
        <v>0</v>
      </c>
      <c r="E40" s="6">
        <f>$B40*D41</f>
        <v>0</v>
      </c>
      <c r="F40" s="6">
        <f t="shared" si="23"/>
        <v>0</v>
      </c>
      <c r="G40" s="6">
        <f t="shared" si="23"/>
        <v>1.0926070038910505</v>
      </c>
      <c r="H40" s="6">
        <f t="shared" si="23"/>
        <v>8.4049962906327114</v>
      </c>
      <c r="I40" s="6">
        <f t="shared" si="23"/>
        <v>-22.556875648211417</v>
      </c>
      <c r="J40" s="26">
        <f>ABS(B40-B34)</f>
        <v>9.2607003891050477E-2</v>
      </c>
      <c r="K40" s="6">
        <f xml:space="preserve"> ABS(J40/B40)*100</f>
        <v>8.4757834757834676</v>
      </c>
    </row>
    <row r="41" spans="1:11" ht="15.6">
      <c r="B41" s="35"/>
      <c r="C41" s="26">
        <f t="shared" ref="C41:I41" si="24">SUM(C39:C40)</f>
        <v>0</v>
      </c>
      <c r="D41" s="13">
        <f t="shared" si="24"/>
        <v>0</v>
      </c>
      <c r="E41" s="13">
        <f t="shared" si="24"/>
        <v>0</v>
      </c>
      <c r="F41" s="13">
        <f>SUM(F39:F40)</f>
        <v>1</v>
      </c>
      <c r="G41" s="13">
        <f t="shared" si="24"/>
        <v>7.6926070038910499</v>
      </c>
      <c r="H41" s="13">
        <f t="shared" si="24"/>
        <v>-20.645003709367288</v>
      </c>
      <c r="I41" s="14">
        <f t="shared" si="24"/>
        <v>8.3124351788583795E-2</v>
      </c>
    </row>
    <row r="42" spans="1:11" ht="15.6" thickBot="1">
      <c r="B42" s="38"/>
      <c r="C42" s="42"/>
      <c r="D42" s="23">
        <f>$B40*C43</f>
        <v>0</v>
      </c>
      <c r="E42" s="23">
        <f>$B40*D43</f>
        <v>0</v>
      </c>
      <c r="F42" s="23">
        <f>$B40*E43</f>
        <v>0</v>
      </c>
      <c r="G42" s="23">
        <f>$B40*F43</f>
        <v>1.0926070038910505</v>
      </c>
      <c r="H42" s="23">
        <f>$B40*G43</f>
        <v>9.5987863555844886</v>
      </c>
      <c r="I42" s="39"/>
    </row>
    <row r="43" spans="1:11" ht="15.6">
      <c r="C43" s="13">
        <f t="shared" ref="C43:H43" si="25">SUM(C41:C42)</f>
        <v>0</v>
      </c>
      <c r="D43" s="13">
        <f t="shared" si="25"/>
        <v>0</v>
      </c>
      <c r="E43" s="13">
        <f t="shared" si="25"/>
        <v>0</v>
      </c>
      <c r="F43" s="13">
        <f t="shared" si="25"/>
        <v>1</v>
      </c>
      <c r="G43" s="13">
        <f t="shared" si="25"/>
        <v>8.7852140077821002</v>
      </c>
      <c r="H43" s="8">
        <f t="shared" si="25"/>
        <v>-11.046217353782799</v>
      </c>
    </row>
    <row r="45" spans="1:11" ht="15">
      <c r="B45" s="25" t="s">
        <v>12</v>
      </c>
      <c r="C45" s="27">
        <f t="shared" ref="C45:I45" si="26">C39</f>
        <v>0</v>
      </c>
      <c r="D45" s="28">
        <f t="shared" si="26"/>
        <v>0</v>
      </c>
      <c r="E45" s="28">
        <f t="shared" si="26"/>
        <v>0</v>
      </c>
      <c r="F45" s="28">
        <f t="shared" si="26"/>
        <v>1</v>
      </c>
      <c r="G45" s="28">
        <f t="shared" si="26"/>
        <v>6.6</v>
      </c>
      <c r="H45" s="28">
        <f t="shared" si="26"/>
        <v>-29.05</v>
      </c>
      <c r="I45" s="28">
        <f t="shared" si="26"/>
        <v>22.64</v>
      </c>
    </row>
    <row r="46" spans="1:11" ht="15">
      <c r="B46" s="41">
        <f>B40-I41/H43</f>
        <v>1.1001321456772672</v>
      </c>
      <c r="C46" s="5"/>
      <c r="D46" s="6">
        <f t="shared" ref="D46:I46" si="27">$B46*C47</f>
        <v>0</v>
      </c>
      <c r="E46" s="6">
        <f t="shared" si="27"/>
        <v>0</v>
      </c>
      <c r="F46" s="6">
        <f t="shared" si="27"/>
        <v>0</v>
      </c>
      <c r="G46" s="6">
        <f t="shared" si="27"/>
        <v>1.1001321456772672</v>
      </c>
      <c r="H46" s="6">
        <f t="shared" si="27"/>
        <v>8.4711628994224313</v>
      </c>
      <c r="I46" s="6">
        <f t="shared" si="27"/>
        <v>-22.639440215001354</v>
      </c>
      <c r="J46" s="5">
        <f>ABS(B46-B40)</f>
        <v>7.5251417862167713E-3</v>
      </c>
      <c r="K46" s="6">
        <f xml:space="preserve"> ABS(J46/B46)*100</f>
        <v>0.68402162556427415</v>
      </c>
    </row>
    <row r="47" spans="1:11" ht="15.6">
      <c r="B47" s="35"/>
      <c r="C47" s="26">
        <f t="shared" ref="C47:I47" si="28">SUM(C45:C46)</f>
        <v>0</v>
      </c>
      <c r="D47" s="13">
        <f t="shared" si="28"/>
        <v>0</v>
      </c>
      <c r="E47" s="13">
        <f t="shared" si="28"/>
        <v>0</v>
      </c>
      <c r="F47" s="13">
        <f t="shared" si="28"/>
        <v>1</v>
      </c>
      <c r="G47" s="13">
        <f t="shared" si="28"/>
        <v>7.7001321456772667</v>
      </c>
      <c r="H47" s="13">
        <f t="shared" si="28"/>
        <v>-20.578837100577569</v>
      </c>
      <c r="I47" s="14">
        <f t="shared" si="28"/>
        <v>5.5978499864650644E-4</v>
      </c>
    </row>
    <row r="48" spans="1:11" ht="15.6" thickBot="1">
      <c r="B48" s="38"/>
      <c r="C48" s="22"/>
      <c r="D48" s="23">
        <f>$B46*C49</f>
        <v>0</v>
      </c>
      <c r="E48" s="23">
        <f>$B46*D49</f>
        <v>0</v>
      </c>
      <c r="F48" s="23">
        <f>$B46*E49</f>
        <v>0</v>
      </c>
      <c r="G48" s="23">
        <f>$B46*F49</f>
        <v>1.1001321456772672</v>
      </c>
      <c r="H48" s="23">
        <f>$B46*G49</f>
        <v>9.6814536373748989</v>
      </c>
      <c r="I48" s="24"/>
    </row>
    <row r="49" spans="1:11" ht="15.6">
      <c r="C49" s="13">
        <f t="shared" ref="C49:H49" si="29">SUM(C47:C48)</f>
        <v>0</v>
      </c>
      <c r="D49" s="13">
        <f t="shared" si="29"/>
        <v>0</v>
      </c>
      <c r="E49" s="13">
        <f t="shared" si="29"/>
        <v>0</v>
      </c>
      <c r="F49" s="13">
        <f t="shared" si="29"/>
        <v>1</v>
      </c>
      <c r="G49" s="13">
        <f t="shared" si="29"/>
        <v>8.8002642913545337</v>
      </c>
      <c r="H49" s="8">
        <f t="shared" si="29"/>
        <v>-10.89738346320267</v>
      </c>
      <c r="I49" s="15"/>
    </row>
    <row r="51" spans="1:11" ht="15">
      <c r="B51" s="25" t="s">
        <v>13</v>
      </c>
      <c r="C51" s="27">
        <f t="shared" ref="C51:I51" si="30">C45</f>
        <v>0</v>
      </c>
      <c r="D51" s="28">
        <f t="shared" si="30"/>
        <v>0</v>
      </c>
      <c r="E51" s="28">
        <f t="shared" si="30"/>
        <v>0</v>
      </c>
      <c r="F51" s="28">
        <f t="shared" si="30"/>
        <v>1</v>
      </c>
      <c r="G51" s="28">
        <f t="shared" si="30"/>
        <v>6.6</v>
      </c>
      <c r="H51" s="28">
        <f t="shared" si="30"/>
        <v>-29.05</v>
      </c>
      <c r="I51" s="28">
        <f t="shared" si="30"/>
        <v>22.64</v>
      </c>
      <c r="J51" s="15"/>
      <c r="K51" s="15"/>
    </row>
    <row r="52" spans="1:11" ht="15">
      <c r="B52" s="12">
        <f>B46-I47/H49</f>
        <v>1.1001835144301919</v>
      </c>
      <c r="C52" s="20"/>
      <c r="D52" s="6">
        <f t="shared" ref="D52:I52" si="31">$B52*C53</f>
        <v>0</v>
      </c>
      <c r="E52" s="6">
        <f t="shared" si="31"/>
        <v>0</v>
      </c>
      <c r="F52" s="6">
        <f t="shared" si="31"/>
        <v>0</v>
      </c>
      <c r="G52" s="6">
        <f t="shared" si="31"/>
        <v>1.1001835144301919</v>
      </c>
      <c r="H52" s="6">
        <f t="shared" si="31"/>
        <v>8.4716149606632349</v>
      </c>
      <c r="I52" s="6">
        <f t="shared" si="31"/>
        <v>-22.639999973875206</v>
      </c>
      <c r="J52" s="5">
        <f>ABS(B52-B46)</f>
        <v>5.1368752924663141E-5</v>
      </c>
      <c r="K52" s="6">
        <f xml:space="preserve"> ABS(J52/B52)*100</f>
        <v>4.6691076762105542E-3</v>
      </c>
    </row>
    <row r="53" spans="1:11" ht="15.6">
      <c r="B53" s="35"/>
      <c r="C53" s="26">
        <f t="shared" ref="C53:I53" si="32">SUM(C51:C52)</f>
        <v>0</v>
      </c>
      <c r="D53" s="13">
        <f t="shared" si="32"/>
        <v>0</v>
      </c>
      <c r="E53" s="13">
        <f t="shared" si="32"/>
        <v>0</v>
      </c>
      <c r="F53" s="13">
        <f t="shared" si="32"/>
        <v>1</v>
      </c>
      <c r="G53" s="13">
        <f t="shared" si="32"/>
        <v>7.7001835144301918</v>
      </c>
      <c r="H53" s="13">
        <f t="shared" si="32"/>
        <v>-20.578385039336766</v>
      </c>
      <c r="I53" s="14">
        <f t="shared" si="32"/>
        <v>2.6124794771931192E-8</v>
      </c>
      <c r="J53" s="15"/>
      <c r="K53" s="15"/>
    </row>
    <row r="54" spans="1:11" ht="15.6" thickBot="1">
      <c r="B54" s="38"/>
      <c r="C54" s="22"/>
      <c r="D54" s="23">
        <f>$B52*C55</f>
        <v>0</v>
      </c>
      <c r="E54" s="23">
        <f>$B52*D55</f>
        <v>0</v>
      </c>
      <c r="F54" s="23">
        <f>$B52*E55</f>
        <v>0</v>
      </c>
      <c r="G54" s="23">
        <f>$B52*F55</f>
        <v>1.1001835144301919</v>
      </c>
      <c r="H54" s="23">
        <f>$B52*G55</f>
        <v>9.6820187260872039</v>
      </c>
      <c r="I54" s="24"/>
      <c r="J54" s="15"/>
      <c r="K54" s="15"/>
    </row>
    <row r="55" spans="1:11" ht="15.6">
      <c r="C55" s="13">
        <f t="shared" ref="C55:H55" si="33">SUM(C53:C54)</f>
        <v>0</v>
      </c>
      <c r="D55" s="13">
        <f t="shared" si="33"/>
        <v>0</v>
      </c>
      <c r="E55" s="13">
        <f t="shared" si="33"/>
        <v>0</v>
      </c>
      <c r="F55" s="13">
        <f t="shared" si="33"/>
        <v>1</v>
      </c>
      <c r="G55" s="13">
        <f t="shared" si="33"/>
        <v>8.8003670288603839</v>
      </c>
      <c r="H55" s="8">
        <f t="shared" si="33"/>
        <v>-10.896366313249562</v>
      </c>
      <c r="I55" s="15"/>
      <c r="J55" s="15"/>
      <c r="K55" s="15"/>
    </row>
    <row r="57" spans="1:11" ht="15">
      <c r="B57" s="25" t="s">
        <v>14</v>
      </c>
      <c r="C57" s="27">
        <f t="shared" ref="C57:I57" si="34">C51</f>
        <v>0</v>
      </c>
      <c r="D57" s="28">
        <f t="shared" si="34"/>
        <v>0</v>
      </c>
      <c r="E57" s="28">
        <f t="shared" si="34"/>
        <v>0</v>
      </c>
      <c r="F57" s="28">
        <f t="shared" si="34"/>
        <v>1</v>
      </c>
      <c r="G57" s="28">
        <f t="shared" si="34"/>
        <v>6.6</v>
      </c>
      <c r="H57" s="28">
        <f t="shared" si="34"/>
        <v>-29.05</v>
      </c>
      <c r="I57" s="28">
        <f t="shared" si="34"/>
        <v>22.64</v>
      </c>
      <c r="J57" s="15"/>
      <c r="K57" s="15"/>
    </row>
    <row r="58" spans="1:11" ht="15">
      <c r="B58" s="12">
        <f>B52-I53/H55</f>
        <v>1.1001835168277614</v>
      </c>
      <c r="C58" s="20"/>
      <c r="D58" s="6">
        <f t="shared" ref="D58:I58" si="35">$B58*C59</f>
        <v>0</v>
      </c>
      <c r="E58" s="6">
        <f t="shared" si="35"/>
        <v>0</v>
      </c>
      <c r="F58" s="6">
        <f t="shared" si="35"/>
        <v>0</v>
      </c>
      <c r="G58" s="6">
        <f t="shared" si="35"/>
        <v>1.1001835168277614</v>
      </c>
      <c r="H58" s="6">
        <f t="shared" si="35"/>
        <v>8.4716149817627251</v>
      </c>
      <c r="I58" s="6">
        <f t="shared" si="35"/>
        <v>-22.640000000000004</v>
      </c>
      <c r="J58" s="5">
        <f>ABS(B58-B52)</f>
        <v>2.3975694762867761E-9</v>
      </c>
      <c r="K58" s="6">
        <f xml:space="preserve"> ABS(J58/B58)*100</f>
        <v>2.1792450437722076E-7</v>
      </c>
    </row>
    <row r="59" spans="1:11" ht="15.6">
      <c r="B59" s="35"/>
      <c r="C59" s="26">
        <f t="shared" ref="C59:I59" si="36">SUM(C57:C58)</f>
        <v>0</v>
      </c>
      <c r="D59" s="13">
        <f t="shared" si="36"/>
        <v>0</v>
      </c>
      <c r="E59" s="13">
        <f t="shared" si="36"/>
        <v>0</v>
      </c>
      <c r="F59" s="13">
        <f t="shared" si="36"/>
        <v>1</v>
      </c>
      <c r="G59" s="13">
        <f t="shared" si="36"/>
        <v>7.700183516827761</v>
      </c>
      <c r="H59" s="13">
        <f t="shared" si="36"/>
        <v>-20.578385018237277</v>
      </c>
      <c r="I59" s="14">
        <f t="shared" si="36"/>
        <v>0</v>
      </c>
      <c r="J59" s="15"/>
      <c r="K59" s="15"/>
    </row>
    <row r="60" spans="1:11" ht="15.6" thickBot="1">
      <c r="B60" s="38"/>
      <c r="C60" s="22"/>
      <c r="D60" s="23">
        <f>$B58*C61</f>
        <v>0</v>
      </c>
      <c r="E60" s="23">
        <f>$B58*D61</f>
        <v>0</v>
      </c>
      <c r="F60" s="23">
        <f>$B58*E61</f>
        <v>0</v>
      </c>
      <c r="G60" s="23">
        <f>$B58*F61</f>
        <v>1.1001835168277614</v>
      </c>
      <c r="H60" s="23">
        <f>$B58*G61</f>
        <v>9.682018752462227</v>
      </c>
      <c r="I60" s="24"/>
      <c r="J60" s="15"/>
      <c r="K60" s="15"/>
    </row>
    <row r="61" spans="1:11" ht="15.6">
      <c r="C61" s="13">
        <f t="shared" ref="C61:H61" si="37">SUM(C59:C60)</f>
        <v>0</v>
      </c>
      <c r="D61" s="13">
        <f t="shared" si="37"/>
        <v>0</v>
      </c>
      <c r="E61" s="13">
        <f t="shared" si="37"/>
        <v>0</v>
      </c>
      <c r="F61" s="13">
        <f t="shared" si="37"/>
        <v>1</v>
      </c>
      <c r="G61" s="13">
        <f t="shared" si="37"/>
        <v>8.8003670336555224</v>
      </c>
      <c r="H61" s="8">
        <f t="shared" si="37"/>
        <v>-10.89636626577505</v>
      </c>
      <c r="I61" s="15"/>
      <c r="J61" s="15"/>
      <c r="K61" s="15"/>
    </row>
    <row r="63" spans="1:11" ht="15.6">
      <c r="A63" s="16" t="s">
        <v>0</v>
      </c>
      <c r="B63" s="29"/>
      <c r="C63" s="30" t="s">
        <v>1</v>
      </c>
      <c r="D63" s="30" t="s">
        <v>2</v>
      </c>
      <c r="E63" s="30" t="s">
        <v>3</v>
      </c>
      <c r="F63" s="30" t="s">
        <v>4</v>
      </c>
      <c r="G63" s="30" t="s">
        <v>5</v>
      </c>
      <c r="H63" s="30" t="s">
        <v>6</v>
      </c>
      <c r="I63" s="30" t="s">
        <v>7</v>
      </c>
      <c r="J63" s="32"/>
      <c r="K63" s="33">
        <v>0.01</v>
      </c>
    </row>
    <row r="64" spans="1:11" ht="15.6">
      <c r="A64" s="17"/>
      <c r="B64" s="25" t="s">
        <v>8</v>
      </c>
      <c r="C64" s="36">
        <v>0</v>
      </c>
      <c r="D64" s="31">
        <v>0</v>
      </c>
      <c r="E64" s="31">
        <v>0</v>
      </c>
      <c r="F64" s="31">
        <v>1</v>
      </c>
      <c r="G64" s="31">
        <v>6.6</v>
      </c>
      <c r="H64" s="31">
        <v>-29.05</v>
      </c>
      <c r="I64" s="31">
        <v>22.64</v>
      </c>
      <c r="J64" s="18" t="s">
        <v>9</v>
      </c>
      <c r="K64" s="19" t="s">
        <v>10</v>
      </c>
    </row>
    <row r="65" spans="1:11" ht="15.6">
      <c r="A65" s="17"/>
      <c r="B65" s="37">
        <v>-9.5</v>
      </c>
      <c r="C65" s="34"/>
      <c r="D65" s="2">
        <f t="shared" ref="D65:I65" si="38">$B65*C66</f>
        <v>0</v>
      </c>
      <c r="E65" s="2">
        <f t="shared" si="38"/>
        <v>0</v>
      </c>
      <c r="F65" s="2">
        <f t="shared" si="38"/>
        <v>0</v>
      </c>
      <c r="G65" s="2">
        <f t="shared" si="38"/>
        <v>-9.5</v>
      </c>
      <c r="H65" s="2">
        <f t="shared" si="38"/>
        <v>27.550000000000004</v>
      </c>
      <c r="I65" s="2">
        <f t="shared" si="38"/>
        <v>14.249999999999966</v>
      </c>
      <c r="J65" s="5"/>
      <c r="K65" s="6"/>
    </row>
    <row r="66" spans="1:11" ht="15.6">
      <c r="B66" s="4"/>
      <c r="C66" s="20">
        <f>SUM(C64:C65)</f>
        <v>0</v>
      </c>
      <c r="D66" s="5">
        <f t="shared" ref="D66:I66" si="39">SUM(D64:D65)</f>
        <v>0</v>
      </c>
      <c r="E66" s="6">
        <f t="shared" si="39"/>
        <v>0</v>
      </c>
      <c r="F66" s="6">
        <f t="shared" si="39"/>
        <v>1</v>
      </c>
      <c r="G66" s="6">
        <f t="shared" si="39"/>
        <v>-2.9000000000000004</v>
      </c>
      <c r="H66" s="6">
        <f t="shared" si="39"/>
        <v>-1.4999999999999964</v>
      </c>
      <c r="I66" s="7">
        <f t="shared" si="39"/>
        <v>36.889999999999965</v>
      </c>
      <c r="J66" s="5"/>
      <c r="K66" s="6"/>
    </row>
    <row r="67" spans="1:11" ht="15.6" thickBot="1">
      <c r="C67" s="21"/>
      <c r="D67" s="22">
        <f>$B65*C68</f>
        <v>0</v>
      </c>
      <c r="E67" s="23">
        <f>$B65*D68</f>
        <v>0</v>
      </c>
      <c r="F67" s="23">
        <f>$B65*E68</f>
        <v>0</v>
      </c>
      <c r="G67" s="23">
        <f>$B65*F68</f>
        <v>-9.5</v>
      </c>
      <c r="H67" s="24">
        <f>$B65*G68</f>
        <v>117.8</v>
      </c>
      <c r="I67" s="1"/>
      <c r="J67" s="6"/>
      <c r="K67" s="6"/>
    </row>
    <row r="68" spans="1:11" ht="15.6">
      <c r="C68" s="13">
        <f>SUM(C66:C67)</f>
        <v>0</v>
      </c>
      <c r="D68" s="13">
        <f t="shared" ref="D68:H68" si="40">SUM(D66:D67)</f>
        <v>0</v>
      </c>
      <c r="E68" s="13">
        <f t="shared" si="40"/>
        <v>0</v>
      </c>
      <c r="F68" s="13">
        <f t="shared" si="40"/>
        <v>1</v>
      </c>
      <c r="G68" s="13">
        <f t="shared" si="40"/>
        <v>-12.4</v>
      </c>
      <c r="H68" s="8">
        <f t="shared" si="40"/>
        <v>116.3</v>
      </c>
      <c r="I68" s="9"/>
      <c r="J68" s="6"/>
      <c r="K68" s="5"/>
    </row>
    <row r="69" spans="1:11" ht="15">
      <c r="C69" s="9"/>
      <c r="D69" s="9"/>
      <c r="E69" s="9"/>
      <c r="F69" s="9"/>
      <c r="G69" s="9"/>
      <c r="H69" s="9"/>
      <c r="I69" s="9"/>
      <c r="J69" s="6"/>
      <c r="K69" s="5"/>
    </row>
    <row r="70" spans="1:11" ht="15">
      <c r="B70" s="25" t="s">
        <v>11</v>
      </c>
      <c r="C70" s="10">
        <f t="shared" ref="C70:I70" si="41">C64</f>
        <v>0</v>
      </c>
      <c r="D70" s="11">
        <f t="shared" si="41"/>
        <v>0</v>
      </c>
      <c r="E70" s="11">
        <f t="shared" si="41"/>
        <v>0</v>
      </c>
      <c r="F70" s="11">
        <f t="shared" si="41"/>
        <v>1</v>
      </c>
      <c r="G70" s="11">
        <f t="shared" si="41"/>
        <v>6.6</v>
      </c>
      <c r="H70" s="11">
        <f t="shared" si="41"/>
        <v>-29.05</v>
      </c>
      <c r="I70" s="12">
        <f t="shared" si="41"/>
        <v>22.64</v>
      </c>
      <c r="J70" s="6"/>
      <c r="K70" s="5"/>
    </row>
    <row r="71" spans="1:11" ht="15">
      <c r="B71" s="12">
        <f>B65-I66/H68</f>
        <v>-9.8171969045571785</v>
      </c>
      <c r="C71" s="40"/>
      <c r="D71" s="6">
        <f t="shared" ref="D71:I71" si="42">$B71*C72</f>
        <v>0</v>
      </c>
      <c r="E71" s="6">
        <f>$B71*D72</f>
        <v>0</v>
      </c>
      <c r="F71" s="6">
        <f t="shared" si="42"/>
        <v>0</v>
      </c>
      <c r="G71" s="6">
        <f t="shared" si="42"/>
        <v>-9.8171969045571785</v>
      </c>
      <c r="H71" s="6">
        <f t="shared" si="42"/>
        <v>31.583855492769672</v>
      </c>
      <c r="I71" s="6">
        <f t="shared" si="42"/>
        <v>-24.87535830021362</v>
      </c>
      <c r="J71" s="26">
        <f>ABS(B71-B65)</f>
        <v>0.31719690455717853</v>
      </c>
      <c r="K71" s="6">
        <f xml:space="preserve"> ABS(J71/B71)*100</f>
        <v>3.231033335085034</v>
      </c>
    </row>
    <row r="72" spans="1:11" ht="15.6">
      <c r="B72" s="35"/>
      <c r="C72" s="26">
        <f t="shared" ref="C72:I72" si="43">SUM(C70:C71)</f>
        <v>0</v>
      </c>
      <c r="D72" s="13">
        <f t="shared" si="43"/>
        <v>0</v>
      </c>
      <c r="E72" s="13">
        <f t="shared" si="43"/>
        <v>0</v>
      </c>
      <c r="F72" s="13">
        <f>SUM(F70:F71)</f>
        <v>1</v>
      </c>
      <c r="G72" s="13">
        <f t="shared" si="43"/>
        <v>-3.2171969045571789</v>
      </c>
      <c r="H72" s="13">
        <f t="shared" si="43"/>
        <v>2.5338554927696713</v>
      </c>
      <c r="I72" s="14">
        <f t="shared" si="43"/>
        <v>-2.235358300213619</v>
      </c>
    </row>
    <row r="73" spans="1:11" ht="15.6" thickBot="1">
      <c r="B73" s="38"/>
      <c r="C73" s="42"/>
      <c r="D73" s="23">
        <f>$B71*C74</f>
        <v>0</v>
      </c>
      <c r="E73" s="23">
        <f>$B71*D74</f>
        <v>0</v>
      </c>
      <c r="F73" s="23">
        <f>$B71*E74</f>
        <v>0</v>
      </c>
      <c r="G73" s="23">
        <f>$B71*F74</f>
        <v>-9.8171969045571785</v>
      </c>
      <c r="H73" s="23">
        <f>$B71*G74</f>
        <v>127.96121055561672</v>
      </c>
      <c r="I73" s="39"/>
    </row>
    <row r="74" spans="1:11" ht="15.6">
      <c r="C74" s="13">
        <f t="shared" ref="C74:H74" si="44">SUM(C72:C73)</f>
        <v>0</v>
      </c>
      <c r="D74" s="13">
        <f t="shared" si="44"/>
        <v>0</v>
      </c>
      <c r="E74" s="13">
        <f t="shared" si="44"/>
        <v>0</v>
      </c>
      <c r="F74" s="13">
        <f t="shared" si="44"/>
        <v>1</v>
      </c>
      <c r="G74" s="13">
        <f t="shared" si="44"/>
        <v>-13.034393809114357</v>
      </c>
      <c r="H74" s="8">
        <f t="shared" si="44"/>
        <v>130.49506604838638</v>
      </c>
    </row>
    <row r="76" spans="1:11" ht="15">
      <c r="B76" s="25" t="s">
        <v>12</v>
      </c>
      <c r="C76" s="27">
        <f t="shared" ref="C76:I76" si="45">C70</f>
        <v>0</v>
      </c>
      <c r="D76" s="28">
        <f t="shared" si="45"/>
        <v>0</v>
      </c>
      <c r="E76" s="28">
        <f t="shared" si="45"/>
        <v>0</v>
      </c>
      <c r="F76" s="28">
        <f t="shared" si="45"/>
        <v>1</v>
      </c>
      <c r="G76" s="28">
        <f t="shared" si="45"/>
        <v>6.6</v>
      </c>
      <c r="H76" s="28">
        <f t="shared" si="45"/>
        <v>-29.05</v>
      </c>
      <c r="I76" s="28">
        <f t="shared" si="45"/>
        <v>22.64</v>
      </c>
    </row>
    <row r="77" spans="1:11" ht="15">
      <c r="B77" s="41">
        <f>B71-I72/H74</f>
        <v>-9.80006707453445</v>
      </c>
      <c r="C77" s="5"/>
      <c r="D77" s="6">
        <f t="shared" ref="D77:I77" si="46">$B77*C78</f>
        <v>0</v>
      </c>
      <c r="E77" s="6">
        <f t="shared" si="46"/>
        <v>0</v>
      </c>
      <c r="F77" s="6">
        <f t="shared" si="46"/>
        <v>0</v>
      </c>
      <c r="G77" s="6">
        <f t="shared" si="46"/>
        <v>-9.80006707453445</v>
      </c>
      <c r="H77" s="6">
        <f t="shared" si="46"/>
        <v>31.360871973446848</v>
      </c>
      <c r="I77" s="6">
        <f t="shared" si="46"/>
        <v>-22.646700340440894</v>
      </c>
      <c r="J77" s="5">
        <f>ABS(B77-B71)</f>
        <v>1.7129830022728498E-2</v>
      </c>
      <c r="K77" s="6">
        <f xml:space="preserve"> ABS(J77/B77)*100</f>
        <v>0.17479298756271264</v>
      </c>
    </row>
    <row r="78" spans="1:11" ht="15.6">
      <c r="B78" s="35"/>
      <c r="C78" s="26">
        <f t="shared" ref="C78:I78" si="47">SUM(C76:C77)</f>
        <v>0</v>
      </c>
      <c r="D78" s="13">
        <f t="shared" si="47"/>
        <v>0</v>
      </c>
      <c r="E78" s="13">
        <f t="shared" si="47"/>
        <v>0</v>
      </c>
      <c r="F78" s="13">
        <f t="shared" si="47"/>
        <v>1</v>
      </c>
      <c r="G78" s="13">
        <f t="shared" si="47"/>
        <v>-3.2000670745344504</v>
      </c>
      <c r="H78" s="13">
        <f t="shared" si="47"/>
        <v>2.3108719734468472</v>
      </c>
      <c r="I78" s="14">
        <f t="shared" si="47"/>
        <v>-6.7003404408936262E-3</v>
      </c>
    </row>
    <row r="79" spans="1:11" ht="15.6" thickBot="1">
      <c r="B79" s="38"/>
      <c r="C79" s="22"/>
      <c r="D79" s="23">
        <f>$B77*C80</f>
        <v>0</v>
      </c>
      <c r="E79" s="23">
        <f>$B77*D80</f>
        <v>0</v>
      </c>
      <c r="F79" s="23">
        <f>$B77*E80</f>
        <v>0</v>
      </c>
      <c r="G79" s="23">
        <f>$B77*F80</f>
        <v>-9.80006707453445</v>
      </c>
      <c r="H79" s="23">
        <f>$B77*G80</f>
        <v>127.40218663882106</v>
      </c>
      <c r="I79" s="24"/>
    </row>
    <row r="80" spans="1:11" ht="15.6">
      <c r="C80" s="13">
        <f t="shared" ref="C80:H80" si="48">SUM(C78:C79)</f>
        <v>0</v>
      </c>
      <c r="D80" s="13">
        <f t="shared" si="48"/>
        <v>0</v>
      </c>
      <c r="E80" s="13">
        <f t="shared" si="48"/>
        <v>0</v>
      </c>
      <c r="F80" s="13">
        <f t="shared" si="48"/>
        <v>1</v>
      </c>
      <c r="G80" s="13">
        <f t="shared" si="48"/>
        <v>-13.0001341490689</v>
      </c>
      <c r="H80" s="8">
        <f t="shared" si="48"/>
        <v>129.7130586122679</v>
      </c>
      <c r="I80" s="15"/>
    </row>
    <row r="82" spans="2:11" ht="15">
      <c r="B82" s="25" t="s">
        <v>13</v>
      </c>
      <c r="C82" s="27">
        <f t="shared" ref="C82:I82" si="49">C76</f>
        <v>0</v>
      </c>
      <c r="D82" s="28">
        <f t="shared" si="49"/>
        <v>0</v>
      </c>
      <c r="E82" s="28">
        <f t="shared" si="49"/>
        <v>0</v>
      </c>
      <c r="F82" s="28">
        <f t="shared" si="49"/>
        <v>1</v>
      </c>
      <c r="G82" s="28">
        <f t="shared" si="49"/>
        <v>6.6</v>
      </c>
      <c r="H82" s="28">
        <f t="shared" si="49"/>
        <v>-29.05</v>
      </c>
      <c r="I82" s="28">
        <f t="shared" si="49"/>
        <v>22.64</v>
      </c>
      <c r="J82" s="15"/>
      <c r="K82" s="15"/>
    </row>
    <row r="83" spans="2:11" ht="15">
      <c r="B83" s="12">
        <f>B77-I78/H80</f>
        <v>-9.8000154194388678</v>
      </c>
      <c r="C83" s="20"/>
      <c r="D83" s="6">
        <f t="shared" ref="D83:I83" si="50">$B83*C84</f>
        <v>0</v>
      </c>
      <c r="E83" s="6">
        <f t="shared" si="50"/>
        <v>0</v>
      </c>
      <c r="F83" s="6">
        <f t="shared" si="50"/>
        <v>0</v>
      </c>
      <c r="G83" s="6">
        <f t="shared" si="50"/>
        <v>-9.8000154194388678</v>
      </c>
      <c r="H83" s="6">
        <f t="shared" si="50"/>
        <v>31.360200452943044</v>
      </c>
      <c r="I83" s="6">
        <f t="shared" si="50"/>
        <v>-22.640000060836478</v>
      </c>
      <c r="J83" s="5">
        <f>ABS(B83-B77)</f>
        <v>5.1655095582248123E-5</v>
      </c>
      <c r="K83" s="6">
        <f xml:space="preserve"> ABS(J83/B83)*100</f>
        <v>5.2709198273083739E-4</v>
      </c>
    </row>
    <row r="84" spans="2:11" ht="15.6">
      <c r="B84" s="35"/>
      <c r="C84" s="26">
        <f t="shared" ref="C84:I84" si="51">SUM(C82:C83)</f>
        <v>0</v>
      </c>
      <c r="D84" s="13">
        <f t="shared" si="51"/>
        <v>0</v>
      </c>
      <c r="E84" s="13">
        <f t="shared" si="51"/>
        <v>0</v>
      </c>
      <c r="F84" s="13">
        <f t="shared" si="51"/>
        <v>1</v>
      </c>
      <c r="G84" s="13">
        <f t="shared" si="51"/>
        <v>-3.2000154194388681</v>
      </c>
      <c r="H84" s="13">
        <f t="shared" si="51"/>
        <v>2.3102004529430431</v>
      </c>
      <c r="I84" s="14">
        <f t="shared" si="51"/>
        <v>-6.0836477189241123E-8</v>
      </c>
      <c r="J84" s="15"/>
      <c r="K84" s="15"/>
    </row>
    <row r="85" spans="2:11" ht="15.6" thickBot="1">
      <c r="B85" s="38"/>
      <c r="C85" s="22"/>
      <c r="D85" s="23">
        <f>$B83*C86</f>
        <v>0</v>
      </c>
      <c r="E85" s="23">
        <f>$B83*D86</f>
        <v>0</v>
      </c>
      <c r="F85" s="23">
        <f>$B83*E86</f>
        <v>0</v>
      </c>
      <c r="G85" s="23">
        <f>$B83*F86</f>
        <v>-9.8000154194388678</v>
      </c>
      <c r="H85" s="23">
        <f>$B83*G86</f>
        <v>127.4005026741826</v>
      </c>
      <c r="I85" s="24"/>
      <c r="J85" s="15"/>
      <c r="K85" s="15"/>
    </row>
    <row r="86" spans="2:11" ht="15.6">
      <c r="C86" s="13">
        <f t="shared" ref="C86:H86" si="52">SUM(C84:C85)</f>
        <v>0</v>
      </c>
      <c r="D86" s="13">
        <f t="shared" si="52"/>
        <v>0</v>
      </c>
      <c r="E86" s="13">
        <f t="shared" si="52"/>
        <v>0</v>
      </c>
      <c r="F86" s="13">
        <f t="shared" si="52"/>
        <v>1</v>
      </c>
      <c r="G86" s="13">
        <f t="shared" si="52"/>
        <v>-13.000030838877736</v>
      </c>
      <c r="H86" s="8">
        <f t="shared" si="52"/>
        <v>129.71070312712564</v>
      </c>
      <c r="I86" s="15"/>
      <c r="J86" s="15"/>
      <c r="K86" s="15"/>
    </row>
    <row r="88" spans="2:11" ht="15">
      <c r="B88" s="25" t="s">
        <v>14</v>
      </c>
      <c r="C88" s="27">
        <f t="shared" ref="C88:I88" si="53">C82</f>
        <v>0</v>
      </c>
      <c r="D88" s="28">
        <f t="shared" si="53"/>
        <v>0</v>
      </c>
      <c r="E88" s="28">
        <f t="shared" si="53"/>
        <v>0</v>
      </c>
      <c r="F88" s="28">
        <f t="shared" si="53"/>
        <v>1</v>
      </c>
      <c r="G88" s="28">
        <f t="shared" si="53"/>
        <v>6.6</v>
      </c>
      <c r="H88" s="28">
        <f t="shared" si="53"/>
        <v>-29.05</v>
      </c>
      <c r="I88" s="28">
        <f t="shared" si="53"/>
        <v>22.64</v>
      </c>
      <c r="J88" s="15"/>
      <c r="K88" s="15"/>
    </row>
    <row r="89" spans="2:11" ht="15">
      <c r="B89" s="12">
        <f>B83-I84/H86</f>
        <v>-9.800015418969851</v>
      </c>
      <c r="C89" s="20"/>
      <c r="D89" s="6">
        <f t="shared" ref="D89:I89" si="54">$B89*C90</f>
        <v>0</v>
      </c>
      <c r="E89" s="6">
        <f t="shared" si="54"/>
        <v>0</v>
      </c>
      <c r="F89" s="6">
        <f t="shared" si="54"/>
        <v>0</v>
      </c>
      <c r="G89" s="6">
        <f t="shared" si="54"/>
        <v>-9.800015418969851</v>
      </c>
      <c r="H89" s="6">
        <f t="shared" si="54"/>
        <v>31.360200446845809</v>
      </c>
      <c r="I89" s="6">
        <f t="shared" si="54"/>
        <v>-22.639999999999961</v>
      </c>
      <c r="J89" s="5">
        <f>ABS(B89-B83)</f>
        <v>4.6901682537736633E-10</v>
      </c>
      <c r="K89" s="6">
        <f xml:space="preserve"> ABS(J89/B89)*100</f>
        <v>4.7858784433082858E-9</v>
      </c>
    </row>
    <row r="90" spans="2:11" ht="15.6">
      <c r="B90" s="35"/>
      <c r="C90" s="26">
        <f t="shared" ref="C90:I90" si="55">SUM(C88:C89)</f>
        <v>0</v>
      </c>
      <c r="D90" s="13">
        <f t="shared" si="55"/>
        <v>0</v>
      </c>
      <c r="E90" s="13">
        <f t="shared" si="55"/>
        <v>0</v>
      </c>
      <c r="F90" s="13">
        <f t="shared" si="55"/>
        <v>1</v>
      </c>
      <c r="G90" s="13">
        <f t="shared" si="55"/>
        <v>-3.2000154189698513</v>
      </c>
      <c r="H90" s="13">
        <f t="shared" si="55"/>
        <v>2.3102004468458084</v>
      </c>
      <c r="I90" s="14">
        <f t="shared" si="55"/>
        <v>3.907985046680551E-14</v>
      </c>
      <c r="J90" s="15"/>
      <c r="K90" s="15"/>
    </row>
    <row r="91" spans="2:11" ht="15.6" thickBot="1">
      <c r="B91" s="38"/>
      <c r="C91" s="22"/>
      <c r="D91" s="23">
        <f>$B89*C92</f>
        <v>0</v>
      </c>
      <c r="E91" s="23">
        <f>$B89*D92</f>
        <v>0</v>
      </c>
      <c r="F91" s="23">
        <f>$B89*E92</f>
        <v>0</v>
      </c>
      <c r="G91" s="23">
        <f>$B89*F92</f>
        <v>-9.800015418969851</v>
      </c>
      <c r="H91" s="23">
        <f>$B89*G92</f>
        <v>127.40050265889263</v>
      </c>
      <c r="I91" s="24"/>
      <c r="J91" s="15"/>
      <c r="K91" s="15"/>
    </row>
    <row r="92" spans="2:11" ht="15.6">
      <c r="C92" s="13">
        <f t="shared" ref="C92:H92" si="56">SUM(C90:C91)</f>
        <v>0</v>
      </c>
      <c r="D92" s="13">
        <f t="shared" si="56"/>
        <v>0</v>
      </c>
      <c r="E92" s="13">
        <f t="shared" si="56"/>
        <v>0</v>
      </c>
      <c r="F92" s="13">
        <f t="shared" si="56"/>
        <v>1</v>
      </c>
      <c r="G92" s="13">
        <f t="shared" si="56"/>
        <v>-13.000030837939702</v>
      </c>
      <c r="H92" s="8">
        <f t="shared" si="56"/>
        <v>129.71070310573845</v>
      </c>
      <c r="I92" s="15"/>
      <c r="J92" s="15"/>
      <c r="K92" s="15"/>
    </row>
  </sheetData>
  <conditionalFormatting sqref="B9">
    <cfRule type="expression" dxfId="91" priority="12">
      <formula>K9&lt;$K$1</formula>
    </cfRule>
  </conditionalFormatting>
  <conditionalFormatting sqref="B15">
    <cfRule type="expression" dxfId="90" priority="11">
      <formula>K15&lt;$K$1</formula>
    </cfRule>
  </conditionalFormatting>
  <conditionalFormatting sqref="B21">
    <cfRule type="expression" dxfId="89" priority="10">
      <formula>K21&lt;$K$1</formula>
    </cfRule>
  </conditionalFormatting>
  <conditionalFormatting sqref="B27">
    <cfRule type="expression" dxfId="88" priority="9">
      <formula>K27&lt;$K$1</formula>
    </cfRule>
  </conditionalFormatting>
  <conditionalFormatting sqref="B40">
    <cfRule type="expression" dxfId="87" priority="8">
      <formula>K40&lt;$K$32</formula>
    </cfRule>
  </conditionalFormatting>
  <conditionalFormatting sqref="B46">
    <cfRule type="expression" dxfId="86" priority="7">
      <formula>K46&lt;$K$32</formula>
    </cfRule>
  </conditionalFormatting>
  <conditionalFormatting sqref="B52">
    <cfRule type="expression" dxfId="85" priority="6">
      <formula>K52&lt;$K$32</formula>
    </cfRule>
  </conditionalFormatting>
  <conditionalFormatting sqref="B58">
    <cfRule type="expression" dxfId="84" priority="5">
      <formula>K58&lt;$K$32</formula>
    </cfRule>
  </conditionalFormatting>
  <conditionalFormatting sqref="B71">
    <cfRule type="expression" dxfId="83" priority="4">
      <formula>K71&lt;$K$63</formula>
    </cfRule>
  </conditionalFormatting>
  <conditionalFormatting sqref="B77">
    <cfRule type="expression" dxfId="82" priority="3">
      <formula>K77&lt;$K$63</formula>
    </cfRule>
  </conditionalFormatting>
  <conditionalFormatting sqref="B83">
    <cfRule type="expression" dxfId="81" priority="2">
      <formula>K83&lt;$K$63</formula>
    </cfRule>
  </conditionalFormatting>
  <conditionalFormatting sqref="B89">
    <cfRule type="expression" dxfId="80" priority="1">
      <formula>K89&lt;$K$63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1D157-B0F9-46EB-8762-BC4833483DA0}">
  <dimension ref="A1:P25"/>
  <sheetViews>
    <sheetView workbookViewId="0">
      <selection activeCell="R7" sqref="R7"/>
    </sheetView>
  </sheetViews>
  <sheetFormatPr defaultColWidth="11.42578125" defaultRowHeight="14.45"/>
  <cols>
    <col min="1" max="1" width="7.7109375" bestFit="1" customWidth="1"/>
    <col min="2" max="2" width="10" bestFit="1" customWidth="1"/>
    <col min="3" max="7" width="9.140625" bestFit="1" customWidth="1"/>
    <col min="8" max="8" width="11.42578125" bestFit="1" customWidth="1"/>
    <col min="9" max="9" width="10.5703125" bestFit="1" customWidth="1"/>
    <col min="10" max="10" width="8.7109375" bestFit="1" customWidth="1"/>
    <col min="11" max="11" width="8.28515625" bestFit="1" customWidth="1"/>
    <col min="12" max="12" width="11.28515625" bestFit="1" customWidth="1"/>
    <col min="13" max="13" width="15.140625" bestFit="1" customWidth="1"/>
    <col min="14" max="14" width="2.5703125" bestFit="1" customWidth="1"/>
    <col min="15" max="15" width="9" bestFit="1" customWidth="1"/>
    <col min="16" max="16" width="1.5703125" bestFit="1" customWidth="1"/>
  </cols>
  <sheetData>
    <row r="1" spans="1:16" ht="15.6">
      <c r="A1" s="46" t="s">
        <v>34</v>
      </c>
      <c r="B1" s="47"/>
      <c r="C1" s="48" t="s">
        <v>1</v>
      </c>
      <c r="D1" s="49" t="s">
        <v>2</v>
      </c>
      <c r="E1" s="49" t="s">
        <v>3</v>
      </c>
      <c r="F1" s="49" t="s">
        <v>4</v>
      </c>
      <c r="G1" s="49" t="s">
        <v>5</v>
      </c>
      <c r="H1" s="49" t="s">
        <v>6</v>
      </c>
      <c r="I1" s="49" t="s">
        <v>7</v>
      </c>
      <c r="J1" s="50" t="s">
        <v>9</v>
      </c>
      <c r="K1" s="51" t="s">
        <v>10</v>
      </c>
      <c r="L1" s="91"/>
      <c r="M1" s="91"/>
      <c r="N1" s="91"/>
      <c r="O1" s="91"/>
      <c r="P1" s="91"/>
    </row>
    <row r="2" spans="1:16" ht="15.6">
      <c r="A2" s="47"/>
      <c r="B2" s="53" t="s">
        <v>18</v>
      </c>
      <c r="C2" s="92">
        <v>0</v>
      </c>
      <c r="D2" s="93">
        <v>0</v>
      </c>
      <c r="E2" s="57">
        <v>0</v>
      </c>
      <c r="F2" s="57">
        <v>1</v>
      </c>
      <c r="G2" s="57">
        <v>6.6</v>
      </c>
      <c r="H2" s="57">
        <v>-29.05</v>
      </c>
      <c r="I2" s="57">
        <v>22.64</v>
      </c>
      <c r="J2" s="94"/>
      <c r="K2" s="95">
        <v>0.01</v>
      </c>
      <c r="L2" s="47"/>
      <c r="M2" s="47"/>
      <c r="N2" s="91"/>
      <c r="O2" s="91"/>
      <c r="P2" s="91"/>
    </row>
    <row r="3" spans="1:16" ht="15.6">
      <c r="A3" s="48" t="s">
        <v>19</v>
      </c>
      <c r="B3" s="90">
        <v>3.1994051637139203</v>
      </c>
      <c r="C3" s="47"/>
      <c r="D3" s="49">
        <f t="shared" ref="D3:I3" si="0">$B3*C5</f>
        <v>0</v>
      </c>
      <c r="E3" s="96">
        <f t="shared" si="0"/>
        <v>0</v>
      </c>
      <c r="F3" s="96">
        <f t="shared" si="0"/>
        <v>0</v>
      </c>
      <c r="G3" s="96">
        <f t="shared" si="0"/>
        <v>3.1994051637139203</v>
      </c>
      <c r="H3" s="96">
        <f t="shared" si="0"/>
        <v>31.352267482111174</v>
      </c>
      <c r="I3" s="96">
        <f t="shared" si="0"/>
        <v>-2.4067921088163701E-2</v>
      </c>
      <c r="J3" s="47"/>
      <c r="K3" s="47"/>
      <c r="L3" s="49" t="s">
        <v>20</v>
      </c>
      <c r="M3" s="64">
        <f>B3^2+4*B4</f>
        <v>0.99703297838247629</v>
      </c>
      <c r="N3" s="91"/>
      <c r="O3" s="91"/>
      <c r="P3" s="91"/>
    </row>
    <row r="4" spans="1:16" ht="16.149999999999999" thickBot="1">
      <c r="A4" s="48" t="s">
        <v>21</v>
      </c>
      <c r="B4" s="74">
        <v>-2.309790105804205</v>
      </c>
      <c r="C4" s="97"/>
      <c r="D4" s="97"/>
      <c r="E4" s="98">
        <f>$B4*C5</f>
        <v>0</v>
      </c>
      <c r="F4" s="98">
        <f>$B4*D5</f>
        <v>0</v>
      </c>
      <c r="G4" s="98">
        <f>$B4*E5</f>
        <v>0</v>
      </c>
      <c r="H4" s="98">
        <f>$B4*F5</f>
        <v>-2.309790105804205</v>
      </c>
      <c r="I4" s="98">
        <f>$B4*G5</f>
        <v>-22.63456908991305</v>
      </c>
      <c r="J4" s="47"/>
      <c r="K4" s="47"/>
      <c r="L4" s="49" t="s">
        <v>22</v>
      </c>
      <c r="M4" s="49">
        <f>IF(M3&lt;0,B3/2,(B3+SQRT(M3))/2)</f>
        <v>2.0989602754337531</v>
      </c>
      <c r="N4" s="47" t="str">
        <f>IF(M3&lt;0,"+","")</f>
        <v/>
      </c>
      <c r="O4" s="47" t="str">
        <f>IF(M3&lt;0,SQRT(ABS(M3))/2,"")</f>
        <v/>
      </c>
      <c r="P4" s="47" t="str">
        <f>IF(M3&lt;0,"i","")</f>
        <v/>
      </c>
    </row>
    <row r="5" spans="1:16" ht="15.6">
      <c r="A5" s="48" t="s">
        <v>23</v>
      </c>
      <c r="B5" s="67">
        <f>SQRT(SUMSQ(B3:B4))</f>
        <v>3.946051663938309</v>
      </c>
      <c r="C5" s="99">
        <f t="shared" ref="C5:I5" si="1">SUM(C2:C4)</f>
        <v>0</v>
      </c>
      <c r="D5" s="67">
        <f t="shared" si="1"/>
        <v>0</v>
      </c>
      <c r="E5" s="99">
        <f t="shared" si="1"/>
        <v>0</v>
      </c>
      <c r="F5" s="67">
        <f t="shared" si="1"/>
        <v>1</v>
      </c>
      <c r="G5" s="67">
        <f t="shared" si="1"/>
        <v>9.7994051637139208</v>
      </c>
      <c r="H5" s="100">
        <f t="shared" si="1"/>
        <v>-7.5226236930321377E-3</v>
      </c>
      <c r="I5" s="100">
        <f t="shared" si="1"/>
        <v>-1.8637011001214177E-2</v>
      </c>
      <c r="J5" s="47"/>
      <c r="K5" s="47"/>
      <c r="L5" s="49" t="s">
        <v>24</v>
      </c>
      <c r="M5" s="49">
        <f>IF(M3&lt;0,M4,(B3-SQRT(M3))/2)</f>
        <v>1.100444888280167</v>
      </c>
      <c r="N5" s="101" t="str">
        <f>IF(M3&lt;0,"+","")</f>
        <v/>
      </c>
      <c r="O5" s="47" t="str">
        <f>IF(M3&lt;0,-O4,"")</f>
        <v/>
      </c>
      <c r="P5" s="101"/>
    </row>
    <row r="6" spans="1:16" ht="15.6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91"/>
      <c r="M6" s="91"/>
      <c r="N6" s="91"/>
      <c r="O6" s="91"/>
      <c r="P6" s="91"/>
    </row>
    <row r="7" spans="1:16" ht="15.6">
      <c r="A7" s="47"/>
      <c r="B7" s="53" t="s">
        <v>26</v>
      </c>
      <c r="C7" s="102">
        <f t="shared" ref="C7:I7" si="2">C2</f>
        <v>0</v>
      </c>
      <c r="D7" s="93">
        <f t="shared" si="2"/>
        <v>0</v>
      </c>
      <c r="E7" s="93">
        <f t="shared" si="2"/>
        <v>0</v>
      </c>
      <c r="F7" s="93">
        <f t="shared" si="2"/>
        <v>1</v>
      </c>
      <c r="G7" s="93">
        <f t="shared" si="2"/>
        <v>6.6</v>
      </c>
      <c r="H7" s="93">
        <f t="shared" si="2"/>
        <v>-29.05</v>
      </c>
      <c r="I7" s="93">
        <f t="shared" si="2"/>
        <v>22.64</v>
      </c>
      <c r="J7" s="47"/>
      <c r="K7" s="47"/>
      <c r="L7" s="47"/>
      <c r="M7" s="49" t="s">
        <v>27</v>
      </c>
      <c r="N7" s="91"/>
      <c r="O7" s="91"/>
      <c r="P7" s="91"/>
    </row>
    <row r="8" spans="1:16" ht="15.6">
      <c r="A8" s="48" t="s">
        <v>28</v>
      </c>
      <c r="B8" s="74">
        <f>-(H2+B9*F5)/G5</f>
        <v>3.200229380255216</v>
      </c>
      <c r="C8" s="47"/>
      <c r="D8" s="49">
        <f t="shared" ref="D8:I8" si="3">$B8*C10</f>
        <v>0</v>
      </c>
      <c r="E8" s="49">
        <f t="shared" si="3"/>
        <v>0</v>
      </c>
      <c r="F8" s="49">
        <f t="shared" si="3"/>
        <v>0</v>
      </c>
      <c r="G8" s="49">
        <f t="shared" si="3"/>
        <v>3.200229380255216</v>
      </c>
      <c r="H8" s="49">
        <f t="shared" si="3"/>
        <v>31.362981995933108</v>
      </c>
      <c r="I8" s="49">
        <f t="shared" si="3"/>
        <v>8.4411874038191684E-3</v>
      </c>
      <c r="J8" s="47"/>
      <c r="K8" s="47"/>
      <c r="L8" s="49" t="s">
        <v>20</v>
      </c>
      <c r="M8" s="64">
        <f>B8^2+4*B9</f>
        <v>1.0000908304808185</v>
      </c>
      <c r="N8" s="91"/>
      <c r="O8" s="91"/>
      <c r="P8" s="91"/>
    </row>
    <row r="9" spans="1:16" ht="16.149999999999999" thickBot="1">
      <c r="A9" s="48" t="s">
        <v>29</v>
      </c>
      <c r="B9" s="75">
        <f>-I2/G5</f>
        <v>-2.3103443139419664</v>
      </c>
      <c r="C9" s="103"/>
      <c r="D9" s="97"/>
      <c r="E9" s="98">
        <f>$B9*C10</f>
        <v>0</v>
      </c>
      <c r="F9" s="98">
        <f>$B9*D10</f>
        <v>0</v>
      </c>
      <c r="G9" s="98">
        <f>$B9*E10</f>
        <v>0</v>
      </c>
      <c r="H9" s="98">
        <f>$B9*F10</f>
        <v>-2.3103443139419664</v>
      </c>
      <c r="I9" s="98">
        <f>$B9*G10</f>
        <v>-22.641904223999639</v>
      </c>
      <c r="J9" s="47"/>
      <c r="K9" s="47"/>
      <c r="L9" s="49" t="s">
        <v>22</v>
      </c>
      <c r="M9" s="48">
        <f>IF(M8&lt;0,B8/2,(B8+SQRT(M8))/2)</f>
        <v>2.1001373972322002</v>
      </c>
      <c r="N9" s="49" t="s">
        <v>30</v>
      </c>
      <c r="O9" s="49" t="str">
        <f>IF(M8&lt;0,SQRT(ABS(M8))/2,"")</f>
        <v/>
      </c>
      <c r="P9" s="49" t="str">
        <f>IF(M8&lt;0,"i","")</f>
        <v/>
      </c>
    </row>
    <row r="10" spans="1:16" ht="15.6">
      <c r="A10" s="49" t="s">
        <v>23</v>
      </c>
      <c r="B10" s="67">
        <f>SQRT(SUMSQ(B8:B9))</f>
        <v>3.9470443290154038</v>
      </c>
      <c r="C10" s="67">
        <f t="shared" ref="C10:I10" si="4">SUM(C7:C9)</f>
        <v>0</v>
      </c>
      <c r="D10" s="67">
        <f t="shared" si="4"/>
        <v>0</v>
      </c>
      <c r="E10" s="67">
        <f t="shared" si="4"/>
        <v>0</v>
      </c>
      <c r="F10" s="67">
        <f t="shared" si="4"/>
        <v>1</v>
      </c>
      <c r="G10" s="67">
        <f t="shared" si="4"/>
        <v>9.8002293802552156</v>
      </c>
      <c r="H10" s="100">
        <f t="shared" si="4"/>
        <v>2.6376819911408944E-3</v>
      </c>
      <c r="I10" s="100">
        <f t="shared" si="4"/>
        <v>6.536963404180085E-3</v>
      </c>
      <c r="J10" s="49">
        <f>ABS(B10-B5)</f>
        <v>9.926650770948342E-4</v>
      </c>
      <c r="K10" s="48">
        <f>ABS(J10/B10)*100</f>
        <v>2.5149580150331273E-2</v>
      </c>
      <c r="L10" s="49" t="s">
        <v>24</v>
      </c>
      <c r="M10" s="48">
        <f>IF(M8&lt;0,M9,(B8-SQRT(M8))/2)</f>
        <v>1.1000919830230158</v>
      </c>
      <c r="N10" s="104" t="s">
        <v>30</v>
      </c>
      <c r="O10" s="49" t="str">
        <f>IF(M8&lt;0,-O9,"")</f>
        <v/>
      </c>
      <c r="P10" s="104" t="s">
        <v>25</v>
      </c>
    </row>
    <row r="11" spans="1:16" ht="15.6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91"/>
      <c r="M11" s="91"/>
      <c r="N11" s="91"/>
      <c r="O11" s="91"/>
      <c r="P11" s="91"/>
    </row>
    <row r="12" spans="1:16" ht="15.6">
      <c r="A12" s="47"/>
      <c r="B12" s="53" t="s">
        <v>31</v>
      </c>
      <c r="C12" s="92">
        <f t="shared" ref="C12:I12" si="5">C7</f>
        <v>0</v>
      </c>
      <c r="D12" s="75">
        <f t="shared" si="5"/>
        <v>0</v>
      </c>
      <c r="E12" s="93">
        <f t="shared" si="5"/>
        <v>0</v>
      </c>
      <c r="F12" s="93">
        <f t="shared" si="5"/>
        <v>1</v>
      </c>
      <c r="G12" s="93">
        <f t="shared" si="5"/>
        <v>6.6</v>
      </c>
      <c r="H12" s="93">
        <f t="shared" si="5"/>
        <v>-29.05</v>
      </c>
      <c r="I12" s="93">
        <f t="shared" si="5"/>
        <v>22.64</v>
      </c>
      <c r="J12" s="47"/>
      <c r="K12" s="47"/>
      <c r="L12" s="91"/>
      <c r="M12" s="91"/>
      <c r="N12" s="91"/>
      <c r="O12" s="91"/>
      <c r="P12" s="91"/>
    </row>
    <row r="13" spans="1:16" ht="15.6">
      <c r="A13" s="48" t="s">
        <v>19</v>
      </c>
      <c r="B13" s="80">
        <f>-(H7+B14*F10)/G10</f>
        <v>3.1999404088541659</v>
      </c>
      <c r="C13" s="47"/>
      <c r="D13" s="48">
        <f t="shared" ref="D13:I13" si="6">$B13*C15</f>
        <v>0</v>
      </c>
      <c r="E13" s="49">
        <f t="shared" si="6"/>
        <v>0</v>
      </c>
      <c r="F13" s="49">
        <f t="shared" si="6"/>
        <v>0</v>
      </c>
      <c r="G13" s="49">
        <f t="shared" si="6"/>
        <v>3.1999404088541659</v>
      </c>
      <c r="H13" s="49">
        <f t="shared" si="6"/>
        <v>31.359225318655263</v>
      </c>
      <c r="I13" s="49">
        <f t="shared" si="6"/>
        <v>-2.9589569388975209E-3</v>
      </c>
      <c r="J13" s="47"/>
      <c r="K13" s="47"/>
      <c r="L13" s="49" t="s">
        <v>20</v>
      </c>
      <c r="M13" s="64">
        <f>B13^2+4*B14</f>
        <v>0.99901858054383297</v>
      </c>
      <c r="N13" s="91"/>
      <c r="O13" s="91"/>
      <c r="P13" s="91"/>
    </row>
    <row r="14" spans="1:16" ht="16.149999999999999" thickBot="1">
      <c r="A14" s="48" t="s">
        <v>21</v>
      </c>
      <c r="B14" s="75">
        <f>-I7/G10</f>
        <v>-2.3101500099184835</v>
      </c>
      <c r="C14" s="103"/>
      <c r="D14" s="97"/>
      <c r="E14" s="98">
        <f>$B14*C15</f>
        <v>0</v>
      </c>
      <c r="F14" s="98">
        <f>$B14*D15</f>
        <v>0</v>
      </c>
      <c r="G14" s="98">
        <f>$B14*E15</f>
        <v>0</v>
      </c>
      <c r="H14" s="98">
        <f>$B14*F15</f>
        <v>-2.3101500099184835</v>
      </c>
      <c r="I14" s="98">
        <f>$B14*G15</f>
        <v>-22.639332432714998</v>
      </c>
      <c r="J14" s="47"/>
      <c r="K14" s="47"/>
      <c r="L14" s="49" t="s">
        <v>22</v>
      </c>
      <c r="M14" s="48">
        <f>IF(M13&lt;0,B13/2,(B13+SQRT(M13))/2)</f>
        <v>2.0997247893344735</v>
      </c>
      <c r="N14" s="49" t="s">
        <v>30</v>
      </c>
      <c r="O14" s="49" t="str">
        <f>IF(M13&lt;0,SQRT(ABS(M13))/2,"")</f>
        <v/>
      </c>
      <c r="P14" s="49" t="str">
        <f>IF(M13&lt;0,"i","")</f>
        <v/>
      </c>
    </row>
    <row r="15" spans="1:16" ht="15.6">
      <c r="A15" s="48" t="s">
        <v>23</v>
      </c>
      <c r="B15" s="67">
        <f>SQRT(SUMSQ(B13:B14))</f>
        <v>3.9466963005207454</v>
      </c>
      <c r="C15" s="67">
        <f t="shared" ref="C15:I15" si="7">SUM(C12:C14)</f>
        <v>0</v>
      </c>
      <c r="D15" s="84">
        <f t="shared" si="7"/>
        <v>0</v>
      </c>
      <c r="E15" s="67">
        <f t="shared" si="7"/>
        <v>0</v>
      </c>
      <c r="F15" s="67">
        <f t="shared" si="7"/>
        <v>1</v>
      </c>
      <c r="G15" s="67">
        <f t="shared" si="7"/>
        <v>9.799940408854166</v>
      </c>
      <c r="H15" s="100">
        <f t="shared" si="7"/>
        <v>-9.246912632216997E-4</v>
      </c>
      <c r="I15" s="100">
        <f t="shared" si="7"/>
        <v>-2.2913896538945266E-3</v>
      </c>
      <c r="J15" s="105">
        <f>ABS(B15-B10)</f>
        <v>3.4802849465842556E-4</v>
      </c>
      <c r="K15" s="48">
        <f>ABS(J15/B15)*100</f>
        <v>8.818223348285123E-3</v>
      </c>
      <c r="L15" s="49" t="s">
        <v>24</v>
      </c>
      <c r="M15" s="48">
        <f>IF(M13&lt;0,M14,(B13-SQRT(M13))/2)</f>
        <v>1.1002156195196924</v>
      </c>
      <c r="N15" s="104" t="s">
        <v>30</v>
      </c>
      <c r="O15" s="49" t="str">
        <f>IF(M13&lt;0,-O14,"")</f>
        <v/>
      </c>
      <c r="P15" s="104" t="s">
        <v>25</v>
      </c>
    </row>
    <row r="16" spans="1:16" ht="15.6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91"/>
      <c r="M16" s="91"/>
      <c r="N16" s="91"/>
      <c r="O16" s="91"/>
      <c r="P16" s="91"/>
    </row>
    <row r="17" spans="1:16" ht="15.6">
      <c r="A17" s="47"/>
      <c r="B17" s="53" t="s">
        <v>32</v>
      </c>
      <c r="C17" s="92">
        <f t="shared" ref="C17:I17" si="8">C12</f>
        <v>0</v>
      </c>
      <c r="D17" s="106">
        <f t="shared" si="8"/>
        <v>0</v>
      </c>
      <c r="E17" s="106">
        <f t="shared" si="8"/>
        <v>0</v>
      </c>
      <c r="F17" s="106">
        <f t="shared" si="8"/>
        <v>1</v>
      </c>
      <c r="G17" s="106">
        <f t="shared" si="8"/>
        <v>6.6</v>
      </c>
      <c r="H17" s="106">
        <f t="shared" si="8"/>
        <v>-29.05</v>
      </c>
      <c r="I17" s="106">
        <f t="shared" si="8"/>
        <v>22.64</v>
      </c>
      <c r="J17" s="47"/>
      <c r="K17" s="47"/>
      <c r="L17" s="91"/>
      <c r="M17" s="91"/>
      <c r="N17" s="91"/>
      <c r="O17" s="91"/>
      <c r="P17" s="91"/>
    </row>
    <row r="18" spans="1:16" ht="15.6">
      <c r="A18" s="47" t="s">
        <v>28</v>
      </c>
      <c r="B18" s="74">
        <f>-(H12+B19*F15)/G15</f>
        <v>3.2000417166934723</v>
      </c>
      <c r="C18" s="47"/>
      <c r="D18" s="49">
        <f t="shared" ref="D18:I18" si="9">$B18*C20</f>
        <v>0</v>
      </c>
      <c r="E18" s="96">
        <f t="shared" si="9"/>
        <v>0</v>
      </c>
      <c r="F18" s="96">
        <f t="shared" si="9"/>
        <v>0</v>
      </c>
      <c r="G18" s="96">
        <f t="shared" si="9"/>
        <v>3.2000417166934723</v>
      </c>
      <c r="H18" s="96">
        <f t="shared" si="9"/>
        <v>31.360542318755417</v>
      </c>
      <c r="I18" s="96">
        <f t="shared" si="9"/>
        <v>1.0374193225127656E-3</v>
      </c>
      <c r="J18" s="47"/>
      <c r="K18" s="47"/>
      <c r="L18" s="49" t="s">
        <v>20</v>
      </c>
      <c r="M18" s="64">
        <f>B18^2+4*B19</f>
        <v>0.99939447080484634</v>
      </c>
      <c r="N18" s="91"/>
      <c r="O18" s="91"/>
      <c r="P18" s="91"/>
    </row>
    <row r="19" spans="1:16" ht="16.149999999999999" thickBot="1">
      <c r="A19" s="47" t="s">
        <v>29</v>
      </c>
      <c r="B19" s="75">
        <f>-I12/G15</f>
        <v>-2.3102181294434145</v>
      </c>
      <c r="C19" s="103"/>
      <c r="D19" s="97"/>
      <c r="E19" s="98">
        <f>$B19*C20</f>
        <v>0</v>
      </c>
      <c r="F19" s="98">
        <f>$B19*D20</f>
        <v>0</v>
      </c>
      <c r="G19" s="98">
        <f>$B19*E20</f>
        <v>0</v>
      </c>
      <c r="H19" s="98">
        <f>$B19*F20</f>
        <v>-2.3102181294434145</v>
      </c>
      <c r="I19" s="98">
        <f>$B19*G20</f>
        <v>-22.64023404320702</v>
      </c>
      <c r="J19" s="47"/>
      <c r="K19" s="47"/>
      <c r="L19" s="49" t="s">
        <v>22</v>
      </c>
      <c r="M19" s="48">
        <f>IF(M18&lt;0,B18/2,(B18+SQRT(M18))/2)</f>
        <v>2.0998694531244064</v>
      </c>
      <c r="N19" s="49" t="s">
        <v>30</v>
      </c>
      <c r="O19" s="49" t="str">
        <f>IF(M18&lt;0,SQRT(ABS(M18))/2,"")</f>
        <v/>
      </c>
      <c r="P19" s="49" t="str">
        <f>IF(M18&lt;0,"i","")</f>
        <v/>
      </c>
    </row>
    <row r="20" spans="1:16" ht="15.6">
      <c r="A20" s="47" t="s">
        <v>23</v>
      </c>
      <c r="B20" s="84">
        <f>SQRT(SUMSQ(B18:B19))</f>
        <v>3.9468183127916507</v>
      </c>
      <c r="C20" s="67">
        <f t="shared" ref="C20:I20" si="10">SUM(C17:C19)</f>
        <v>0</v>
      </c>
      <c r="D20" s="67">
        <f t="shared" si="10"/>
        <v>0</v>
      </c>
      <c r="E20" s="99">
        <f t="shared" si="10"/>
        <v>0</v>
      </c>
      <c r="F20" s="67">
        <f t="shared" si="10"/>
        <v>1</v>
      </c>
      <c r="G20" s="67">
        <f t="shared" si="10"/>
        <v>9.800041716693471</v>
      </c>
      <c r="H20" s="100">
        <f t="shared" si="10"/>
        <v>3.2418931200206558E-4</v>
      </c>
      <c r="I20" s="107">
        <f t="shared" si="10"/>
        <v>8.0337611549197163E-4</v>
      </c>
      <c r="J20" s="49">
        <f>ABS(B20-B15)</f>
        <v>1.2201227090535838E-4</v>
      </c>
      <c r="K20" s="49">
        <f>ABS(J20/B20)*100</f>
        <v>3.0914083506179196E-3</v>
      </c>
      <c r="L20" s="105" t="s">
        <v>24</v>
      </c>
      <c r="M20" s="48">
        <f>IF(M18&lt;0,M19,(B18-SQRT(M18))/2)</f>
        <v>1.1001722635690658</v>
      </c>
      <c r="N20" s="104" t="s">
        <v>30</v>
      </c>
      <c r="O20" s="49" t="str">
        <f>IF(M18&lt;0,-O19,"")</f>
        <v/>
      </c>
      <c r="P20" s="104" t="s">
        <v>25</v>
      </c>
    </row>
    <row r="21" spans="1:16" ht="15.6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91"/>
      <c r="M21" s="91"/>
      <c r="N21" s="91"/>
      <c r="O21" s="91"/>
      <c r="P21" s="91"/>
    </row>
    <row r="22" spans="1:16" ht="15.6">
      <c r="A22" s="47"/>
      <c r="B22" s="53" t="s">
        <v>33</v>
      </c>
      <c r="C22" s="92">
        <f t="shared" ref="C22:I22" si="11">C17</f>
        <v>0</v>
      </c>
      <c r="D22" s="106">
        <f t="shared" si="11"/>
        <v>0</v>
      </c>
      <c r="E22" s="106">
        <f t="shared" si="11"/>
        <v>0</v>
      </c>
      <c r="F22" s="106">
        <f t="shared" si="11"/>
        <v>1</v>
      </c>
      <c r="G22" s="106">
        <f t="shared" si="11"/>
        <v>6.6</v>
      </c>
      <c r="H22" s="106">
        <f t="shared" si="11"/>
        <v>-29.05</v>
      </c>
      <c r="I22" s="106">
        <f t="shared" si="11"/>
        <v>22.64</v>
      </c>
      <c r="J22" s="47"/>
      <c r="K22" s="47"/>
      <c r="L22" s="91"/>
      <c r="M22" s="91"/>
      <c r="N22" s="91"/>
      <c r="O22" s="91"/>
      <c r="P22" s="91"/>
    </row>
    <row r="23" spans="1:16" ht="15.6">
      <c r="A23" s="47" t="s">
        <v>28</v>
      </c>
      <c r="B23" s="74">
        <f>-(H17+B24*F20)/G20</f>
        <v>3.2000061993783113</v>
      </c>
      <c r="C23" s="47"/>
      <c r="D23" s="49">
        <f t="shared" ref="D23:I23" si="12">$B23*C25</f>
        <v>0</v>
      </c>
      <c r="E23" s="96">
        <f t="shared" si="12"/>
        <v>0</v>
      </c>
      <c r="F23" s="96">
        <f t="shared" si="12"/>
        <v>0</v>
      </c>
      <c r="G23" s="96">
        <f t="shared" si="12"/>
        <v>3.2000061993783113</v>
      </c>
      <c r="H23" s="96">
        <f t="shared" si="12"/>
        <v>31.360080591956478</v>
      </c>
      <c r="I23" s="96">
        <f t="shared" si="12"/>
        <v>-3.6369871642579865E-4</v>
      </c>
      <c r="J23" s="47"/>
      <c r="K23" s="47"/>
      <c r="L23" s="48" t="s">
        <v>20</v>
      </c>
      <c r="M23" s="64">
        <f>B23^2+4*B24</f>
        <v>0.99926268571892507</v>
      </c>
      <c r="N23" s="91"/>
      <c r="O23" s="91"/>
      <c r="P23" s="91"/>
    </row>
    <row r="24" spans="1:16" ht="16.149999999999999" thickBot="1">
      <c r="A24" s="47" t="s">
        <v>29</v>
      </c>
      <c r="B24" s="75">
        <f>-I17/G20</f>
        <v>-2.3101942475851751</v>
      </c>
      <c r="C24" s="103"/>
      <c r="D24" s="97"/>
      <c r="E24" s="98">
        <f>$B24*C25</f>
        <v>0</v>
      </c>
      <c r="F24" s="98">
        <f>$B24*D25</f>
        <v>0</v>
      </c>
      <c r="G24" s="98">
        <f>$B24*E25</f>
        <v>0</v>
      </c>
      <c r="H24" s="98">
        <f>$B24*F25</f>
        <v>-2.3101942475851751</v>
      </c>
      <c r="I24" s="98">
        <f>$B24*G25</f>
        <v>-22.639917948102827</v>
      </c>
      <c r="J24" s="47"/>
      <c r="K24" s="47"/>
      <c r="L24" s="49" t="s">
        <v>22</v>
      </c>
      <c r="M24" s="84">
        <f>IF(M23&lt;0,B23/2,(B23+SQRT(M23))/2)</f>
        <v>2.0998187371293335</v>
      </c>
      <c r="N24" s="49" t="s">
        <v>30</v>
      </c>
      <c r="O24" s="49" t="str">
        <f>IF(M23&lt;0,SQRT(ABS(M23))/2,"")</f>
        <v/>
      </c>
      <c r="P24" s="49" t="str">
        <f>IF(M23&lt;0,"i","")</f>
        <v/>
      </c>
    </row>
    <row r="25" spans="1:16" ht="15.6">
      <c r="A25" s="47" t="s">
        <v>23</v>
      </c>
      <c r="B25" s="84">
        <f>SQRT(SUMSQ(B23:B24))</f>
        <v>3.9467755367686239</v>
      </c>
      <c r="C25" s="67">
        <f t="shared" ref="C25:I25" si="13">SUM(C22:C24)</f>
        <v>0</v>
      </c>
      <c r="D25" s="67">
        <f t="shared" si="13"/>
        <v>0</v>
      </c>
      <c r="E25" s="67">
        <f t="shared" si="13"/>
        <v>0</v>
      </c>
      <c r="F25" s="67">
        <f t="shared" si="13"/>
        <v>1</v>
      </c>
      <c r="G25" s="67">
        <f t="shared" si="13"/>
        <v>9.800006199378311</v>
      </c>
      <c r="H25" s="100">
        <f t="shared" si="13"/>
        <v>-1.1365562869736223E-4</v>
      </c>
      <c r="I25" s="100">
        <f t="shared" si="13"/>
        <v>-2.8164681925346713E-4</v>
      </c>
      <c r="J25" s="49">
        <f>ABS(B25-B20)</f>
        <v>4.2776023026824816E-5</v>
      </c>
      <c r="K25" s="49">
        <f>ABS(J25/B25)*100</f>
        <v>1.0838220372128683E-3</v>
      </c>
      <c r="L25" s="105" t="s">
        <v>24</v>
      </c>
      <c r="M25" s="49">
        <f>IF(M23&lt;0,M24,(B23-SQRT(M23))/2)</f>
        <v>1.1001874622489778</v>
      </c>
      <c r="N25" s="108" t="s">
        <v>30</v>
      </c>
      <c r="O25" s="67" t="str">
        <f>IF(M23&lt;0,-O24,"")</f>
        <v/>
      </c>
      <c r="P25" s="108" t="s">
        <v>25</v>
      </c>
    </row>
  </sheetData>
  <conditionalFormatting sqref="B10">
    <cfRule type="expression" dxfId="79" priority="1">
      <formula>K10&lt;$K$2</formula>
    </cfRule>
  </conditionalFormatting>
  <conditionalFormatting sqref="B15">
    <cfRule type="expression" dxfId="78" priority="6">
      <formula>K15&lt;$K$2</formula>
    </cfRule>
    <cfRule type="expression" dxfId="77" priority="7">
      <formula>J15&lt;$J$2</formula>
    </cfRule>
  </conditionalFormatting>
  <conditionalFormatting sqref="B20">
    <cfRule type="expression" dxfId="76" priority="4">
      <formula>K20&lt;$K$2</formula>
    </cfRule>
    <cfRule type="expression" dxfId="75" priority="5">
      <formula>J20&lt;$J$2</formula>
    </cfRule>
  </conditionalFormatting>
  <conditionalFormatting sqref="B25">
    <cfRule type="expression" dxfId="74" priority="2">
      <formula>K25&lt;$K$2</formula>
    </cfRule>
    <cfRule type="expression" dxfId="73" priority="3">
      <formula>J25&lt;$J$2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A2FF-039C-49AC-91B9-0E2461907791}">
  <dimension ref="A1:K105"/>
  <sheetViews>
    <sheetView zoomScaleNormal="100" workbookViewId="0">
      <selection activeCell="K30" sqref="A1:K30"/>
    </sheetView>
  </sheetViews>
  <sheetFormatPr defaultColWidth="11.42578125" defaultRowHeight="14.45"/>
  <cols>
    <col min="1" max="1" width="19.140625" bestFit="1" customWidth="1"/>
    <col min="2" max="2" width="9.42578125" bestFit="1" customWidth="1"/>
    <col min="3" max="3" width="7.7109375" bestFit="1" customWidth="1"/>
    <col min="4" max="4" width="8.5703125" bestFit="1" customWidth="1"/>
    <col min="5" max="5" width="7.7109375" bestFit="1" customWidth="1"/>
    <col min="6" max="6" width="9.7109375" bestFit="1" customWidth="1"/>
    <col min="7" max="7" width="10.28515625" bestFit="1" customWidth="1"/>
    <col min="8" max="8" width="12.28515625" bestFit="1" customWidth="1"/>
    <col min="9" max="9" width="11.42578125" bestFit="1" customWidth="1"/>
    <col min="10" max="10" width="7.7109375" bestFit="1" customWidth="1"/>
    <col min="11" max="11" width="9" bestFit="1" customWidth="1"/>
    <col min="13" max="13" width="19.140625" bestFit="1" customWidth="1"/>
    <col min="14" max="14" width="11" bestFit="1" customWidth="1"/>
    <col min="15" max="15" width="7.7109375" bestFit="1" customWidth="1"/>
    <col min="16" max="16" width="8.5703125" bestFit="1" customWidth="1"/>
    <col min="17" max="17" width="7.7109375" bestFit="1" customWidth="1"/>
    <col min="18" max="18" width="9.7109375" bestFit="1" customWidth="1"/>
    <col min="19" max="19" width="10.28515625" bestFit="1" customWidth="1"/>
    <col min="20" max="20" width="12.28515625" bestFit="1" customWidth="1"/>
    <col min="21" max="21" width="11.42578125" bestFit="1" customWidth="1"/>
    <col min="22" max="22" width="7.7109375" bestFit="1" customWidth="1"/>
  </cols>
  <sheetData>
    <row r="1" spans="1:11" ht="15.6">
      <c r="A1" s="16" t="s">
        <v>0</v>
      </c>
      <c r="B1" s="29"/>
      <c r="C1" s="30" t="s">
        <v>1</v>
      </c>
      <c r="D1" s="30" t="s">
        <v>2</v>
      </c>
      <c r="E1" s="30" t="s">
        <v>3</v>
      </c>
      <c r="F1" s="30" t="s">
        <v>4</v>
      </c>
      <c r="G1" s="30" t="s">
        <v>5</v>
      </c>
      <c r="H1" s="30" t="s">
        <v>6</v>
      </c>
      <c r="I1" s="30" t="s">
        <v>7</v>
      </c>
      <c r="J1" s="32"/>
      <c r="K1" s="33">
        <v>0.5</v>
      </c>
    </row>
    <row r="2" spans="1:11" ht="15.6">
      <c r="A2" s="17"/>
      <c r="B2" s="25" t="s">
        <v>8</v>
      </c>
      <c r="C2" s="36">
        <v>0</v>
      </c>
      <c r="D2" s="31">
        <v>0</v>
      </c>
      <c r="E2" s="31">
        <v>0</v>
      </c>
      <c r="F2" s="31">
        <v>0</v>
      </c>
      <c r="G2" s="31">
        <v>0</v>
      </c>
      <c r="H2" s="31">
        <v>1</v>
      </c>
      <c r="I2" s="31">
        <v>-10.21484821043676</v>
      </c>
      <c r="J2" s="18" t="s">
        <v>9</v>
      </c>
      <c r="K2" s="19" t="s">
        <v>10</v>
      </c>
    </row>
    <row r="3" spans="1:11" ht="15.6">
      <c r="A3" s="17"/>
      <c r="B3" s="37">
        <v>10</v>
      </c>
      <c r="C3" s="34"/>
      <c r="D3" s="2">
        <f t="shared" ref="D3:I3" si="0">$B3*C4</f>
        <v>0</v>
      </c>
      <c r="E3" s="2">
        <f t="shared" si="0"/>
        <v>0</v>
      </c>
      <c r="F3" s="2">
        <f t="shared" si="0"/>
        <v>0</v>
      </c>
      <c r="G3" s="2">
        <f t="shared" si="0"/>
        <v>0</v>
      </c>
      <c r="H3" s="2">
        <f t="shared" si="0"/>
        <v>0</v>
      </c>
      <c r="I3" s="3">
        <f t="shared" si="0"/>
        <v>10</v>
      </c>
      <c r="J3" s="5"/>
      <c r="K3" s="6"/>
    </row>
    <row r="4" spans="1:11" ht="15.6">
      <c r="B4" s="4"/>
      <c r="C4" s="20">
        <f>SUM(C2:C3)</f>
        <v>0</v>
      </c>
      <c r="D4" s="5">
        <f t="shared" ref="D4:I4" si="1">SUM(D2:D3)</f>
        <v>0</v>
      </c>
      <c r="E4" s="6">
        <f t="shared" si="1"/>
        <v>0</v>
      </c>
      <c r="F4" s="6">
        <f t="shared" si="1"/>
        <v>0</v>
      </c>
      <c r="G4" s="6">
        <f t="shared" si="1"/>
        <v>0</v>
      </c>
      <c r="H4" s="6">
        <f t="shared" si="1"/>
        <v>1</v>
      </c>
      <c r="I4" s="7">
        <f t="shared" si="1"/>
        <v>-0.2148482104367595</v>
      </c>
      <c r="J4" s="5"/>
      <c r="K4" s="6"/>
    </row>
    <row r="5" spans="1:11" ht="15.6" thickBot="1">
      <c r="C5" s="21"/>
      <c r="D5" s="22">
        <f>$B3*C6</f>
        <v>0</v>
      </c>
      <c r="E5" s="23">
        <f>$B3*D6</f>
        <v>0</v>
      </c>
      <c r="F5" s="23">
        <f>$B3*E6</f>
        <v>0</v>
      </c>
      <c r="G5" s="23">
        <f>$B3*F6</f>
        <v>0</v>
      </c>
      <c r="H5" s="24">
        <f>$B3*G6</f>
        <v>0</v>
      </c>
      <c r="I5" s="1"/>
      <c r="J5" s="6"/>
      <c r="K5" s="6"/>
    </row>
    <row r="6" spans="1:11" ht="15.6">
      <c r="C6" s="13">
        <f>SUM(C4:C5)</f>
        <v>0</v>
      </c>
      <c r="D6" s="13">
        <f t="shared" ref="D6:H6" si="2">SUM(D4:D5)</f>
        <v>0</v>
      </c>
      <c r="E6" s="13">
        <f t="shared" si="2"/>
        <v>0</v>
      </c>
      <c r="F6" s="13">
        <f t="shared" si="2"/>
        <v>0</v>
      </c>
      <c r="G6" s="13">
        <f t="shared" si="2"/>
        <v>0</v>
      </c>
      <c r="H6" s="8">
        <f t="shared" si="2"/>
        <v>1</v>
      </c>
      <c r="I6" s="9"/>
      <c r="J6" s="6"/>
      <c r="K6" s="5"/>
    </row>
    <row r="7" spans="1:11" ht="15">
      <c r="C7" s="9"/>
      <c r="D7" s="9"/>
      <c r="E7" s="9"/>
      <c r="F7" s="9"/>
      <c r="G7" s="9"/>
      <c r="H7" s="9"/>
      <c r="I7" s="9"/>
      <c r="J7" s="6"/>
      <c r="K7" s="5"/>
    </row>
    <row r="8" spans="1:11" ht="15">
      <c r="B8" s="25" t="s">
        <v>11</v>
      </c>
      <c r="C8" s="10">
        <f t="shared" ref="C8:I8" si="3">C2</f>
        <v>0</v>
      </c>
      <c r="D8" s="11">
        <f t="shared" si="3"/>
        <v>0</v>
      </c>
      <c r="E8" s="11">
        <f t="shared" si="3"/>
        <v>0</v>
      </c>
      <c r="F8" s="11">
        <f t="shared" si="3"/>
        <v>0</v>
      </c>
      <c r="G8" s="11">
        <f t="shared" si="3"/>
        <v>0</v>
      </c>
      <c r="H8" s="11">
        <f t="shared" si="3"/>
        <v>1</v>
      </c>
      <c r="I8" s="12">
        <f t="shared" si="3"/>
        <v>-10.21484821043676</v>
      </c>
      <c r="J8" s="6"/>
      <c r="K8" s="5"/>
    </row>
    <row r="9" spans="1:11" ht="15">
      <c r="B9" s="12">
        <f>B3-I4/H6</f>
        <v>10.21484821043676</v>
      </c>
      <c r="C9" s="40"/>
      <c r="D9" s="6">
        <f t="shared" ref="D9:I9" si="4">$B9*C10</f>
        <v>0</v>
      </c>
      <c r="E9" s="6">
        <f>$B9*D10</f>
        <v>0</v>
      </c>
      <c r="F9" s="6">
        <f t="shared" si="4"/>
        <v>0</v>
      </c>
      <c r="G9" s="6">
        <f t="shared" si="4"/>
        <v>0</v>
      </c>
      <c r="H9" s="6">
        <f t="shared" si="4"/>
        <v>0</v>
      </c>
      <c r="I9" s="6">
        <f t="shared" si="4"/>
        <v>10.21484821043676</v>
      </c>
      <c r="J9" s="26">
        <f>ABS(B9-B3)</f>
        <v>0.2148482104367595</v>
      </c>
      <c r="K9" s="6">
        <f xml:space="preserve"> ABS(J9/B9)*100</f>
        <v>2.1032932258087187</v>
      </c>
    </row>
    <row r="10" spans="1:11" ht="15.6">
      <c r="B10" s="35"/>
      <c r="C10" s="26">
        <f t="shared" ref="C10:I10" si="5">SUM(C8:C9)</f>
        <v>0</v>
      </c>
      <c r="D10" s="13">
        <f t="shared" si="5"/>
        <v>0</v>
      </c>
      <c r="E10" s="13">
        <f t="shared" si="5"/>
        <v>0</v>
      </c>
      <c r="F10" s="13">
        <f>SUM(F8:F9)</f>
        <v>0</v>
      </c>
      <c r="G10" s="13">
        <f t="shared" si="5"/>
        <v>0</v>
      </c>
      <c r="H10" s="13">
        <f t="shared" si="5"/>
        <v>1</v>
      </c>
      <c r="I10" s="14">
        <f t="shared" si="5"/>
        <v>0</v>
      </c>
    </row>
    <row r="11" spans="1:11" ht="15.6" thickBot="1">
      <c r="B11" s="38"/>
      <c r="C11" s="42"/>
      <c r="D11" s="23">
        <f>$B9*C12</f>
        <v>0</v>
      </c>
      <c r="E11" s="23">
        <f>$B9*D12</f>
        <v>0</v>
      </c>
      <c r="F11" s="23">
        <f>$B9*E12</f>
        <v>0</v>
      </c>
      <c r="G11" s="23">
        <f>$B9*F12</f>
        <v>0</v>
      </c>
      <c r="H11" s="23">
        <f>$B9*G12</f>
        <v>0</v>
      </c>
      <c r="I11" s="39"/>
    </row>
    <row r="12" spans="1:11" ht="15.6">
      <c r="C12" s="13">
        <f t="shared" ref="C12:H12" si="6">SUM(C10:C11)</f>
        <v>0</v>
      </c>
      <c r="D12" s="13">
        <f t="shared" si="6"/>
        <v>0</v>
      </c>
      <c r="E12" s="13">
        <f t="shared" si="6"/>
        <v>0</v>
      </c>
      <c r="F12" s="13">
        <f t="shared" si="6"/>
        <v>0</v>
      </c>
      <c r="G12" s="13">
        <f t="shared" si="6"/>
        <v>0</v>
      </c>
      <c r="H12" s="8">
        <f t="shared" si="6"/>
        <v>1</v>
      </c>
    </row>
    <row r="14" spans="1:11" ht="15">
      <c r="B14" s="25" t="s">
        <v>12</v>
      </c>
      <c r="C14" s="27">
        <f t="shared" ref="C14:I14" si="7">C8</f>
        <v>0</v>
      </c>
      <c r="D14" s="28">
        <f t="shared" si="7"/>
        <v>0</v>
      </c>
      <c r="E14" s="28">
        <f t="shared" si="7"/>
        <v>0</v>
      </c>
      <c r="F14" s="28">
        <f t="shared" si="7"/>
        <v>0</v>
      </c>
      <c r="G14" s="28">
        <f t="shared" si="7"/>
        <v>0</v>
      </c>
      <c r="H14" s="28">
        <f t="shared" si="7"/>
        <v>1</v>
      </c>
      <c r="I14" s="28">
        <f t="shared" si="7"/>
        <v>-10.21484821043676</v>
      </c>
    </row>
    <row r="15" spans="1:11" ht="15">
      <c r="B15" s="41">
        <f>B9-I10/H12</f>
        <v>10.21484821043676</v>
      </c>
      <c r="C15" s="5"/>
      <c r="D15" s="6">
        <f t="shared" ref="D15:I15" si="8">$B15*C16</f>
        <v>0</v>
      </c>
      <c r="E15" s="6">
        <f t="shared" si="8"/>
        <v>0</v>
      </c>
      <c r="F15" s="6">
        <f t="shared" si="8"/>
        <v>0</v>
      </c>
      <c r="G15" s="6">
        <f t="shared" si="8"/>
        <v>0</v>
      </c>
      <c r="H15" s="6">
        <f t="shared" si="8"/>
        <v>0</v>
      </c>
      <c r="I15" s="6">
        <f t="shared" si="8"/>
        <v>10.21484821043676</v>
      </c>
      <c r="J15" s="5">
        <f>ABS(B15-B9)</f>
        <v>0</v>
      </c>
      <c r="K15" s="6">
        <f xml:space="preserve"> ABS(J15/B15)*100</f>
        <v>0</v>
      </c>
    </row>
    <row r="16" spans="1:11" ht="15.6">
      <c r="B16" s="35"/>
      <c r="C16" s="26">
        <f t="shared" ref="C16:I16" si="9">SUM(C14:C15)</f>
        <v>0</v>
      </c>
      <c r="D16" s="13">
        <f t="shared" si="9"/>
        <v>0</v>
      </c>
      <c r="E16" s="13">
        <f t="shared" si="9"/>
        <v>0</v>
      </c>
      <c r="F16" s="13">
        <f t="shared" si="9"/>
        <v>0</v>
      </c>
      <c r="G16" s="13">
        <f t="shared" si="9"/>
        <v>0</v>
      </c>
      <c r="H16" s="13">
        <f t="shared" si="9"/>
        <v>1</v>
      </c>
      <c r="I16" s="14">
        <f t="shared" si="9"/>
        <v>0</v>
      </c>
    </row>
    <row r="17" spans="1:11" ht="15.6" thickBot="1">
      <c r="B17" s="38"/>
      <c r="C17" s="22"/>
      <c r="D17" s="23">
        <f>$B15*C18</f>
        <v>0</v>
      </c>
      <c r="E17" s="23">
        <f>$B15*D18</f>
        <v>0</v>
      </c>
      <c r="F17" s="23">
        <f>$B15*E18</f>
        <v>0</v>
      </c>
      <c r="G17" s="23">
        <f>$B15*F18</f>
        <v>0</v>
      </c>
      <c r="H17" s="23">
        <f>$B15*G18</f>
        <v>0</v>
      </c>
      <c r="I17" s="24"/>
    </row>
    <row r="18" spans="1:11" ht="15.6">
      <c r="C18" s="13">
        <f t="shared" ref="C18:H18" si="10">SUM(C16:C17)</f>
        <v>0</v>
      </c>
      <c r="D18" s="13">
        <f t="shared" si="10"/>
        <v>0</v>
      </c>
      <c r="E18" s="13">
        <f t="shared" si="10"/>
        <v>0</v>
      </c>
      <c r="F18" s="13">
        <f t="shared" si="10"/>
        <v>0</v>
      </c>
      <c r="G18" s="13">
        <f t="shared" si="10"/>
        <v>0</v>
      </c>
      <c r="H18" s="8">
        <f t="shared" si="10"/>
        <v>1</v>
      </c>
      <c r="I18" s="15"/>
    </row>
    <row r="20" spans="1:11" ht="15">
      <c r="B20" s="25" t="s">
        <v>13</v>
      </c>
      <c r="C20" s="27">
        <f t="shared" ref="C20:I20" si="11">C14</f>
        <v>0</v>
      </c>
      <c r="D20" s="28">
        <f t="shared" si="11"/>
        <v>0</v>
      </c>
      <c r="E20" s="28">
        <f t="shared" si="11"/>
        <v>0</v>
      </c>
      <c r="F20" s="28">
        <f t="shared" si="11"/>
        <v>0</v>
      </c>
      <c r="G20" s="28">
        <f t="shared" si="11"/>
        <v>0</v>
      </c>
      <c r="H20" s="28">
        <f t="shared" si="11"/>
        <v>1</v>
      </c>
      <c r="I20" s="28">
        <f t="shared" si="11"/>
        <v>-10.21484821043676</v>
      </c>
      <c r="J20" s="15"/>
      <c r="K20" s="15"/>
    </row>
    <row r="21" spans="1:11" ht="15">
      <c r="B21" s="12">
        <f>B15-I16/H18</f>
        <v>10.21484821043676</v>
      </c>
      <c r="C21" s="20"/>
      <c r="D21" s="6">
        <f t="shared" ref="D21:I21" si="12">$B21*C22</f>
        <v>0</v>
      </c>
      <c r="E21" s="6">
        <f t="shared" si="12"/>
        <v>0</v>
      </c>
      <c r="F21" s="6">
        <f t="shared" si="12"/>
        <v>0</v>
      </c>
      <c r="G21" s="6">
        <f t="shared" si="12"/>
        <v>0</v>
      </c>
      <c r="H21" s="6">
        <f t="shared" si="12"/>
        <v>0</v>
      </c>
      <c r="I21" s="6">
        <f t="shared" si="12"/>
        <v>10.21484821043676</v>
      </c>
      <c r="J21" s="5">
        <f>ABS(B21-B15)</f>
        <v>0</v>
      </c>
      <c r="K21" s="6">
        <f xml:space="preserve"> ABS(J21/B21)*100</f>
        <v>0</v>
      </c>
    </row>
    <row r="22" spans="1:11" ht="15.6">
      <c r="B22" s="35"/>
      <c r="C22" s="26">
        <f t="shared" ref="C22:I22" si="13">SUM(C20:C21)</f>
        <v>0</v>
      </c>
      <c r="D22" s="13">
        <f t="shared" si="13"/>
        <v>0</v>
      </c>
      <c r="E22" s="13">
        <f t="shared" si="13"/>
        <v>0</v>
      </c>
      <c r="F22" s="13">
        <f t="shared" si="13"/>
        <v>0</v>
      </c>
      <c r="G22" s="13">
        <f t="shared" si="13"/>
        <v>0</v>
      </c>
      <c r="H22" s="13">
        <f t="shared" si="13"/>
        <v>1</v>
      </c>
      <c r="I22" s="14">
        <f t="shared" si="13"/>
        <v>0</v>
      </c>
      <c r="J22" s="15"/>
      <c r="K22" s="15"/>
    </row>
    <row r="23" spans="1:11" ht="15.6" thickBot="1">
      <c r="B23" s="38"/>
      <c r="C23" s="22"/>
      <c r="D23" s="23">
        <f>$B21*C24</f>
        <v>0</v>
      </c>
      <c r="E23" s="23">
        <f>$B21*D24</f>
        <v>0</v>
      </c>
      <c r="F23" s="23">
        <f>$B21*E24</f>
        <v>0</v>
      </c>
      <c r="G23" s="23">
        <f>$B21*F24</f>
        <v>0</v>
      </c>
      <c r="H23" s="23">
        <f>$B21*G24</f>
        <v>0</v>
      </c>
      <c r="I23" s="24"/>
      <c r="J23" s="15"/>
      <c r="K23" s="15"/>
    </row>
    <row r="24" spans="1:11" ht="15.6">
      <c r="C24" s="13">
        <f t="shared" ref="C24:H24" si="14">SUM(C22:C23)</f>
        <v>0</v>
      </c>
      <c r="D24" s="13">
        <f t="shared" si="14"/>
        <v>0</v>
      </c>
      <c r="E24" s="13">
        <f t="shared" si="14"/>
        <v>0</v>
      </c>
      <c r="F24" s="13">
        <f t="shared" si="14"/>
        <v>0</v>
      </c>
      <c r="G24" s="13">
        <f t="shared" si="14"/>
        <v>0</v>
      </c>
      <c r="H24" s="8">
        <f t="shared" si="14"/>
        <v>1</v>
      </c>
      <c r="I24" s="15"/>
      <c r="J24" s="15"/>
      <c r="K24" s="15"/>
    </row>
    <row r="26" spans="1:11" ht="15">
      <c r="B26" s="25" t="s">
        <v>14</v>
      </c>
      <c r="C26" s="27">
        <f t="shared" ref="C26:I26" si="15">C20</f>
        <v>0</v>
      </c>
      <c r="D26" s="28">
        <f t="shared" si="15"/>
        <v>0</v>
      </c>
      <c r="E26" s="28">
        <f t="shared" si="15"/>
        <v>0</v>
      </c>
      <c r="F26" s="28">
        <f t="shared" si="15"/>
        <v>0</v>
      </c>
      <c r="G26" s="28">
        <f t="shared" si="15"/>
        <v>0</v>
      </c>
      <c r="H26" s="28">
        <f t="shared" si="15"/>
        <v>1</v>
      </c>
      <c r="I26" s="28">
        <f t="shared" si="15"/>
        <v>-10.21484821043676</v>
      </c>
      <c r="J26" s="15"/>
      <c r="K26" s="15"/>
    </row>
    <row r="27" spans="1:11" ht="15">
      <c r="B27" s="12">
        <f>B21-I22/H24</f>
        <v>10.21484821043676</v>
      </c>
      <c r="C27" s="20"/>
      <c r="D27" s="6">
        <f t="shared" ref="D27:I27" si="16">$B27*C28</f>
        <v>0</v>
      </c>
      <c r="E27" s="6">
        <f t="shared" si="16"/>
        <v>0</v>
      </c>
      <c r="F27" s="6">
        <f t="shared" si="16"/>
        <v>0</v>
      </c>
      <c r="G27" s="6">
        <f t="shared" si="16"/>
        <v>0</v>
      </c>
      <c r="H27" s="6">
        <f t="shared" si="16"/>
        <v>0</v>
      </c>
      <c r="I27" s="6">
        <f t="shared" si="16"/>
        <v>10.21484821043676</v>
      </c>
      <c r="J27" s="5">
        <f>ABS(B27-B21)</f>
        <v>0</v>
      </c>
      <c r="K27" s="6">
        <f xml:space="preserve"> ABS(J27/B27)*100</f>
        <v>0</v>
      </c>
    </row>
    <row r="28" spans="1:11" ht="15.6">
      <c r="B28" s="35"/>
      <c r="C28" s="26">
        <f t="shared" ref="C28:I28" si="17">SUM(C26:C27)</f>
        <v>0</v>
      </c>
      <c r="D28" s="13">
        <f t="shared" si="17"/>
        <v>0</v>
      </c>
      <c r="E28" s="13">
        <f t="shared" si="17"/>
        <v>0</v>
      </c>
      <c r="F28" s="13">
        <f t="shared" si="17"/>
        <v>0</v>
      </c>
      <c r="G28" s="13">
        <f t="shared" si="17"/>
        <v>0</v>
      </c>
      <c r="H28" s="13">
        <f t="shared" si="17"/>
        <v>1</v>
      </c>
      <c r="I28" s="14">
        <f t="shared" si="17"/>
        <v>0</v>
      </c>
      <c r="J28" s="15"/>
      <c r="K28" s="15"/>
    </row>
    <row r="29" spans="1:11" ht="15.6" thickBot="1">
      <c r="B29" s="38"/>
      <c r="C29" s="22"/>
      <c r="D29" s="23">
        <f>$B27*C30</f>
        <v>0</v>
      </c>
      <c r="E29" s="23">
        <f>$B27*D30</f>
        <v>0</v>
      </c>
      <c r="F29" s="23">
        <f>$B27*E30</f>
        <v>0</v>
      </c>
      <c r="G29" s="23">
        <f>$B27*F30</f>
        <v>0</v>
      </c>
      <c r="H29" s="23">
        <f>$B27*G30</f>
        <v>0</v>
      </c>
      <c r="I29" s="24"/>
      <c r="J29" s="15"/>
      <c r="K29" s="15"/>
    </row>
    <row r="30" spans="1:11" ht="15.6">
      <c r="C30" s="13">
        <f t="shared" ref="C30:H30" si="18">SUM(C28:C29)</f>
        <v>0</v>
      </c>
      <c r="D30" s="13">
        <f t="shared" si="18"/>
        <v>0</v>
      </c>
      <c r="E30" s="13">
        <f t="shared" si="18"/>
        <v>0</v>
      </c>
      <c r="F30" s="13">
        <f t="shared" si="18"/>
        <v>0</v>
      </c>
      <c r="G30" s="13">
        <f t="shared" si="18"/>
        <v>0</v>
      </c>
      <c r="H30" s="8">
        <f t="shared" si="18"/>
        <v>1</v>
      </c>
      <c r="I30" s="15"/>
      <c r="J30" s="15"/>
      <c r="K30" s="15"/>
    </row>
    <row r="32" spans="1:11" ht="15.6">
      <c r="A32" s="16" t="s">
        <v>0</v>
      </c>
      <c r="B32" s="29"/>
      <c r="C32" s="30" t="s">
        <v>1</v>
      </c>
      <c r="D32" s="30" t="s">
        <v>2</v>
      </c>
      <c r="E32" s="30" t="s">
        <v>3</v>
      </c>
      <c r="F32" s="30" t="s">
        <v>4</v>
      </c>
      <c r="G32" s="30" t="s">
        <v>5</v>
      </c>
      <c r="H32" s="30" t="s">
        <v>6</v>
      </c>
      <c r="I32" s="30" t="s">
        <v>7</v>
      </c>
      <c r="J32" s="32"/>
      <c r="K32" s="33">
        <v>0.5</v>
      </c>
    </row>
    <row r="33" spans="1:11" ht="15.6">
      <c r="A33" s="17"/>
      <c r="B33" s="25" t="s">
        <v>8</v>
      </c>
      <c r="C33" s="36">
        <v>0</v>
      </c>
      <c r="D33" s="31">
        <v>0</v>
      </c>
      <c r="E33" s="31">
        <v>0</v>
      </c>
      <c r="F33" s="31">
        <v>1</v>
      </c>
      <c r="G33" s="31">
        <v>-4.6500000000000004</v>
      </c>
      <c r="H33" s="31">
        <v>-49.92</v>
      </c>
      <c r="I33" s="31">
        <v>-76.69</v>
      </c>
      <c r="J33" s="18" t="s">
        <v>9</v>
      </c>
      <c r="K33" s="19" t="s">
        <v>10</v>
      </c>
    </row>
    <row r="34" spans="1:11" ht="15.6">
      <c r="A34" s="17"/>
      <c r="B34" s="37">
        <v>-2</v>
      </c>
      <c r="C34" s="34"/>
      <c r="D34" s="2">
        <f t="shared" ref="D34:I34" si="19">$B34*C35</f>
        <v>0</v>
      </c>
      <c r="E34" s="2">
        <f t="shared" si="19"/>
        <v>0</v>
      </c>
      <c r="F34" s="2">
        <f t="shared" si="19"/>
        <v>0</v>
      </c>
      <c r="G34" s="2">
        <f t="shared" si="19"/>
        <v>-2</v>
      </c>
      <c r="H34" s="2">
        <f t="shared" si="19"/>
        <v>13.3</v>
      </c>
      <c r="I34" s="3">
        <f t="shared" si="19"/>
        <v>73.240000000000009</v>
      </c>
      <c r="J34" s="5"/>
      <c r="K34" s="6"/>
    </row>
    <row r="35" spans="1:11" ht="15.6">
      <c r="B35" s="4"/>
      <c r="C35" s="20">
        <f>SUM(C33:C34)</f>
        <v>0</v>
      </c>
      <c r="D35" s="5">
        <f t="shared" ref="D35:I35" si="20">SUM(D33:D34)</f>
        <v>0</v>
      </c>
      <c r="E35" s="6">
        <f t="shared" si="20"/>
        <v>0</v>
      </c>
      <c r="F35" s="6">
        <f t="shared" si="20"/>
        <v>1</v>
      </c>
      <c r="G35" s="6">
        <f t="shared" si="20"/>
        <v>-6.65</v>
      </c>
      <c r="H35" s="6">
        <f t="shared" si="20"/>
        <v>-36.620000000000005</v>
      </c>
      <c r="I35" s="7">
        <f t="shared" si="20"/>
        <v>-3.4499999999999886</v>
      </c>
      <c r="J35" s="5"/>
      <c r="K35" s="6"/>
    </row>
    <row r="36" spans="1:11" ht="15.6" thickBot="1">
      <c r="C36" s="21"/>
      <c r="D36" s="22">
        <f>$B34*C37</f>
        <v>0</v>
      </c>
      <c r="E36" s="23">
        <f>$B34*D37</f>
        <v>0</v>
      </c>
      <c r="F36" s="23">
        <f>$B34*E37</f>
        <v>0</v>
      </c>
      <c r="G36" s="23">
        <f>$B34*F37</f>
        <v>-2</v>
      </c>
      <c r="H36" s="24">
        <f>$B34*G37</f>
        <v>17.3</v>
      </c>
      <c r="I36" s="1"/>
      <c r="J36" s="6"/>
      <c r="K36" s="6"/>
    </row>
    <row r="37" spans="1:11" ht="15.6">
      <c r="C37" s="13">
        <f>SUM(C35:C36)</f>
        <v>0</v>
      </c>
      <c r="D37" s="13">
        <f t="shared" ref="D37:H37" si="21">SUM(D35:D36)</f>
        <v>0</v>
      </c>
      <c r="E37" s="13">
        <f t="shared" si="21"/>
        <v>0</v>
      </c>
      <c r="F37" s="13">
        <f t="shared" si="21"/>
        <v>1</v>
      </c>
      <c r="G37" s="13">
        <f t="shared" si="21"/>
        <v>-8.65</v>
      </c>
      <c r="H37" s="8">
        <f t="shared" si="21"/>
        <v>-19.320000000000004</v>
      </c>
      <c r="I37" s="9"/>
      <c r="J37" s="6"/>
      <c r="K37" s="5"/>
    </row>
    <row r="38" spans="1:11" ht="15">
      <c r="C38" s="9"/>
      <c r="D38" s="9"/>
      <c r="E38" s="9"/>
      <c r="F38" s="9"/>
      <c r="G38" s="9"/>
      <c r="H38" s="9"/>
      <c r="I38" s="9"/>
      <c r="J38" s="6"/>
      <c r="K38" s="5"/>
    </row>
    <row r="39" spans="1:11" ht="15">
      <c r="B39" s="25" t="s">
        <v>11</v>
      </c>
      <c r="C39" s="10">
        <f t="shared" ref="C39:I39" si="22">C33</f>
        <v>0</v>
      </c>
      <c r="D39" s="11">
        <f t="shared" si="22"/>
        <v>0</v>
      </c>
      <c r="E39" s="11">
        <f t="shared" si="22"/>
        <v>0</v>
      </c>
      <c r="F39" s="11">
        <f t="shared" si="22"/>
        <v>1</v>
      </c>
      <c r="G39" s="11">
        <f t="shared" si="22"/>
        <v>-4.6500000000000004</v>
      </c>
      <c r="H39" s="11">
        <f t="shared" si="22"/>
        <v>-49.92</v>
      </c>
      <c r="I39" s="12">
        <f t="shared" si="22"/>
        <v>-76.69</v>
      </c>
      <c r="J39" s="6"/>
      <c r="K39" s="5"/>
    </row>
    <row r="40" spans="1:11" ht="15">
      <c r="B40" s="12">
        <f>B34-I35/H37</f>
        <v>-2.1785714285714279</v>
      </c>
      <c r="C40" s="40"/>
      <c r="D40" s="6">
        <f t="shared" ref="D40:I40" si="23">$B40*C41</f>
        <v>0</v>
      </c>
      <c r="E40" s="6">
        <f>$B40*D41</f>
        <v>0</v>
      </c>
      <c r="F40" s="6">
        <f t="shared" si="23"/>
        <v>0</v>
      </c>
      <c r="G40" s="6">
        <f t="shared" si="23"/>
        <v>-2.1785714285714279</v>
      </c>
      <c r="H40" s="6">
        <f t="shared" si="23"/>
        <v>14.876530612244894</v>
      </c>
      <c r="I40" s="6">
        <f t="shared" si="23"/>
        <v>76.344701166180755</v>
      </c>
      <c r="J40" s="26">
        <f>ABS(B40-B34)</f>
        <v>0.17857142857142794</v>
      </c>
      <c r="K40" s="6">
        <f xml:space="preserve"> ABS(J40/B40)*100</f>
        <v>8.1967213114753825</v>
      </c>
    </row>
    <row r="41" spans="1:11" ht="15.6">
      <c r="B41" s="35"/>
      <c r="C41" s="26">
        <f t="shared" ref="C41:I41" si="24">SUM(C39:C40)</f>
        <v>0</v>
      </c>
      <c r="D41" s="13">
        <f t="shared" si="24"/>
        <v>0</v>
      </c>
      <c r="E41" s="13">
        <f t="shared" si="24"/>
        <v>0</v>
      </c>
      <c r="F41" s="13">
        <f>SUM(F39:F40)</f>
        <v>1</v>
      </c>
      <c r="G41" s="13">
        <f t="shared" si="24"/>
        <v>-6.8285714285714283</v>
      </c>
      <c r="H41" s="13">
        <f t="shared" si="24"/>
        <v>-35.04346938775511</v>
      </c>
      <c r="I41" s="14">
        <f t="shared" si="24"/>
        <v>-0.34529883381924265</v>
      </c>
    </row>
    <row r="42" spans="1:11" ht="15.6" thickBot="1">
      <c r="B42" s="38"/>
      <c r="C42" s="42"/>
      <c r="D42" s="23">
        <f>$B40*C43</f>
        <v>0</v>
      </c>
      <c r="E42" s="23">
        <f>$B40*D43</f>
        <v>0</v>
      </c>
      <c r="F42" s="23">
        <f>$B40*E43</f>
        <v>0</v>
      </c>
      <c r="G42" s="23">
        <f>$B40*F43</f>
        <v>-2.1785714285714279</v>
      </c>
      <c r="H42" s="23">
        <f>$B40*G43</f>
        <v>19.622704081632644</v>
      </c>
      <c r="I42" s="39"/>
    </row>
    <row r="43" spans="1:11" ht="15.6">
      <c r="C43" s="13">
        <f t="shared" ref="C43:H43" si="25">SUM(C41:C42)</f>
        <v>0</v>
      </c>
      <c r="D43" s="13">
        <f t="shared" si="25"/>
        <v>0</v>
      </c>
      <c r="E43" s="13">
        <f t="shared" si="25"/>
        <v>0</v>
      </c>
      <c r="F43" s="13">
        <f t="shared" si="25"/>
        <v>1</v>
      </c>
      <c r="G43" s="13">
        <f t="shared" si="25"/>
        <v>-9.0071428571428562</v>
      </c>
      <c r="H43" s="8">
        <f t="shared" si="25"/>
        <v>-15.420765306122465</v>
      </c>
    </row>
    <row r="45" spans="1:11" ht="15">
      <c r="B45" s="25" t="s">
        <v>12</v>
      </c>
      <c r="C45" s="27">
        <f t="shared" ref="C45:I45" si="26">C39</f>
        <v>0</v>
      </c>
      <c r="D45" s="28">
        <f t="shared" si="26"/>
        <v>0</v>
      </c>
      <c r="E45" s="28">
        <f t="shared" si="26"/>
        <v>0</v>
      </c>
      <c r="F45" s="28">
        <f t="shared" si="26"/>
        <v>1</v>
      </c>
      <c r="G45" s="28">
        <f t="shared" si="26"/>
        <v>-4.6500000000000004</v>
      </c>
      <c r="H45" s="28">
        <f t="shared" si="26"/>
        <v>-49.92</v>
      </c>
      <c r="I45" s="28">
        <f t="shared" si="26"/>
        <v>-76.69</v>
      </c>
    </row>
    <row r="46" spans="1:11" ht="15">
      <c r="B46" s="41">
        <f>B40-I41/H43</f>
        <v>-2.2009632377303516</v>
      </c>
      <c r="C46" s="5"/>
      <c r="D46" s="6">
        <f t="shared" ref="D46:I46" si="27">$B46*C47</f>
        <v>0</v>
      </c>
      <c r="E46" s="6">
        <f t="shared" si="27"/>
        <v>0</v>
      </c>
      <c r="F46" s="6">
        <f t="shared" si="27"/>
        <v>0</v>
      </c>
      <c r="G46" s="6">
        <f t="shared" si="27"/>
        <v>-2.2009632377303516</v>
      </c>
      <c r="H46" s="6">
        <f t="shared" si="27"/>
        <v>15.078718229286608</v>
      </c>
      <c r="I46" s="6">
        <f t="shared" si="27"/>
        <v>76.684380332744837</v>
      </c>
      <c r="J46" s="5">
        <f>ABS(B46-B40)</f>
        <v>2.2391809158923692E-2</v>
      </c>
      <c r="K46" s="6">
        <f xml:space="preserve"> ABS(J46/B46)*100</f>
        <v>1.0173640692887846</v>
      </c>
    </row>
    <row r="47" spans="1:11" ht="15.6">
      <c r="B47" s="35"/>
      <c r="C47" s="26">
        <f t="shared" ref="C47:I47" si="28">SUM(C45:C46)</f>
        <v>0</v>
      </c>
      <c r="D47" s="13">
        <f t="shared" si="28"/>
        <v>0</v>
      </c>
      <c r="E47" s="13">
        <f t="shared" si="28"/>
        <v>0</v>
      </c>
      <c r="F47" s="13">
        <f t="shared" si="28"/>
        <v>1</v>
      </c>
      <c r="G47" s="13">
        <f t="shared" si="28"/>
        <v>-6.850963237730352</v>
      </c>
      <c r="H47" s="13">
        <f t="shared" si="28"/>
        <v>-34.841281770713394</v>
      </c>
      <c r="I47" s="14">
        <f t="shared" si="28"/>
        <v>-5.6196672551607207E-3</v>
      </c>
    </row>
    <row r="48" spans="1:11" ht="15.6" thickBot="1">
      <c r="B48" s="38"/>
      <c r="C48" s="22"/>
      <c r="D48" s="23">
        <f>$B46*C49</f>
        <v>0</v>
      </c>
      <c r="E48" s="23">
        <f>$B46*D49</f>
        <v>0</v>
      </c>
      <c r="F48" s="23">
        <f>$B46*E49</f>
        <v>0</v>
      </c>
      <c r="G48" s="23">
        <f>$B46*F49</f>
        <v>-2.2009632377303516</v>
      </c>
      <c r="H48" s="23">
        <f>$B46*G49</f>
        <v>19.922957403127082</v>
      </c>
      <c r="I48" s="24"/>
    </row>
    <row r="49" spans="1:11" ht="15.6">
      <c r="C49" s="13">
        <f t="shared" ref="C49:H49" si="29">SUM(C47:C48)</f>
        <v>0</v>
      </c>
      <c r="D49" s="13">
        <f t="shared" si="29"/>
        <v>0</v>
      </c>
      <c r="E49" s="13">
        <f t="shared" si="29"/>
        <v>0</v>
      </c>
      <c r="F49" s="13">
        <f t="shared" si="29"/>
        <v>1</v>
      </c>
      <c r="G49" s="13">
        <f t="shared" si="29"/>
        <v>-9.0519264754607036</v>
      </c>
      <c r="H49" s="8">
        <f t="shared" si="29"/>
        <v>-14.918324367586312</v>
      </c>
      <c r="I49" s="15"/>
    </row>
    <row r="51" spans="1:11" ht="15">
      <c r="B51" s="25" t="s">
        <v>13</v>
      </c>
      <c r="C51" s="27">
        <f t="shared" ref="C51:I51" si="30">C45</f>
        <v>0</v>
      </c>
      <c r="D51" s="28">
        <f t="shared" si="30"/>
        <v>0</v>
      </c>
      <c r="E51" s="28">
        <f t="shared" si="30"/>
        <v>0</v>
      </c>
      <c r="F51" s="28">
        <f t="shared" si="30"/>
        <v>1</v>
      </c>
      <c r="G51" s="28">
        <f t="shared" si="30"/>
        <v>-4.6500000000000004</v>
      </c>
      <c r="H51" s="28">
        <f t="shared" si="30"/>
        <v>-49.92</v>
      </c>
      <c r="I51" s="28">
        <f t="shared" si="30"/>
        <v>-76.69</v>
      </c>
      <c r="J51" s="15"/>
      <c r="K51" s="15"/>
    </row>
    <row r="52" spans="1:11" ht="15">
      <c r="B52" s="12">
        <f>B46-I47/H49</f>
        <v>-2.2013399333374917</v>
      </c>
      <c r="C52" s="20"/>
      <c r="D52" s="6">
        <f t="shared" ref="D52:I52" si="31">$B52*C53</f>
        <v>0</v>
      </c>
      <c r="E52" s="6">
        <f t="shared" si="31"/>
        <v>0</v>
      </c>
      <c r="F52" s="6">
        <f t="shared" si="31"/>
        <v>0</v>
      </c>
      <c r="G52" s="6">
        <f t="shared" si="31"/>
        <v>-2.2013399333374917</v>
      </c>
      <c r="H52" s="6">
        <f t="shared" si="31"/>
        <v>15.08212819212565</v>
      </c>
      <c r="I52" s="6">
        <f t="shared" si="31"/>
        <v>76.6899984031662</v>
      </c>
      <c r="J52" s="5">
        <f>ABS(B52-B46)</f>
        <v>3.7669560714004291E-4</v>
      </c>
      <c r="K52" s="6">
        <f xml:space="preserve"> ABS(J52/B52)*100</f>
        <v>1.7112105288024638E-2</v>
      </c>
    </row>
    <row r="53" spans="1:11" ht="15.6">
      <c r="B53" s="35"/>
      <c r="C53" s="26">
        <f t="shared" ref="C53:I53" si="32">SUM(C51:C52)</f>
        <v>0</v>
      </c>
      <c r="D53" s="13">
        <f t="shared" si="32"/>
        <v>0</v>
      </c>
      <c r="E53" s="13">
        <f t="shared" si="32"/>
        <v>0</v>
      </c>
      <c r="F53" s="13">
        <f t="shared" si="32"/>
        <v>1</v>
      </c>
      <c r="G53" s="13">
        <f t="shared" si="32"/>
        <v>-6.851339933337492</v>
      </c>
      <c r="H53" s="13">
        <f t="shared" si="32"/>
        <v>-34.83787180787435</v>
      </c>
      <c r="I53" s="14">
        <f t="shared" si="32"/>
        <v>-1.5968337976346447E-6</v>
      </c>
      <c r="J53" s="15"/>
      <c r="K53" s="15"/>
    </row>
    <row r="54" spans="1:11" ht="15.6" thickBot="1">
      <c r="B54" s="38"/>
      <c r="C54" s="22"/>
      <c r="D54" s="23">
        <f>$B52*C55</f>
        <v>0</v>
      </c>
      <c r="E54" s="23">
        <f>$B52*D55</f>
        <v>0</v>
      </c>
      <c r="F54" s="23">
        <f>$B52*E55</f>
        <v>0</v>
      </c>
      <c r="G54" s="23">
        <f>$B52*F55</f>
        <v>-2.2013399333374917</v>
      </c>
      <c r="H54" s="23">
        <f>$B52*G55</f>
        <v>19.928025694231962</v>
      </c>
      <c r="I54" s="24"/>
      <c r="J54" s="15"/>
      <c r="K54" s="15"/>
    </row>
    <row r="55" spans="1:11" ht="15.6">
      <c r="C55" s="13">
        <f t="shared" ref="C55:H55" si="33">SUM(C53:C54)</f>
        <v>0</v>
      </c>
      <c r="D55" s="13">
        <f t="shared" si="33"/>
        <v>0</v>
      </c>
      <c r="E55" s="13">
        <f t="shared" si="33"/>
        <v>0</v>
      </c>
      <c r="F55" s="13">
        <f t="shared" si="33"/>
        <v>1</v>
      </c>
      <c r="G55" s="13">
        <f t="shared" si="33"/>
        <v>-9.0526798666749837</v>
      </c>
      <c r="H55" s="8">
        <f t="shared" si="33"/>
        <v>-14.909846113642388</v>
      </c>
      <c r="I55" s="15"/>
      <c r="J55" s="15"/>
      <c r="K55" s="15"/>
    </row>
    <row r="57" spans="1:11" ht="15">
      <c r="B57" s="25" t="s">
        <v>14</v>
      </c>
      <c r="C57" s="27">
        <f t="shared" ref="C57:I57" si="34">C51</f>
        <v>0</v>
      </c>
      <c r="D57" s="28">
        <f t="shared" si="34"/>
        <v>0</v>
      </c>
      <c r="E57" s="28">
        <f t="shared" si="34"/>
        <v>0</v>
      </c>
      <c r="F57" s="28">
        <f t="shared" si="34"/>
        <v>1</v>
      </c>
      <c r="G57" s="28">
        <f t="shared" si="34"/>
        <v>-4.6500000000000004</v>
      </c>
      <c r="H57" s="28">
        <f t="shared" si="34"/>
        <v>-49.92</v>
      </c>
      <c r="I57" s="28">
        <f t="shared" si="34"/>
        <v>-76.69</v>
      </c>
      <c r="J57" s="15"/>
      <c r="K57" s="15"/>
    </row>
    <row r="58" spans="1:11" ht="15">
      <c r="B58" s="12">
        <f>B52-I53/H55</f>
        <v>-2.2013400404367727</v>
      </c>
      <c r="C58" s="20"/>
      <c r="D58" s="6">
        <f t="shared" ref="D58:I58" si="35">$B58*C59</f>
        <v>0</v>
      </c>
      <c r="E58" s="6">
        <f t="shared" si="35"/>
        <v>0</v>
      </c>
      <c r="F58" s="6">
        <f t="shared" si="35"/>
        <v>0</v>
      </c>
      <c r="G58" s="6">
        <f t="shared" si="35"/>
        <v>-2.2013400404367727</v>
      </c>
      <c r="H58" s="6">
        <f t="shared" si="35"/>
        <v>15.082129161661165</v>
      </c>
      <c r="I58" s="6">
        <f t="shared" si="35"/>
        <v>76.689999999999884</v>
      </c>
      <c r="J58" s="5">
        <f>ABS(B58-B52)</f>
        <v>1.0709928099927879E-7</v>
      </c>
      <c r="K58" s="6">
        <f xml:space="preserve"> ABS(J58/B58)*100</f>
        <v>4.865185706522151E-6</v>
      </c>
    </row>
    <row r="59" spans="1:11" ht="15.6">
      <c r="B59" s="35"/>
      <c r="C59" s="26">
        <f t="shared" ref="C59:I59" si="36">SUM(C57:C58)</f>
        <v>0</v>
      </c>
      <c r="D59" s="13">
        <f t="shared" si="36"/>
        <v>0</v>
      </c>
      <c r="E59" s="13">
        <f t="shared" si="36"/>
        <v>0</v>
      </c>
      <c r="F59" s="13">
        <f t="shared" si="36"/>
        <v>1</v>
      </c>
      <c r="G59" s="13">
        <f t="shared" si="36"/>
        <v>-6.8513400404367726</v>
      </c>
      <c r="H59" s="13">
        <f t="shared" si="36"/>
        <v>-34.837870838338837</v>
      </c>
      <c r="I59" s="14">
        <f t="shared" si="36"/>
        <v>-1.1368683772161603E-13</v>
      </c>
      <c r="J59" s="15"/>
      <c r="K59" s="15"/>
    </row>
    <row r="60" spans="1:11" ht="15.6" thickBot="1">
      <c r="B60" s="38"/>
      <c r="C60" s="22"/>
      <c r="D60" s="23">
        <f>$B58*C61</f>
        <v>0</v>
      </c>
      <c r="E60" s="23">
        <f>$B58*D61</f>
        <v>0</v>
      </c>
      <c r="F60" s="23">
        <f>$B58*E61</f>
        <v>0</v>
      </c>
      <c r="G60" s="23">
        <f>$B58*F61</f>
        <v>-2.2013400404367727</v>
      </c>
      <c r="H60" s="23">
        <f>$B58*G61</f>
        <v>19.928027135291337</v>
      </c>
      <c r="I60" s="24"/>
      <c r="J60" s="15"/>
      <c r="K60" s="15"/>
    </row>
    <row r="61" spans="1:11" ht="15.6">
      <c r="C61" s="13">
        <f t="shared" ref="C61:H61" si="37">SUM(C59:C60)</f>
        <v>0</v>
      </c>
      <c r="D61" s="13">
        <f t="shared" si="37"/>
        <v>0</v>
      </c>
      <c r="E61" s="13">
        <f t="shared" si="37"/>
        <v>0</v>
      </c>
      <c r="F61" s="13">
        <f t="shared" si="37"/>
        <v>1</v>
      </c>
      <c r="G61" s="13">
        <f t="shared" si="37"/>
        <v>-9.0526800808735448</v>
      </c>
      <c r="H61" s="8">
        <f t="shared" si="37"/>
        <v>-14.9098437030475</v>
      </c>
      <c r="I61" s="15"/>
      <c r="J61" s="15"/>
      <c r="K61" s="15"/>
    </row>
    <row r="64" spans="1:11" ht="15.6">
      <c r="A64" s="16" t="s">
        <v>0</v>
      </c>
      <c r="B64" s="29"/>
      <c r="C64" s="30" t="s">
        <v>1</v>
      </c>
      <c r="D64" s="30" t="s">
        <v>2</v>
      </c>
      <c r="E64" s="30" t="s">
        <v>3</v>
      </c>
      <c r="F64" s="30" t="s">
        <v>4</v>
      </c>
      <c r="G64" s="30" t="s">
        <v>5</v>
      </c>
      <c r="H64" s="30" t="s">
        <v>6</v>
      </c>
      <c r="I64" s="30" t="s">
        <v>7</v>
      </c>
      <c r="J64" s="32"/>
      <c r="K64" s="33">
        <v>0.5</v>
      </c>
    </row>
    <row r="65" spans="1:11" ht="15.6">
      <c r="A65" s="17"/>
      <c r="B65" s="25" t="s">
        <v>8</v>
      </c>
      <c r="C65" s="36">
        <v>0</v>
      </c>
      <c r="D65" s="31">
        <v>0</v>
      </c>
      <c r="E65" s="31">
        <v>0</v>
      </c>
      <c r="F65" s="31">
        <v>1</v>
      </c>
      <c r="G65" s="31">
        <v>-4.6500000000000004</v>
      </c>
      <c r="H65" s="31">
        <v>-49.92</v>
      </c>
      <c r="I65" s="31">
        <v>-76.69</v>
      </c>
      <c r="J65" s="18" t="s">
        <v>9</v>
      </c>
      <c r="K65" s="19" t="s">
        <v>10</v>
      </c>
    </row>
    <row r="66" spans="1:11" ht="15.6">
      <c r="A66" s="17"/>
      <c r="B66" s="37">
        <v>-3</v>
      </c>
      <c r="C66" s="34"/>
      <c r="D66" s="2">
        <f t="shared" ref="D66:I66" si="38">$B66*C67</f>
        <v>0</v>
      </c>
      <c r="E66" s="2">
        <f t="shared" si="38"/>
        <v>0</v>
      </c>
      <c r="F66" s="2">
        <f t="shared" si="38"/>
        <v>0</v>
      </c>
      <c r="G66" s="2">
        <f t="shared" si="38"/>
        <v>-3</v>
      </c>
      <c r="H66" s="2">
        <f t="shared" si="38"/>
        <v>22.950000000000003</v>
      </c>
      <c r="I66" s="3">
        <f t="shared" si="38"/>
        <v>80.91</v>
      </c>
      <c r="J66" s="5"/>
      <c r="K66" s="6"/>
    </row>
    <row r="67" spans="1:11" ht="15.6">
      <c r="B67" s="4"/>
      <c r="C67" s="20">
        <f>SUM(C65:C66)</f>
        <v>0</v>
      </c>
      <c r="D67" s="5">
        <f t="shared" ref="D67:I67" si="39">SUM(D65:D66)</f>
        <v>0</v>
      </c>
      <c r="E67" s="6">
        <f t="shared" si="39"/>
        <v>0</v>
      </c>
      <c r="F67" s="6">
        <f t="shared" si="39"/>
        <v>1</v>
      </c>
      <c r="G67" s="6">
        <f t="shared" si="39"/>
        <v>-7.65</v>
      </c>
      <c r="H67" s="6">
        <f t="shared" si="39"/>
        <v>-26.97</v>
      </c>
      <c r="I67" s="7">
        <f t="shared" si="39"/>
        <v>4.2199999999999989</v>
      </c>
      <c r="J67" s="5"/>
      <c r="K67" s="6"/>
    </row>
    <row r="68" spans="1:11" ht="15.6" thickBot="1">
      <c r="C68" s="21"/>
      <c r="D68" s="22">
        <f>$B66*C69</f>
        <v>0</v>
      </c>
      <c r="E68" s="23">
        <f>$B66*D69</f>
        <v>0</v>
      </c>
      <c r="F68" s="23">
        <f>$B66*E69</f>
        <v>0</v>
      </c>
      <c r="G68" s="23">
        <f>$B66*F69</f>
        <v>-3</v>
      </c>
      <c r="H68" s="24">
        <f>$B66*G69</f>
        <v>31.950000000000003</v>
      </c>
      <c r="I68" s="1"/>
      <c r="J68" s="6"/>
      <c r="K68" s="6"/>
    </row>
    <row r="69" spans="1:11" ht="15.6">
      <c r="C69" s="13">
        <f>SUM(C67:C68)</f>
        <v>0</v>
      </c>
      <c r="D69" s="13">
        <f t="shared" ref="D69:H69" si="40">SUM(D67:D68)</f>
        <v>0</v>
      </c>
      <c r="E69" s="13">
        <f t="shared" si="40"/>
        <v>0</v>
      </c>
      <c r="F69" s="13">
        <f t="shared" si="40"/>
        <v>1</v>
      </c>
      <c r="G69" s="13">
        <f t="shared" si="40"/>
        <v>-10.65</v>
      </c>
      <c r="H69" s="8">
        <f t="shared" si="40"/>
        <v>4.980000000000004</v>
      </c>
      <c r="I69" s="9"/>
      <c r="J69" s="6"/>
      <c r="K69" s="5"/>
    </row>
    <row r="70" spans="1:11" ht="15">
      <c r="C70" s="9"/>
      <c r="D70" s="9"/>
      <c r="E70" s="9"/>
      <c r="F70" s="9"/>
      <c r="G70" s="9"/>
      <c r="H70" s="9"/>
      <c r="I70" s="9"/>
      <c r="J70" s="6"/>
      <c r="K70" s="5"/>
    </row>
    <row r="71" spans="1:11" ht="15">
      <c r="B71" s="25" t="s">
        <v>11</v>
      </c>
      <c r="C71" s="10">
        <f t="shared" ref="C71:I71" si="41">C65</f>
        <v>0</v>
      </c>
      <c r="D71" s="11">
        <f t="shared" si="41"/>
        <v>0</v>
      </c>
      <c r="E71" s="11">
        <f t="shared" si="41"/>
        <v>0</v>
      </c>
      <c r="F71" s="11">
        <f t="shared" si="41"/>
        <v>1</v>
      </c>
      <c r="G71" s="11">
        <f t="shared" si="41"/>
        <v>-4.6500000000000004</v>
      </c>
      <c r="H71" s="11">
        <f t="shared" si="41"/>
        <v>-49.92</v>
      </c>
      <c r="I71" s="12">
        <f t="shared" si="41"/>
        <v>-76.69</v>
      </c>
      <c r="J71" s="6"/>
      <c r="K71" s="5"/>
    </row>
    <row r="72" spans="1:11" ht="15">
      <c r="B72" s="12">
        <f>B66-I67/H69</f>
        <v>-3.8473895582329307</v>
      </c>
      <c r="C72" s="40"/>
      <c r="D72" s="6">
        <f t="shared" ref="D72:I72" si="42">$B72*C73</f>
        <v>0</v>
      </c>
      <c r="E72" s="6">
        <f>$B72*D73</f>
        <v>0</v>
      </c>
      <c r="F72" s="6">
        <f t="shared" si="42"/>
        <v>0</v>
      </c>
      <c r="G72" s="6">
        <f t="shared" si="42"/>
        <v>-3.8473895582329307</v>
      </c>
      <c r="H72" s="6">
        <f t="shared" si="42"/>
        <v>32.692767858582918</v>
      </c>
      <c r="I72" s="6">
        <f t="shared" si="42"/>
        <v>66.279873058142812</v>
      </c>
      <c r="J72" s="26">
        <f>ABS(B72-B66)</f>
        <v>0.84738955823293072</v>
      </c>
      <c r="K72" s="6">
        <f xml:space="preserve"> ABS(J72/B72)*100</f>
        <v>22.025052192066784</v>
      </c>
    </row>
    <row r="73" spans="1:11" ht="15.6">
      <c r="B73" s="35"/>
      <c r="C73" s="26">
        <f t="shared" ref="C73:I73" si="43">SUM(C71:C72)</f>
        <v>0</v>
      </c>
      <c r="D73" s="13">
        <f t="shared" si="43"/>
        <v>0</v>
      </c>
      <c r="E73" s="13">
        <f t="shared" si="43"/>
        <v>0</v>
      </c>
      <c r="F73" s="13">
        <f>SUM(F71:F72)</f>
        <v>1</v>
      </c>
      <c r="G73" s="13">
        <f t="shared" si="43"/>
        <v>-8.497389558232932</v>
      </c>
      <c r="H73" s="13">
        <f t="shared" si="43"/>
        <v>-17.227232141417083</v>
      </c>
      <c r="I73" s="14">
        <f t="shared" si="43"/>
        <v>-10.410126941857186</v>
      </c>
    </row>
    <row r="74" spans="1:11" ht="15.6" thickBot="1">
      <c r="B74" s="38"/>
      <c r="C74" s="42"/>
      <c r="D74" s="23">
        <f>$B72*C75</f>
        <v>0</v>
      </c>
      <c r="E74" s="23">
        <f>$B72*D75</f>
        <v>0</v>
      </c>
      <c r="F74" s="23">
        <f>$B72*E75</f>
        <v>0</v>
      </c>
      <c r="G74" s="23">
        <f>$B72*F75</f>
        <v>-3.8473895582329307</v>
      </c>
      <c r="H74" s="23">
        <f>$B72*G75</f>
        <v>47.495174271382702</v>
      </c>
      <c r="I74" s="39"/>
    </row>
    <row r="75" spans="1:11" ht="15.6">
      <c r="C75" s="13">
        <f t="shared" ref="C75:H75" si="44">SUM(C73:C74)</f>
        <v>0</v>
      </c>
      <c r="D75" s="13">
        <f t="shared" si="44"/>
        <v>0</v>
      </c>
      <c r="E75" s="13">
        <f t="shared" si="44"/>
        <v>0</v>
      </c>
      <c r="F75" s="13">
        <f t="shared" si="44"/>
        <v>1</v>
      </c>
      <c r="G75" s="13">
        <f t="shared" si="44"/>
        <v>-12.344779116465862</v>
      </c>
      <c r="H75" s="8">
        <f t="shared" si="44"/>
        <v>30.267942129965618</v>
      </c>
    </row>
    <row r="77" spans="1:11" ht="15">
      <c r="B77" s="25" t="s">
        <v>12</v>
      </c>
      <c r="C77" s="27">
        <f t="shared" ref="C77:I77" si="45">C71</f>
        <v>0</v>
      </c>
      <c r="D77" s="28">
        <f t="shared" si="45"/>
        <v>0</v>
      </c>
      <c r="E77" s="28">
        <f t="shared" si="45"/>
        <v>0</v>
      </c>
      <c r="F77" s="28">
        <f t="shared" si="45"/>
        <v>1</v>
      </c>
      <c r="G77" s="28">
        <f t="shared" si="45"/>
        <v>-4.6500000000000004</v>
      </c>
      <c r="H77" s="28">
        <f t="shared" si="45"/>
        <v>-49.92</v>
      </c>
      <c r="I77" s="28">
        <f t="shared" si="45"/>
        <v>-76.69</v>
      </c>
    </row>
    <row r="78" spans="1:11" ht="15">
      <c r="B78" s="41">
        <f>B72-I73/H75</f>
        <v>-3.5034571264489065</v>
      </c>
      <c r="C78" s="5"/>
      <c r="D78" s="6">
        <f t="shared" ref="D78:I78" si="46">$B78*C79</f>
        <v>0</v>
      </c>
      <c r="E78" s="6">
        <f t="shared" si="46"/>
        <v>0</v>
      </c>
      <c r="F78" s="6">
        <f t="shared" si="46"/>
        <v>0</v>
      </c>
      <c r="G78" s="6">
        <f t="shared" si="46"/>
        <v>-3.5034571264489065</v>
      </c>
      <c r="H78" s="6">
        <f t="shared" si="46"/>
        <v>28.565287474853044</v>
      </c>
      <c r="I78" s="6">
        <f t="shared" si="46"/>
        <v>74.815319779493834</v>
      </c>
      <c r="J78" s="5">
        <f>ABS(B78-B72)</f>
        <v>0.34393243178402422</v>
      </c>
      <c r="K78" s="6">
        <f xml:space="preserve"> ABS(J78/B78)*100</f>
        <v>9.8169442174002874</v>
      </c>
    </row>
    <row r="79" spans="1:11" ht="15.6">
      <c r="B79" s="35"/>
      <c r="C79" s="26">
        <f t="shared" ref="C79:I79" si="47">SUM(C77:C78)</f>
        <v>0</v>
      </c>
      <c r="D79" s="13">
        <f t="shared" si="47"/>
        <v>0</v>
      </c>
      <c r="E79" s="13">
        <f t="shared" si="47"/>
        <v>0</v>
      </c>
      <c r="F79" s="13">
        <f t="shared" si="47"/>
        <v>1</v>
      </c>
      <c r="G79" s="13">
        <f t="shared" si="47"/>
        <v>-8.153457126448906</v>
      </c>
      <c r="H79" s="13">
        <f t="shared" si="47"/>
        <v>-21.354712525146958</v>
      </c>
      <c r="I79" s="14">
        <f t="shared" si="47"/>
        <v>-1.8746802205061641</v>
      </c>
    </row>
    <row r="80" spans="1:11" ht="15.6" thickBot="1">
      <c r="B80" s="38"/>
      <c r="C80" s="22"/>
      <c r="D80" s="23">
        <f>$B78*C81</f>
        <v>0</v>
      </c>
      <c r="E80" s="23">
        <f>$B78*D81</f>
        <v>0</v>
      </c>
      <c r="F80" s="23">
        <f>$B78*E81</f>
        <v>0</v>
      </c>
      <c r="G80" s="23">
        <f>$B78*F81</f>
        <v>-3.5034571264489065</v>
      </c>
      <c r="H80" s="23">
        <f>$B78*G81</f>
        <v>40.839499311718676</v>
      </c>
      <c r="I80" s="24"/>
    </row>
    <row r="81" spans="2:11" ht="15.6">
      <c r="C81" s="13">
        <f t="shared" ref="C81:H81" si="48">SUM(C79:C80)</f>
        <v>0</v>
      </c>
      <c r="D81" s="13">
        <f t="shared" si="48"/>
        <v>0</v>
      </c>
      <c r="E81" s="13">
        <f t="shared" si="48"/>
        <v>0</v>
      </c>
      <c r="F81" s="13">
        <f t="shared" si="48"/>
        <v>1</v>
      </c>
      <c r="G81" s="13">
        <f t="shared" si="48"/>
        <v>-11.656914252897813</v>
      </c>
      <c r="H81" s="8">
        <f t="shared" si="48"/>
        <v>19.484786786571718</v>
      </c>
      <c r="I81" s="15"/>
    </row>
    <row r="83" spans="2:11" ht="15">
      <c r="B83" s="25" t="s">
        <v>13</v>
      </c>
      <c r="C83" s="27">
        <f t="shared" ref="C83:I83" si="49">C77</f>
        <v>0</v>
      </c>
      <c r="D83" s="28">
        <f t="shared" si="49"/>
        <v>0</v>
      </c>
      <c r="E83" s="28">
        <f t="shared" si="49"/>
        <v>0</v>
      </c>
      <c r="F83" s="28">
        <f t="shared" si="49"/>
        <v>1</v>
      </c>
      <c r="G83" s="28">
        <f t="shared" si="49"/>
        <v>-4.6500000000000004</v>
      </c>
      <c r="H83" s="28">
        <f t="shared" si="49"/>
        <v>-49.92</v>
      </c>
      <c r="I83" s="28">
        <f t="shared" si="49"/>
        <v>-76.69</v>
      </c>
      <c r="J83" s="15"/>
      <c r="K83" s="15"/>
    </row>
    <row r="84" spans="2:11" ht="15">
      <c r="B84" s="12">
        <f>B78-I79/H81</f>
        <v>-3.4072446176316107</v>
      </c>
      <c r="C84" s="20"/>
      <c r="D84" s="6">
        <f t="shared" ref="D84:I84" si="50">$B84*C85</f>
        <v>0</v>
      </c>
      <c r="E84" s="6">
        <f t="shared" si="50"/>
        <v>0</v>
      </c>
      <c r="F84" s="6">
        <f t="shared" si="50"/>
        <v>0</v>
      </c>
      <c r="G84" s="6">
        <f t="shared" si="50"/>
        <v>-3.4072446176316107</v>
      </c>
      <c r="H84" s="6">
        <f t="shared" si="50"/>
        <v>27.453003356366569</v>
      </c>
      <c r="I84" s="6">
        <f t="shared" si="50"/>
        <v>76.550553388367476</v>
      </c>
      <c r="J84" s="5">
        <f>ABS(B84-B78)</f>
        <v>9.6212508817295816E-2</v>
      </c>
      <c r="K84" s="6">
        <f xml:space="preserve"> ABS(J84/B84)*100</f>
        <v>2.8237628821664562</v>
      </c>
    </row>
    <row r="85" spans="2:11" ht="15.6">
      <c r="B85" s="35"/>
      <c r="C85" s="26">
        <f t="shared" ref="C85:I85" si="51">SUM(C83:C84)</f>
        <v>0</v>
      </c>
      <c r="D85" s="13">
        <f t="shared" si="51"/>
        <v>0</v>
      </c>
      <c r="E85" s="13">
        <f t="shared" si="51"/>
        <v>0</v>
      </c>
      <c r="F85" s="13">
        <f t="shared" si="51"/>
        <v>1</v>
      </c>
      <c r="G85" s="13">
        <f t="shared" si="51"/>
        <v>-8.0572446176316106</v>
      </c>
      <c r="H85" s="13">
        <f t="shared" si="51"/>
        <v>-22.466996643633433</v>
      </c>
      <c r="I85" s="14">
        <f t="shared" si="51"/>
        <v>-0.13944661163252192</v>
      </c>
      <c r="J85" s="15"/>
      <c r="K85" s="15"/>
    </row>
    <row r="86" spans="2:11" ht="15.6" thickBot="1">
      <c r="B86" s="38"/>
      <c r="C86" s="22"/>
      <c r="D86" s="23">
        <f>$B84*C87</f>
        <v>0</v>
      </c>
      <c r="E86" s="23">
        <f>$B84*D87</f>
        <v>0</v>
      </c>
      <c r="F86" s="23">
        <f>$B84*E87</f>
        <v>0</v>
      </c>
      <c r="G86" s="23">
        <f>$B84*F87</f>
        <v>-3.4072446176316107</v>
      </c>
      <c r="H86" s="23">
        <f>$B84*G87</f>
        <v>39.062319240746149</v>
      </c>
      <c r="I86" s="24"/>
      <c r="J86" s="15"/>
      <c r="K86" s="15"/>
    </row>
    <row r="87" spans="2:11" ht="15.6">
      <c r="C87" s="13">
        <f t="shared" ref="C87:H87" si="52">SUM(C85:C86)</f>
        <v>0</v>
      </c>
      <c r="D87" s="13">
        <f t="shared" si="52"/>
        <v>0</v>
      </c>
      <c r="E87" s="13">
        <f t="shared" si="52"/>
        <v>0</v>
      </c>
      <c r="F87" s="13">
        <f t="shared" si="52"/>
        <v>1</v>
      </c>
      <c r="G87" s="13">
        <f t="shared" si="52"/>
        <v>-11.464489235263221</v>
      </c>
      <c r="H87" s="8">
        <f t="shared" si="52"/>
        <v>16.595322597112716</v>
      </c>
      <c r="I87" s="15"/>
      <c r="J87" s="15"/>
      <c r="K87" s="15"/>
    </row>
    <row r="89" spans="2:11" ht="15">
      <c r="B89" s="25" t="s">
        <v>14</v>
      </c>
      <c r="C89" s="27">
        <f t="shared" ref="C89:I89" si="53">C83</f>
        <v>0</v>
      </c>
      <c r="D89" s="28">
        <f t="shared" si="53"/>
        <v>0</v>
      </c>
      <c r="E89" s="28">
        <f t="shared" si="53"/>
        <v>0</v>
      </c>
      <c r="F89" s="28">
        <f t="shared" si="53"/>
        <v>1</v>
      </c>
      <c r="G89" s="28">
        <f t="shared" si="53"/>
        <v>-4.6500000000000004</v>
      </c>
      <c r="H89" s="28">
        <f t="shared" si="53"/>
        <v>-49.92</v>
      </c>
      <c r="I89" s="28">
        <f t="shared" si="53"/>
        <v>-76.69</v>
      </c>
      <c r="J89" s="15"/>
      <c r="K89" s="15"/>
    </row>
    <row r="90" spans="2:11" ht="15">
      <c r="B90" s="12">
        <f>B84-I85/H87</f>
        <v>-3.3988418516825605</v>
      </c>
      <c r="C90" s="20"/>
      <c r="D90" s="6">
        <f t="shared" ref="D90:I90" si="54">$B90*C91</f>
        <v>0</v>
      </c>
      <c r="E90" s="6">
        <f t="shared" si="54"/>
        <v>0</v>
      </c>
      <c r="F90" s="6">
        <f t="shared" si="54"/>
        <v>0</v>
      </c>
      <c r="G90" s="6">
        <f t="shared" si="54"/>
        <v>-3.3988418516825605</v>
      </c>
      <c r="H90" s="6">
        <f t="shared" si="54"/>
        <v>27.356740543072842</v>
      </c>
      <c r="I90" s="6">
        <f t="shared" si="54"/>
        <v>76.688950552576358</v>
      </c>
      <c r="J90" s="5">
        <f>ABS(B90-B84)</f>
        <v>8.402765949050206E-3</v>
      </c>
      <c r="K90" s="6">
        <f xml:space="preserve"> ABS(J90/B90)*100</f>
        <v>0.24722438747453063</v>
      </c>
    </row>
    <row r="91" spans="2:11" ht="15.6">
      <c r="B91" s="35"/>
      <c r="C91" s="26">
        <f t="shared" ref="C91:I91" si="55">SUM(C89:C90)</f>
        <v>0</v>
      </c>
      <c r="D91" s="13">
        <f t="shared" si="55"/>
        <v>0</v>
      </c>
      <c r="E91" s="13">
        <f t="shared" si="55"/>
        <v>0</v>
      </c>
      <c r="F91" s="13">
        <f t="shared" si="55"/>
        <v>1</v>
      </c>
      <c r="G91" s="13">
        <f t="shared" si="55"/>
        <v>-8.0488418516825604</v>
      </c>
      <c r="H91" s="13">
        <f t="shared" si="55"/>
        <v>-22.56325945692716</v>
      </c>
      <c r="I91" s="14">
        <f t="shared" si="55"/>
        <v>-1.049447423639549E-3</v>
      </c>
      <c r="J91" s="15"/>
      <c r="K91" s="15"/>
    </row>
    <row r="92" spans="2:11" ht="15.6" thickBot="1">
      <c r="B92" s="38"/>
      <c r="C92" s="22"/>
      <c r="D92" s="23">
        <f>$B90*C93</f>
        <v>0</v>
      </c>
      <c r="E92" s="23">
        <f>$B90*D93</f>
        <v>0</v>
      </c>
      <c r="F92" s="23">
        <f>$B90*E93</f>
        <v>0</v>
      </c>
      <c r="G92" s="23">
        <f>$B90*F93</f>
        <v>-3.3988418516825605</v>
      </c>
      <c r="H92" s="23">
        <f>$B90*G93</f>
        <v>38.908866475821775</v>
      </c>
      <c r="I92" s="24"/>
      <c r="J92" s="15"/>
      <c r="K92" s="15"/>
    </row>
    <row r="93" spans="2:11" ht="15.6">
      <c r="C93" s="13">
        <f t="shared" ref="C93:H93" si="56">SUM(C91:C92)</f>
        <v>0</v>
      </c>
      <c r="D93" s="13">
        <f t="shared" si="56"/>
        <v>0</v>
      </c>
      <c r="E93" s="13">
        <f t="shared" si="56"/>
        <v>0</v>
      </c>
      <c r="F93" s="13">
        <f t="shared" si="56"/>
        <v>1</v>
      </c>
      <c r="G93" s="13">
        <f t="shared" si="56"/>
        <v>-11.44768370336512</v>
      </c>
      <c r="H93" s="8">
        <f t="shared" si="56"/>
        <v>16.345607018894615</v>
      </c>
      <c r="I93" s="15"/>
      <c r="J93" s="15"/>
      <c r="K93" s="15"/>
    </row>
    <row r="95" spans="2:11" ht="15">
      <c r="B95" s="25" t="s">
        <v>15</v>
      </c>
      <c r="C95" s="27">
        <f t="shared" ref="C95:I95" si="57">C89</f>
        <v>0</v>
      </c>
      <c r="D95" s="28">
        <f t="shared" si="57"/>
        <v>0</v>
      </c>
      <c r="E95" s="28">
        <f t="shared" si="57"/>
        <v>0</v>
      </c>
      <c r="F95" s="28">
        <f t="shared" si="57"/>
        <v>1</v>
      </c>
      <c r="G95" s="28">
        <f t="shared" si="57"/>
        <v>-4.6500000000000004</v>
      </c>
      <c r="H95" s="28">
        <f t="shared" si="57"/>
        <v>-49.92</v>
      </c>
      <c r="I95" s="28">
        <f t="shared" si="57"/>
        <v>-76.69</v>
      </c>
      <c r="J95" s="15"/>
      <c r="K95" s="15"/>
    </row>
    <row r="96" spans="2:11" ht="15">
      <c r="B96" s="12">
        <f>B90-I91/H93</f>
        <v>-3.3987776480453125</v>
      </c>
      <c r="C96" s="20"/>
      <c r="D96" s="6">
        <f t="shared" ref="D96" si="58">$B96*C97</f>
        <v>0</v>
      </c>
      <c r="E96" s="6">
        <f t="shared" ref="E96" si="59">$B96*D97</f>
        <v>0</v>
      </c>
      <c r="F96" s="6">
        <f t="shared" ref="F96" si="60">$B96*E97</f>
        <v>0</v>
      </c>
      <c r="G96" s="6">
        <f t="shared" ref="G96" si="61">$B96*F97</f>
        <v>-3.3987776480453125</v>
      </c>
      <c r="H96" s="6">
        <f t="shared" ref="H96" si="62">$B96*G97</f>
        <v>27.356005564263128</v>
      </c>
      <c r="I96" s="6">
        <f t="shared" ref="I96" si="63">$B96*H97</f>
        <v>76.689999938801293</v>
      </c>
      <c r="J96" s="5">
        <f>ABS(B96-B90)</f>
        <v>6.4203637248017031E-5</v>
      </c>
      <c r="K96" s="6">
        <f xml:space="preserve"> ABS(J96/B96)*100</f>
        <v>1.8890214040610011E-3</v>
      </c>
    </row>
    <row r="97" spans="2:11" ht="15.6">
      <c r="B97" s="35"/>
      <c r="C97" s="26">
        <f t="shared" ref="C97:I97" si="64">SUM(C95:C96)</f>
        <v>0</v>
      </c>
      <c r="D97" s="13">
        <f t="shared" si="64"/>
        <v>0</v>
      </c>
      <c r="E97" s="13">
        <f t="shared" si="64"/>
        <v>0</v>
      </c>
      <c r="F97" s="13">
        <f t="shared" si="64"/>
        <v>1</v>
      </c>
      <c r="G97" s="13">
        <f t="shared" si="64"/>
        <v>-8.0487776480453128</v>
      </c>
      <c r="H97" s="13">
        <f t="shared" si="64"/>
        <v>-22.563994435736873</v>
      </c>
      <c r="I97" s="14">
        <f t="shared" si="64"/>
        <v>-6.1198704770504264E-8</v>
      </c>
      <c r="J97" s="15"/>
      <c r="K97" s="15"/>
    </row>
    <row r="98" spans="2:11" ht="15.6" thickBot="1">
      <c r="B98" s="38"/>
      <c r="C98" s="22"/>
      <c r="D98" s="23">
        <f>$B96*C99</f>
        <v>0</v>
      </c>
      <c r="E98" s="23">
        <f>$B96*D99</f>
        <v>0</v>
      </c>
      <c r="F98" s="23">
        <f>$B96*E99</f>
        <v>0</v>
      </c>
      <c r="G98" s="23">
        <f>$B96*F99</f>
        <v>-3.3987776480453125</v>
      </c>
      <c r="H98" s="23">
        <f>$B96*G99</f>
        <v>38.907695065115554</v>
      </c>
      <c r="I98" s="24"/>
      <c r="J98" s="15"/>
      <c r="K98" s="15"/>
    </row>
    <row r="99" spans="2:11" ht="15.6">
      <c r="C99" s="13">
        <f t="shared" ref="C99:H99" si="65">SUM(C97:C98)</f>
        <v>0</v>
      </c>
      <c r="D99" s="13">
        <f t="shared" si="65"/>
        <v>0</v>
      </c>
      <c r="E99" s="13">
        <f t="shared" si="65"/>
        <v>0</v>
      </c>
      <c r="F99" s="13">
        <f t="shared" si="65"/>
        <v>1</v>
      </c>
      <c r="G99" s="13">
        <f t="shared" si="65"/>
        <v>-11.447555296090625</v>
      </c>
      <c r="H99" s="8">
        <f t="shared" si="65"/>
        <v>16.343700629378681</v>
      </c>
      <c r="I99" s="15"/>
      <c r="J99" s="15"/>
      <c r="K99" s="15"/>
    </row>
    <row r="101" spans="2:11" ht="15">
      <c r="B101" s="25" t="s">
        <v>16</v>
      </c>
      <c r="C101" s="27">
        <f t="shared" ref="C101:I101" si="66">C95</f>
        <v>0</v>
      </c>
      <c r="D101" s="28">
        <f t="shared" si="66"/>
        <v>0</v>
      </c>
      <c r="E101" s="28">
        <f t="shared" si="66"/>
        <v>0</v>
      </c>
      <c r="F101" s="28">
        <f t="shared" si="66"/>
        <v>1</v>
      </c>
      <c r="G101" s="28">
        <f t="shared" si="66"/>
        <v>-4.6500000000000004</v>
      </c>
      <c r="H101" s="28">
        <f t="shared" si="66"/>
        <v>-49.92</v>
      </c>
      <c r="I101" s="28">
        <f t="shared" si="66"/>
        <v>-76.69</v>
      </c>
      <c r="J101" s="15"/>
      <c r="K101" s="15"/>
    </row>
    <row r="102" spans="2:11" ht="15">
      <c r="B102" s="12">
        <f>B96-I97/H99</f>
        <v>-3.3987776443008295</v>
      </c>
      <c r="C102" s="20"/>
      <c r="D102" s="6">
        <f t="shared" ref="D102" si="67">$B102*C103</f>
        <v>0</v>
      </c>
      <c r="E102" s="6">
        <f t="shared" ref="E102" si="68">$B102*D103</f>
        <v>0</v>
      </c>
      <c r="F102" s="6">
        <f t="shared" ref="F102" si="69">$B102*E103</f>
        <v>0</v>
      </c>
      <c r="G102" s="6">
        <f t="shared" ref="G102" si="70">$B102*F103</f>
        <v>-3.3987776443008295</v>
      </c>
      <c r="H102" s="6">
        <f t="shared" ref="H102" si="71">$B102*G103</f>
        <v>27.356005521397957</v>
      </c>
      <c r="I102" s="6">
        <f t="shared" ref="I102" si="72">$B102*H103</f>
        <v>76.689999999999984</v>
      </c>
      <c r="J102" s="5">
        <f>ABS(B102-B96)</f>
        <v>3.7444829459332141E-9</v>
      </c>
      <c r="K102" s="6">
        <f xml:space="preserve"> ABS(J102/B102)*100</f>
        <v>1.1017145979561427E-7</v>
      </c>
    </row>
    <row r="103" spans="2:11" ht="15.6">
      <c r="B103" s="35"/>
      <c r="C103" s="26">
        <f t="shared" ref="C103:I103" si="73">SUM(C101:C102)</f>
        <v>0</v>
      </c>
      <c r="D103" s="13">
        <f t="shared" si="73"/>
        <v>0</v>
      </c>
      <c r="E103" s="13">
        <f t="shared" si="73"/>
        <v>0</v>
      </c>
      <c r="F103" s="13">
        <f t="shared" si="73"/>
        <v>1</v>
      </c>
      <c r="G103" s="13">
        <f t="shared" si="73"/>
        <v>-8.0487776443008308</v>
      </c>
      <c r="H103" s="13">
        <f t="shared" si="73"/>
        <v>-22.563994478602044</v>
      </c>
      <c r="I103" s="14">
        <f t="shared" si="73"/>
        <v>0</v>
      </c>
      <c r="J103" s="15"/>
      <c r="K103" s="15"/>
    </row>
    <row r="104" spans="2:11" ht="15.6" thickBot="1">
      <c r="B104" s="38"/>
      <c r="C104" s="22"/>
      <c r="D104" s="23">
        <f>$B102*C105</f>
        <v>0</v>
      </c>
      <c r="E104" s="23">
        <f>$B102*D105</f>
        <v>0</v>
      </c>
      <c r="F104" s="23">
        <f>$B102*E105</f>
        <v>0</v>
      </c>
      <c r="G104" s="23">
        <f>$B102*F105</f>
        <v>-3.3987776443008295</v>
      </c>
      <c r="H104" s="23">
        <f>$B102*G105</f>
        <v>38.907694996797048</v>
      </c>
      <c r="I104" s="24"/>
      <c r="J104" s="15"/>
      <c r="K104" s="15"/>
    </row>
    <row r="105" spans="2:11" ht="15.6">
      <c r="C105" s="13">
        <f t="shared" ref="C105:H105" si="74">SUM(C103:C104)</f>
        <v>0</v>
      </c>
      <c r="D105" s="13">
        <f t="shared" si="74"/>
        <v>0</v>
      </c>
      <c r="E105" s="13">
        <f t="shared" si="74"/>
        <v>0</v>
      </c>
      <c r="F105" s="13">
        <f t="shared" si="74"/>
        <v>1</v>
      </c>
      <c r="G105" s="13">
        <f t="shared" si="74"/>
        <v>-11.447555288601659</v>
      </c>
      <c r="H105" s="8">
        <f t="shared" si="74"/>
        <v>16.343700518195003</v>
      </c>
      <c r="I105" s="15"/>
      <c r="J105" s="15"/>
      <c r="K105" s="15"/>
    </row>
  </sheetData>
  <conditionalFormatting sqref="B9">
    <cfRule type="expression" dxfId="72" priority="14">
      <formula>K9&lt;$K$1</formula>
    </cfRule>
  </conditionalFormatting>
  <conditionalFormatting sqref="B15">
    <cfRule type="expression" dxfId="71" priority="13">
      <formula>K15&lt;$K$1</formula>
    </cfRule>
  </conditionalFormatting>
  <conditionalFormatting sqref="B21">
    <cfRule type="expression" dxfId="70" priority="12">
      <formula>K21&lt;$K$1</formula>
    </cfRule>
  </conditionalFormatting>
  <conditionalFormatting sqref="B27">
    <cfRule type="expression" dxfId="69" priority="11">
      <formula>K27&lt;$K$1</formula>
    </cfRule>
  </conditionalFormatting>
  <conditionalFormatting sqref="B40">
    <cfRule type="expression" dxfId="68" priority="10">
      <formula>K40&lt;$K$32</formula>
    </cfRule>
  </conditionalFormatting>
  <conditionalFormatting sqref="B46">
    <cfRule type="expression" dxfId="67" priority="9">
      <formula>K46&lt;$K$32</formula>
    </cfRule>
  </conditionalFormatting>
  <conditionalFormatting sqref="B52">
    <cfRule type="expression" dxfId="66" priority="8">
      <formula>K52&lt;$K$32</formula>
    </cfRule>
  </conditionalFormatting>
  <conditionalFormatting sqref="B58">
    <cfRule type="expression" dxfId="65" priority="7">
      <formula>K58&lt;$K$1</formula>
    </cfRule>
  </conditionalFormatting>
  <conditionalFormatting sqref="B72">
    <cfRule type="expression" dxfId="64" priority="6">
      <formula xml:space="preserve"> K72 &lt; $K$1</formula>
    </cfRule>
  </conditionalFormatting>
  <conditionalFormatting sqref="B78">
    <cfRule type="expression" dxfId="63" priority="5">
      <formula>K78&lt;$K$1</formula>
    </cfRule>
  </conditionalFormatting>
  <conditionalFormatting sqref="B84">
    <cfRule type="expression" dxfId="62" priority="4">
      <formula>K84&lt;$K$1</formula>
    </cfRule>
  </conditionalFormatting>
  <conditionalFormatting sqref="B90">
    <cfRule type="expression" dxfId="61" priority="3">
      <formula>K90&lt;$K$64</formula>
    </cfRule>
  </conditionalFormatting>
  <conditionalFormatting sqref="B96">
    <cfRule type="expression" dxfId="60" priority="2">
      <formula>K96&lt;$K$64</formula>
    </cfRule>
  </conditionalFormatting>
  <conditionalFormatting sqref="B102">
    <cfRule type="expression" dxfId="59" priority="1">
      <formula>K102&lt;$K$64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E0549-0D27-4A7C-AE60-A957D7F7C91D}">
  <dimension ref="A1:P25"/>
  <sheetViews>
    <sheetView workbookViewId="0">
      <selection sqref="A1:P25"/>
    </sheetView>
  </sheetViews>
  <sheetFormatPr defaultColWidth="11.42578125" defaultRowHeight="14.45"/>
  <cols>
    <col min="1" max="1" width="7.7109375" bestFit="1" customWidth="1"/>
    <col min="2" max="2" width="10" bestFit="1" customWidth="1"/>
    <col min="3" max="6" width="9.140625" bestFit="1" customWidth="1"/>
    <col min="7" max="7" width="10.28515625" bestFit="1" customWidth="1"/>
    <col min="8" max="9" width="11.42578125" bestFit="1" customWidth="1"/>
    <col min="10" max="10" width="9.42578125" bestFit="1" customWidth="1"/>
    <col min="11" max="11" width="8.28515625" bestFit="1" customWidth="1"/>
    <col min="12" max="12" width="11.28515625" bestFit="1" customWidth="1"/>
    <col min="13" max="13" width="15.140625" bestFit="1" customWidth="1"/>
    <col min="14" max="14" width="2.5703125" bestFit="1" customWidth="1"/>
    <col min="15" max="15" width="9" bestFit="1" customWidth="1"/>
    <col min="16" max="16" width="1.5703125" bestFit="1" customWidth="1"/>
  </cols>
  <sheetData>
    <row r="1" spans="1:16" ht="15.6">
      <c r="A1" s="46" t="s">
        <v>34</v>
      </c>
      <c r="B1" s="47"/>
      <c r="C1" s="48" t="s">
        <v>1</v>
      </c>
      <c r="D1" s="49" t="s">
        <v>2</v>
      </c>
      <c r="E1" s="49" t="s">
        <v>3</v>
      </c>
      <c r="F1" s="49" t="s">
        <v>4</v>
      </c>
      <c r="G1" s="49" t="s">
        <v>5</v>
      </c>
      <c r="H1" s="49" t="s">
        <v>6</v>
      </c>
      <c r="I1" s="49" t="s">
        <v>7</v>
      </c>
      <c r="J1" s="50" t="s">
        <v>9</v>
      </c>
      <c r="K1" s="51" t="s">
        <v>10</v>
      </c>
      <c r="L1" s="91"/>
      <c r="M1" s="91"/>
      <c r="N1" s="91"/>
      <c r="O1" s="91"/>
      <c r="P1" s="91"/>
    </row>
    <row r="2" spans="1:16" ht="15.6">
      <c r="A2" s="47"/>
      <c r="B2" s="53" t="s">
        <v>18</v>
      </c>
      <c r="C2" s="92">
        <v>0</v>
      </c>
      <c r="D2" s="93">
        <v>0</v>
      </c>
      <c r="E2" s="57">
        <v>0</v>
      </c>
      <c r="F2" s="57">
        <v>1</v>
      </c>
      <c r="G2" s="57">
        <v>-4.6500000000000004</v>
      </c>
      <c r="H2" s="57">
        <v>-49.92</v>
      </c>
      <c r="I2" s="57">
        <v>-76.69</v>
      </c>
      <c r="J2" s="94"/>
      <c r="K2" s="95">
        <v>0.5</v>
      </c>
      <c r="L2" s="47"/>
      <c r="M2" s="47"/>
      <c r="N2" s="91"/>
      <c r="O2" s="91"/>
      <c r="P2" s="91"/>
    </row>
    <row r="3" spans="1:16" ht="15.6">
      <c r="A3" s="48" t="s">
        <v>19</v>
      </c>
      <c r="B3" s="90">
        <v>-5.5648482104367591</v>
      </c>
      <c r="C3" s="47"/>
      <c r="D3" s="49">
        <f t="shared" ref="D3:I3" si="0">$B3*C5</f>
        <v>0</v>
      </c>
      <c r="E3" s="96">
        <f t="shared" si="0"/>
        <v>0</v>
      </c>
      <c r="F3" s="96">
        <f t="shared" si="0"/>
        <v>0</v>
      </c>
      <c r="G3" s="96">
        <f t="shared" si="0"/>
        <v>-5.5648482104367591</v>
      </c>
      <c r="H3" s="96">
        <f t="shared" si="0"/>
        <v>56.844079783732134</v>
      </c>
      <c r="I3" s="96">
        <f t="shared" si="0"/>
        <v>2.8718600827588951</v>
      </c>
      <c r="J3" s="47"/>
      <c r="K3" s="47"/>
      <c r="L3" s="49" t="s">
        <v>20</v>
      </c>
      <c r="M3" s="64">
        <f>B3^2+4*B4</f>
        <v>1.2069300968382386</v>
      </c>
      <c r="N3" s="91"/>
      <c r="O3" s="91"/>
      <c r="P3" s="91"/>
    </row>
    <row r="4" spans="1:16" ht="16.149999999999999" thickBot="1">
      <c r="A4" s="48" t="s">
        <v>21</v>
      </c>
      <c r="B4" s="74">
        <v>-7.4401513770907401</v>
      </c>
      <c r="C4" s="97"/>
      <c r="D4" s="97"/>
      <c r="E4" s="98">
        <f>$B4*C5</f>
        <v>0</v>
      </c>
      <c r="F4" s="98">
        <f>$B4*D5</f>
        <v>0</v>
      </c>
      <c r="G4" s="98">
        <f>$B4*E5</f>
        <v>0</v>
      </c>
      <c r="H4" s="98">
        <f>$B4*F5</f>
        <v>-7.4401513770907401</v>
      </c>
      <c r="I4" s="98">
        <f>$B4*G5</f>
        <v>76.000016979653935</v>
      </c>
      <c r="J4" s="47"/>
      <c r="K4" s="47"/>
      <c r="L4" s="49" t="s">
        <v>22</v>
      </c>
      <c r="M4" s="49">
        <f>IF(M3&lt;0,B3/2,(B3+SQRT(M3))/2)</f>
        <v>-2.2331222535834523</v>
      </c>
      <c r="N4" s="47" t="str">
        <f>IF(M3&lt;0,"+","")</f>
        <v/>
      </c>
      <c r="O4" s="47" t="str">
        <f>IF(M3&lt;0,SQRT(ABS(M3))/2,"")</f>
        <v/>
      </c>
      <c r="P4" s="47" t="str">
        <f>IF(M3&lt;0,"i","")</f>
        <v/>
      </c>
    </row>
    <row r="5" spans="1:16" ht="15.6">
      <c r="A5" s="48" t="s">
        <v>23</v>
      </c>
      <c r="B5" s="67">
        <f>SQRT(SUMSQ(B3:B4))</f>
        <v>9.2910380539112225</v>
      </c>
      <c r="C5" s="99">
        <f t="shared" ref="C5:I5" si="1">SUM(C2:C4)</f>
        <v>0</v>
      </c>
      <c r="D5" s="67">
        <f t="shared" si="1"/>
        <v>0</v>
      </c>
      <c r="E5" s="99">
        <f t="shared" si="1"/>
        <v>0</v>
      </c>
      <c r="F5" s="67">
        <f t="shared" si="1"/>
        <v>1</v>
      </c>
      <c r="G5" s="67">
        <f t="shared" si="1"/>
        <v>-10.21484821043676</v>
      </c>
      <c r="H5" s="100">
        <f t="shared" si="1"/>
        <v>-0.51607159335860775</v>
      </c>
      <c r="I5" s="100">
        <f t="shared" si="1"/>
        <v>2.1818770624128376</v>
      </c>
      <c r="J5" s="47"/>
      <c r="K5" s="47"/>
      <c r="L5" s="49" t="s">
        <v>24</v>
      </c>
      <c r="M5" s="49">
        <f>IF(M3&lt;0,M4,(B3-SQRT(M3))/2)</f>
        <v>-3.3317259568533069</v>
      </c>
      <c r="N5" s="101" t="str">
        <f>IF(M3&lt;0,"+","")</f>
        <v/>
      </c>
      <c r="O5" s="47" t="str">
        <f>IF(M3&lt;0,-O4,"")</f>
        <v/>
      </c>
      <c r="P5" s="101"/>
    </row>
    <row r="6" spans="1:16" ht="15.6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91"/>
      <c r="M6" s="91"/>
      <c r="N6" s="91"/>
      <c r="O6" s="91"/>
      <c r="P6" s="91"/>
    </row>
    <row r="7" spans="1:16" ht="15.6">
      <c r="A7" s="47"/>
      <c r="B7" s="53" t="s">
        <v>26</v>
      </c>
      <c r="C7" s="102">
        <f t="shared" ref="C7:I7" si="2">C2</f>
        <v>0</v>
      </c>
      <c r="D7" s="93">
        <f t="shared" si="2"/>
        <v>0</v>
      </c>
      <c r="E7" s="93">
        <f t="shared" si="2"/>
        <v>0</v>
      </c>
      <c r="F7" s="93">
        <f t="shared" si="2"/>
        <v>1</v>
      </c>
      <c r="G7" s="93">
        <f t="shared" si="2"/>
        <v>-4.6500000000000004</v>
      </c>
      <c r="H7" s="93">
        <f t="shared" si="2"/>
        <v>-49.92</v>
      </c>
      <c r="I7" s="93">
        <f t="shared" si="2"/>
        <v>-76.69</v>
      </c>
      <c r="J7" s="47"/>
      <c r="K7" s="47"/>
      <c r="L7" s="47"/>
      <c r="M7" s="49" t="s">
        <v>27</v>
      </c>
      <c r="N7" s="91"/>
      <c r="O7" s="91"/>
      <c r="P7" s="91"/>
    </row>
    <row r="8" spans="1:16" ht="15.6">
      <c r="A8" s="48" t="s">
        <v>28</v>
      </c>
      <c r="B8" s="74">
        <f>-(H2+B9*F5)/G5</f>
        <v>-5.62198255514335</v>
      </c>
      <c r="C8" s="47"/>
      <c r="D8" s="49">
        <f t="shared" ref="D8:I8" si="3">$B8*C10</f>
        <v>0</v>
      </c>
      <c r="E8" s="49">
        <f t="shared" si="3"/>
        <v>0</v>
      </c>
      <c r="F8" s="49">
        <f t="shared" si="3"/>
        <v>0</v>
      </c>
      <c r="G8" s="49">
        <f t="shared" si="3"/>
        <v>-5.62198255514335</v>
      </c>
      <c r="H8" s="49">
        <f t="shared" si="3"/>
        <v>57.748906731752726</v>
      </c>
      <c r="I8" s="49">
        <f t="shared" si="3"/>
        <v>-1.8058273986746913</v>
      </c>
      <c r="J8" s="47"/>
      <c r="K8" s="47"/>
      <c r="L8" s="49" t="s">
        <v>20</v>
      </c>
      <c r="M8" s="64">
        <f>B8^2+4*B9</f>
        <v>1.5758940802852344</v>
      </c>
      <c r="N8" s="91"/>
      <c r="O8" s="91"/>
      <c r="P8" s="91"/>
    </row>
    <row r="9" spans="1:16" ht="16.149999999999999" thickBot="1">
      <c r="A9" s="48" t="s">
        <v>29</v>
      </c>
      <c r="B9" s="75">
        <f>-I2/G5</f>
        <v>-7.5076984425127291</v>
      </c>
      <c r="C9" s="103"/>
      <c r="D9" s="97"/>
      <c r="E9" s="98">
        <f>$B9*C10</f>
        <v>0</v>
      </c>
      <c r="F9" s="98">
        <f>$B9*D10</f>
        <v>0</v>
      </c>
      <c r="G9" s="98">
        <f>$B9*E10</f>
        <v>0</v>
      </c>
      <c r="H9" s="98">
        <f>$B9*F10</f>
        <v>-7.5076984425127291</v>
      </c>
      <c r="I9" s="98">
        <f>$B9*G10</f>
        <v>77.118947430767648</v>
      </c>
      <c r="J9" s="47"/>
      <c r="K9" s="47"/>
      <c r="L9" s="49" t="s">
        <v>22</v>
      </c>
      <c r="M9" s="48">
        <f>IF(M8&lt;0,B8/2,(B8+SQRT(M8))/2)</f>
        <v>-2.1833181778841797</v>
      </c>
      <c r="N9" s="49" t="s">
        <v>30</v>
      </c>
      <c r="O9" s="49" t="str">
        <f>IF(M8&lt;0,SQRT(ABS(M8))/2,"")</f>
        <v/>
      </c>
      <c r="P9" s="49" t="str">
        <f>IF(M8&lt;0,"i","")</f>
        <v/>
      </c>
    </row>
    <row r="10" spans="1:16" ht="15.6">
      <c r="A10" s="49" t="s">
        <v>23</v>
      </c>
      <c r="B10" s="67">
        <f>SQRT(SUMSQ(B8:B9))</f>
        <v>9.3793509239202795</v>
      </c>
      <c r="C10" s="67">
        <f t="shared" ref="C10:I10" si="4">SUM(C7:C9)</f>
        <v>0</v>
      </c>
      <c r="D10" s="67">
        <f t="shared" si="4"/>
        <v>0</v>
      </c>
      <c r="E10" s="67">
        <f t="shared" si="4"/>
        <v>0</v>
      </c>
      <c r="F10" s="67">
        <f t="shared" si="4"/>
        <v>1</v>
      </c>
      <c r="G10" s="67">
        <f t="shared" si="4"/>
        <v>-10.271982555143349</v>
      </c>
      <c r="H10" s="100">
        <f t="shared" si="4"/>
        <v>0.321208289239995</v>
      </c>
      <c r="I10" s="100">
        <f t="shared" si="4"/>
        <v>-1.376879967907044</v>
      </c>
      <c r="J10" s="49">
        <f>ABS(B10-B5)</f>
        <v>8.8312870009056965E-2</v>
      </c>
      <c r="K10" s="48">
        <f>ABS(J10/B10)*100</f>
        <v>0.94156696689780017</v>
      </c>
      <c r="L10" s="49" t="s">
        <v>24</v>
      </c>
      <c r="M10" s="48">
        <f>IF(M8&lt;0,M9,(B8-SQRT(M8))/2)</f>
        <v>-3.4386643772591703</v>
      </c>
      <c r="N10" s="104" t="s">
        <v>30</v>
      </c>
      <c r="O10" s="49" t="str">
        <f>IF(M8&lt;0,-O9,"")</f>
        <v/>
      </c>
      <c r="P10" s="104" t="s">
        <v>25</v>
      </c>
    </row>
    <row r="11" spans="1:16" ht="15.6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91"/>
      <c r="M11" s="91"/>
      <c r="N11" s="91"/>
      <c r="O11" s="91"/>
      <c r="P11" s="91"/>
    </row>
    <row r="12" spans="1:16" ht="15.6">
      <c r="A12" s="47"/>
      <c r="B12" s="53" t="s">
        <v>31</v>
      </c>
      <c r="C12" s="92">
        <f t="shared" ref="C12:I12" si="5">C7</f>
        <v>0</v>
      </c>
      <c r="D12" s="75">
        <f t="shared" si="5"/>
        <v>0</v>
      </c>
      <c r="E12" s="93">
        <f t="shared" si="5"/>
        <v>0</v>
      </c>
      <c r="F12" s="93">
        <f t="shared" si="5"/>
        <v>1</v>
      </c>
      <c r="G12" s="93">
        <f t="shared" si="5"/>
        <v>-4.6500000000000004</v>
      </c>
      <c r="H12" s="93">
        <f t="shared" si="5"/>
        <v>-49.92</v>
      </c>
      <c r="I12" s="93">
        <f t="shared" si="5"/>
        <v>-76.69</v>
      </c>
      <c r="J12" s="47"/>
      <c r="K12" s="47"/>
      <c r="L12" s="91"/>
      <c r="M12" s="91"/>
      <c r="N12" s="91"/>
      <c r="O12" s="91"/>
      <c r="P12" s="91"/>
    </row>
    <row r="13" spans="1:16" ht="15.6">
      <c r="A13" s="48" t="s">
        <v>19</v>
      </c>
      <c r="B13" s="80">
        <f>-(H7+B14*F10)/G10</f>
        <v>-5.5866468972817085</v>
      </c>
      <c r="C13" s="47"/>
      <c r="D13" s="48">
        <f t="shared" ref="D13:I13" si="6">$B13*C15</f>
        <v>0</v>
      </c>
      <c r="E13" s="49">
        <f t="shared" si="6"/>
        <v>0</v>
      </c>
      <c r="F13" s="49">
        <f t="shared" si="6"/>
        <v>0</v>
      </c>
      <c r="G13" s="49">
        <f t="shared" si="6"/>
        <v>-5.5866468972817085</v>
      </c>
      <c r="H13" s="49">
        <f t="shared" si="6"/>
        <v>57.188531627267288</v>
      </c>
      <c r="I13" s="49">
        <f t="shared" si="6"/>
        <v>1.1028479155846465</v>
      </c>
      <c r="J13" s="47"/>
      <c r="K13" s="47"/>
      <c r="L13" s="49" t="s">
        <v>20</v>
      </c>
      <c r="M13" s="64">
        <f>B13^2+4*B14</f>
        <v>1.3468656724136387</v>
      </c>
      <c r="N13" s="91"/>
      <c r="O13" s="91"/>
      <c r="P13" s="91"/>
    </row>
    <row r="14" spans="1:16" ht="16.149999999999999" thickBot="1">
      <c r="A14" s="48" t="s">
        <v>21</v>
      </c>
      <c r="B14" s="75">
        <f>-I7/G10</f>
        <v>-7.4659394706234252</v>
      </c>
      <c r="C14" s="103"/>
      <c r="D14" s="97"/>
      <c r="E14" s="98">
        <f>$B14*C15</f>
        <v>0</v>
      </c>
      <c r="F14" s="98">
        <f>$B14*D15</f>
        <v>0</v>
      </c>
      <c r="G14" s="98">
        <f>$B14*E15</f>
        <v>0</v>
      </c>
      <c r="H14" s="98">
        <f>$B14*F15</f>
        <v>-7.4659394706234252</v>
      </c>
      <c r="I14" s="98">
        <f>$B14*G15</f>
        <v>76.426186117250325</v>
      </c>
      <c r="J14" s="47"/>
      <c r="K14" s="47"/>
      <c r="L14" s="49" t="s">
        <v>22</v>
      </c>
      <c r="M14" s="48">
        <f>IF(M13&lt;0,B13/2,(B13+SQRT(M13))/2)</f>
        <v>-2.2130507385265412</v>
      </c>
      <c r="N14" s="49" t="s">
        <v>30</v>
      </c>
      <c r="O14" s="49" t="str">
        <f>IF(M13&lt;0,SQRT(ABS(M13))/2,"")</f>
        <v/>
      </c>
      <c r="P14" s="49" t="str">
        <f>IF(M13&lt;0,"i","")</f>
        <v/>
      </c>
    </row>
    <row r="15" spans="1:16" ht="15.6">
      <c r="A15" s="48" t="s">
        <v>23</v>
      </c>
      <c r="B15" s="67">
        <f>SQRT(SUMSQ(B13:B14))</f>
        <v>9.3247453441860877</v>
      </c>
      <c r="C15" s="67">
        <f t="shared" ref="C15:I15" si="7">SUM(C12:C14)</f>
        <v>0</v>
      </c>
      <c r="D15" s="84">
        <f t="shared" si="7"/>
        <v>0</v>
      </c>
      <c r="E15" s="67">
        <f t="shared" si="7"/>
        <v>0</v>
      </c>
      <c r="F15" s="67">
        <f t="shared" si="7"/>
        <v>1</v>
      </c>
      <c r="G15" s="67">
        <f t="shared" si="7"/>
        <v>-10.236646897281709</v>
      </c>
      <c r="H15" s="100">
        <f t="shared" si="7"/>
        <v>-0.19740784335613881</v>
      </c>
      <c r="I15" s="100">
        <f t="shared" si="7"/>
        <v>0.83903403283497369</v>
      </c>
      <c r="J15" s="105">
        <f>ABS(B15-B10)</f>
        <v>5.4605579734191778E-2</v>
      </c>
      <c r="K15" s="48">
        <f>ABS(J15/B15)*100</f>
        <v>0.58559861656959855</v>
      </c>
      <c r="L15" s="49" t="s">
        <v>24</v>
      </c>
      <c r="M15" s="48">
        <f>IF(M13&lt;0,M14,(B13-SQRT(M13))/2)</f>
        <v>-3.3735961587551673</v>
      </c>
      <c r="N15" s="104" t="s">
        <v>30</v>
      </c>
      <c r="O15" s="49" t="str">
        <f>IF(M13&lt;0,-O14,"")</f>
        <v/>
      </c>
      <c r="P15" s="104" t="s">
        <v>25</v>
      </c>
    </row>
    <row r="16" spans="1:16" ht="15.6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91"/>
      <c r="M16" s="91"/>
      <c r="N16" s="91"/>
      <c r="O16" s="91"/>
      <c r="P16" s="91"/>
    </row>
    <row r="17" spans="1:16" ht="15.6">
      <c r="A17" s="47"/>
      <c r="B17" s="53" t="s">
        <v>32</v>
      </c>
      <c r="C17" s="92">
        <f t="shared" ref="C17:I17" si="8">C12</f>
        <v>0</v>
      </c>
      <c r="D17" s="106">
        <f t="shared" si="8"/>
        <v>0</v>
      </c>
      <c r="E17" s="106">
        <f t="shared" si="8"/>
        <v>0</v>
      </c>
      <c r="F17" s="106">
        <f t="shared" si="8"/>
        <v>1</v>
      </c>
      <c r="G17" s="106">
        <f t="shared" si="8"/>
        <v>-4.6500000000000004</v>
      </c>
      <c r="H17" s="106">
        <f t="shared" si="8"/>
        <v>-49.92</v>
      </c>
      <c r="I17" s="106">
        <f t="shared" si="8"/>
        <v>-76.69</v>
      </c>
      <c r="J17" s="47"/>
      <c r="K17" s="47"/>
      <c r="L17" s="91"/>
      <c r="M17" s="91"/>
      <c r="N17" s="91"/>
      <c r="O17" s="91"/>
      <c r="P17" s="91"/>
    </row>
    <row r="18" spans="1:16" ht="15.6">
      <c r="A18" s="47" t="s">
        <v>28</v>
      </c>
      <c r="B18" s="74">
        <f>-(H12+B19*F15)/G15</f>
        <v>-5.6084488954361813</v>
      </c>
      <c r="C18" s="47"/>
      <c r="D18" s="49">
        <f t="shared" ref="D18:I18" si="9">$B18*C20</f>
        <v>0</v>
      </c>
      <c r="E18" s="96">
        <f t="shared" si="9"/>
        <v>0</v>
      </c>
      <c r="F18" s="96">
        <f t="shared" si="9"/>
        <v>0</v>
      </c>
      <c r="G18" s="96">
        <f t="shared" si="9"/>
        <v>-5.6084488954361813</v>
      </c>
      <c r="H18" s="96">
        <f t="shared" si="9"/>
        <v>57.533986376497566</v>
      </c>
      <c r="I18" s="96">
        <f t="shared" si="9"/>
        <v>-0.68577528982483282</v>
      </c>
      <c r="J18" s="47"/>
      <c r="K18" s="47"/>
      <c r="L18" s="49" t="s">
        <v>20</v>
      </c>
      <c r="M18" s="64">
        <f>B18^2+4*B19</f>
        <v>1.487855076600102</v>
      </c>
      <c r="N18" s="91"/>
      <c r="O18" s="91"/>
      <c r="P18" s="91"/>
    </row>
    <row r="19" spans="1:16" ht="16.149999999999999" thickBot="1">
      <c r="A19" s="47" t="s">
        <v>29</v>
      </c>
      <c r="B19" s="75">
        <f>-I12/G15</f>
        <v>-7.4917109840298046</v>
      </c>
      <c r="C19" s="103"/>
      <c r="D19" s="97"/>
      <c r="E19" s="98">
        <f>$B19*C20</f>
        <v>0</v>
      </c>
      <c r="F19" s="98">
        <f>$B19*D20</f>
        <v>0</v>
      </c>
      <c r="G19" s="98">
        <f>$B19*E20</f>
        <v>0</v>
      </c>
      <c r="H19" s="98">
        <f>$B19*F20</f>
        <v>-7.4917109840298046</v>
      </c>
      <c r="I19" s="98">
        <f>$B19*G20</f>
        <v>76.853334269047664</v>
      </c>
      <c r="J19" s="47"/>
      <c r="K19" s="47"/>
      <c r="L19" s="49" t="s">
        <v>22</v>
      </c>
      <c r="M19" s="48">
        <f>IF(M18&lt;0,B18/2,(B18+SQRT(M18))/2)</f>
        <v>-2.1943361225715723</v>
      </c>
      <c r="N19" s="49" t="s">
        <v>30</v>
      </c>
      <c r="O19" s="49" t="str">
        <f>IF(M18&lt;0,SQRT(ABS(M18))/2,"")</f>
        <v/>
      </c>
      <c r="P19" s="49" t="str">
        <f>IF(M18&lt;0,"i","")</f>
        <v/>
      </c>
    </row>
    <row r="20" spans="1:16" ht="15.6">
      <c r="A20" s="47" t="s">
        <v>23</v>
      </c>
      <c r="B20" s="84">
        <f>SQRT(SUMSQ(B18:B19))</f>
        <v>9.3584417763296539</v>
      </c>
      <c r="C20" s="67">
        <f t="shared" ref="C20:I20" si="10">SUM(C17:C19)</f>
        <v>0</v>
      </c>
      <c r="D20" s="67">
        <f t="shared" si="10"/>
        <v>0</v>
      </c>
      <c r="E20" s="99">
        <f t="shared" si="10"/>
        <v>0</v>
      </c>
      <c r="F20" s="67">
        <f t="shared" si="10"/>
        <v>1</v>
      </c>
      <c r="G20" s="67">
        <f t="shared" si="10"/>
        <v>-10.258448895436182</v>
      </c>
      <c r="H20" s="100">
        <f t="shared" si="10"/>
        <v>0.12227539246775976</v>
      </c>
      <c r="I20" s="107">
        <f t="shared" si="10"/>
        <v>-0.52244102077716548</v>
      </c>
      <c r="J20" s="49">
        <f>ABS(B20-B15)</f>
        <v>3.3696432143566213E-2</v>
      </c>
      <c r="K20" s="49">
        <f>ABS(J20/B20)*100</f>
        <v>0.36006455934571013</v>
      </c>
      <c r="L20" s="105" t="s">
        <v>24</v>
      </c>
      <c r="M20" s="48">
        <f>IF(M18&lt;0,M19,(B18-SQRT(M18))/2)</f>
        <v>-3.414112772864609</v>
      </c>
      <c r="N20" s="104" t="s">
        <v>30</v>
      </c>
      <c r="O20" s="49" t="str">
        <f>IF(M18&lt;0,-O19,"")</f>
        <v/>
      </c>
      <c r="P20" s="104" t="s">
        <v>25</v>
      </c>
    </row>
    <row r="21" spans="1:16" ht="15.6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91"/>
      <c r="M21" s="91"/>
      <c r="N21" s="91"/>
      <c r="O21" s="91"/>
      <c r="P21" s="91"/>
    </row>
    <row r="22" spans="1:16" ht="15.6">
      <c r="A22" s="47"/>
      <c r="B22" s="53" t="s">
        <v>33</v>
      </c>
      <c r="C22" s="92">
        <f t="shared" ref="C22:I22" si="11">C17</f>
        <v>0</v>
      </c>
      <c r="D22" s="106">
        <f t="shared" si="11"/>
        <v>0</v>
      </c>
      <c r="E22" s="106">
        <f t="shared" si="11"/>
        <v>0</v>
      </c>
      <c r="F22" s="106">
        <f t="shared" si="11"/>
        <v>1</v>
      </c>
      <c r="G22" s="106">
        <f t="shared" si="11"/>
        <v>-4.6500000000000004</v>
      </c>
      <c r="H22" s="106">
        <f t="shared" si="11"/>
        <v>-49.92</v>
      </c>
      <c r="I22" s="106">
        <f t="shared" si="11"/>
        <v>-76.69</v>
      </c>
      <c r="J22" s="47"/>
      <c r="K22" s="47"/>
      <c r="L22" s="91"/>
      <c r="M22" s="91"/>
      <c r="N22" s="91"/>
      <c r="O22" s="91"/>
      <c r="P22" s="91"/>
    </row>
    <row r="23" spans="1:16" ht="15.6">
      <c r="A23" s="47" t="s">
        <v>28</v>
      </c>
      <c r="B23" s="74">
        <v>-5.5648482104367591</v>
      </c>
      <c r="C23" s="47"/>
      <c r="D23" s="49">
        <f t="shared" ref="D23:I23" si="12">$B23*C25</f>
        <v>0</v>
      </c>
      <c r="E23" s="96">
        <f t="shared" si="12"/>
        <v>0</v>
      </c>
      <c r="F23" s="96">
        <f t="shared" si="12"/>
        <v>0</v>
      </c>
      <c r="G23" s="96">
        <f t="shared" si="12"/>
        <v>-5.5648482104367591</v>
      </c>
      <c r="H23" s="96">
        <f t="shared" si="12"/>
        <v>56.844079783732134</v>
      </c>
      <c r="I23" s="96">
        <f t="shared" si="12"/>
        <v>2.8718600827588951</v>
      </c>
      <c r="J23" s="47"/>
      <c r="K23" s="47"/>
      <c r="L23" s="48" t="s">
        <v>20</v>
      </c>
      <c r="M23" s="64">
        <f>B23^2+4*B24</f>
        <v>1.2069300968382386</v>
      </c>
      <c r="N23" s="91"/>
      <c r="O23" s="91"/>
      <c r="P23" s="91"/>
    </row>
    <row r="24" spans="1:16" ht="16.149999999999999" thickBot="1">
      <c r="A24" s="47" t="s">
        <v>29</v>
      </c>
      <c r="B24" s="75">
        <v>-7.4401513770907401</v>
      </c>
      <c r="C24" s="103"/>
      <c r="D24" s="97"/>
      <c r="E24" s="98">
        <f>$B24*C25</f>
        <v>0</v>
      </c>
      <c r="F24" s="98">
        <f>$B24*D25</f>
        <v>0</v>
      </c>
      <c r="G24" s="98">
        <f>$B24*E25</f>
        <v>0</v>
      </c>
      <c r="H24" s="98">
        <f>$B24*F25</f>
        <v>-7.4401513770907401</v>
      </c>
      <c r="I24" s="98">
        <f>$B24*G25</f>
        <v>76.000016979653935</v>
      </c>
      <c r="J24" s="47"/>
      <c r="K24" s="47"/>
      <c r="L24" s="49" t="s">
        <v>22</v>
      </c>
      <c r="M24" s="84">
        <f>IF(M23&lt;0,B23/2,(B23+SQRT(M23))/2)</f>
        <v>-2.2331222535834523</v>
      </c>
      <c r="N24" s="49" t="s">
        <v>30</v>
      </c>
      <c r="O24" s="49" t="str">
        <f>IF(M23&lt;0,SQRT(ABS(M23))/2,"")</f>
        <v/>
      </c>
      <c r="P24" s="49" t="str">
        <f>IF(M23&lt;0,"i","")</f>
        <v/>
      </c>
    </row>
    <row r="25" spans="1:16" ht="15.6">
      <c r="A25" s="47" t="s">
        <v>23</v>
      </c>
      <c r="B25" s="84">
        <f>SQRT(SUMSQ(B23:B24))</f>
        <v>9.2910380539112225</v>
      </c>
      <c r="C25" s="67">
        <f t="shared" ref="C25:I25" si="13">SUM(C22:C24)</f>
        <v>0</v>
      </c>
      <c r="D25" s="67">
        <f t="shared" si="13"/>
        <v>0</v>
      </c>
      <c r="E25" s="67">
        <f t="shared" si="13"/>
        <v>0</v>
      </c>
      <c r="F25" s="67">
        <f t="shared" si="13"/>
        <v>1</v>
      </c>
      <c r="G25" s="67">
        <f t="shared" si="13"/>
        <v>-10.21484821043676</v>
      </c>
      <c r="H25" s="100">
        <f t="shared" si="13"/>
        <v>-0.51607159335860775</v>
      </c>
      <c r="I25" s="100">
        <f t="shared" si="13"/>
        <v>2.1818770624128376</v>
      </c>
      <c r="J25" s="49">
        <f>ABS(B25-B20)</f>
        <v>6.74037224184314E-2</v>
      </c>
      <c r="K25" s="49">
        <f>ABS(J25/B25)*100</f>
        <v>0.72547030834790993</v>
      </c>
      <c r="L25" s="105" t="s">
        <v>24</v>
      </c>
      <c r="M25" s="49">
        <f>IF(M23&lt;0,M24,(B23-SQRT(M23))/2)</f>
        <v>-3.3317259568533069</v>
      </c>
      <c r="N25" s="108" t="s">
        <v>30</v>
      </c>
      <c r="O25" s="67" t="str">
        <f>IF(M23&lt;0,-O24,"")</f>
        <v/>
      </c>
      <c r="P25" s="108" t="s">
        <v>25</v>
      </c>
    </row>
  </sheetData>
  <conditionalFormatting sqref="B10">
    <cfRule type="expression" dxfId="58" priority="8">
      <formula>K10&lt;$K$2</formula>
    </cfRule>
  </conditionalFormatting>
  <conditionalFormatting sqref="B15">
    <cfRule type="expression" dxfId="57" priority="13">
      <formula>K15&lt;$K$2</formula>
    </cfRule>
    <cfRule type="expression" dxfId="56" priority="14">
      <formula>J15&lt;$J$2</formula>
    </cfRule>
  </conditionalFormatting>
  <conditionalFormatting sqref="B20">
    <cfRule type="expression" dxfId="55" priority="11">
      <formula>K20&lt;$K$2</formula>
    </cfRule>
    <cfRule type="expression" dxfId="54" priority="12">
      <formula>J20&lt;$J$2</formula>
    </cfRule>
  </conditionalFormatting>
  <conditionalFormatting sqref="B25">
    <cfRule type="expression" dxfId="53" priority="9">
      <formula>K25&lt;$K$2</formula>
    </cfRule>
    <cfRule type="expression" dxfId="52" priority="10">
      <formula>J25&lt;$J$2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03D73-3716-4C67-A1A8-2E6433420DC6}">
  <dimension ref="A1:K74"/>
  <sheetViews>
    <sheetView zoomScaleNormal="100" workbookViewId="0">
      <selection activeCell="I3" sqref="I3"/>
    </sheetView>
  </sheetViews>
  <sheetFormatPr defaultColWidth="11.42578125" defaultRowHeight="14.45"/>
  <cols>
    <col min="1" max="1" width="19.140625" bestFit="1" customWidth="1"/>
    <col min="2" max="2" width="9.28515625" bestFit="1" customWidth="1"/>
    <col min="3" max="3" width="7.7109375" bestFit="1" customWidth="1"/>
    <col min="4" max="4" width="8.5703125" bestFit="1" customWidth="1"/>
    <col min="5" max="5" width="7.7109375" bestFit="1" customWidth="1"/>
    <col min="6" max="6" width="9.7109375" bestFit="1" customWidth="1"/>
    <col min="7" max="7" width="10.28515625" bestFit="1" customWidth="1"/>
    <col min="8" max="8" width="12.28515625" bestFit="1" customWidth="1"/>
    <col min="9" max="9" width="11.42578125" bestFit="1" customWidth="1"/>
    <col min="10" max="10" width="7.7109375" bestFit="1" customWidth="1"/>
    <col min="11" max="11" width="9" bestFit="1" customWidth="1"/>
    <col min="13" max="13" width="19.140625" bestFit="1" customWidth="1"/>
    <col min="14" max="14" width="11" bestFit="1" customWidth="1"/>
    <col min="15" max="15" width="7.7109375" bestFit="1" customWidth="1"/>
    <col min="16" max="16" width="8.5703125" bestFit="1" customWidth="1"/>
    <col min="17" max="17" width="7.7109375" bestFit="1" customWidth="1"/>
    <col min="18" max="18" width="9.7109375" bestFit="1" customWidth="1"/>
    <col min="19" max="19" width="10.28515625" bestFit="1" customWidth="1"/>
    <col min="20" max="20" width="12.28515625" bestFit="1" customWidth="1"/>
    <col min="21" max="21" width="11.42578125" bestFit="1" customWidth="1"/>
    <col min="22" max="22" width="7.7109375" bestFit="1" customWidth="1"/>
  </cols>
  <sheetData>
    <row r="1" spans="1:11" ht="15.6">
      <c r="A1" s="16" t="s">
        <v>0</v>
      </c>
      <c r="B1" s="29"/>
      <c r="C1" s="30" t="s">
        <v>1</v>
      </c>
      <c r="D1" s="30" t="s">
        <v>2</v>
      </c>
      <c r="E1" s="30" t="s">
        <v>3</v>
      </c>
      <c r="F1" s="30" t="s">
        <v>4</v>
      </c>
      <c r="G1" s="30" t="s">
        <v>5</v>
      </c>
      <c r="H1" s="30" t="s">
        <v>6</v>
      </c>
      <c r="I1" s="30" t="s">
        <v>7</v>
      </c>
      <c r="J1" s="32"/>
      <c r="K1" s="33">
        <v>0.1</v>
      </c>
    </row>
    <row r="2" spans="1:11" ht="15.6">
      <c r="A2" s="17"/>
      <c r="B2" s="25" t="s">
        <v>8</v>
      </c>
      <c r="C2" s="36">
        <v>0</v>
      </c>
      <c r="D2" s="31">
        <v>0</v>
      </c>
      <c r="E2" s="31">
        <v>1</v>
      </c>
      <c r="F2" s="31">
        <v>1</v>
      </c>
      <c r="G2" s="31">
        <v>0.56000000000000005</v>
      </c>
      <c r="H2" s="31">
        <v>-1.44</v>
      </c>
      <c r="I2" s="31">
        <v>-2.88</v>
      </c>
      <c r="J2" s="18" t="s">
        <v>9</v>
      </c>
      <c r="K2" s="19" t="s">
        <v>10</v>
      </c>
    </row>
    <row r="3" spans="1:11" ht="15.6">
      <c r="A3" s="17"/>
      <c r="B3" s="37">
        <v>1</v>
      </c>
      <c r="C3" s="34"/>
      <c r="D3" s="2">
        <f t="shared" ref="D3:I3" si="0">$B3*C4</f>
        <v>0</v>
      </c>
      <c r="E3" s="2">
        <f t="shared" si="0"/>
        <v>0</v>
      </c>
      <c r="F3" s="2">
        <f t="shared" si="0"/>
        <v>1</v>
      </c>
      <c r="G3" s="2">
        <f t="shared" si="0"/>
        <v>2</v>
      </c>
      <c r="H3" s="2">
        <f t="shared" si="0"/>
        <v>2.56</v>
      </c>
      <c r="I3" s="2">
        <f t="shared" si="0"/>
        <v>1.1200000000000001</v>
      </c>
      <c r="J3" s="5"/>
      <c r="K3" s="6"/>
    </row>
    <row r="4" spans="1:11" ht="15.6">
      <c r="B4" s="4"/>
      <c r="C4" s="20">
        <f>SUM(C2:C3)</f>
        <v>0</v>
      </c>
      <c r="D4" s="5">
        <f t="shared" ref="D4:I4" si="1">SUM(D2:D3)</f>
        <v>0</v>
      </c>
      <c r="E4" s="6">
        <f t="shared" si="1"/>
        <v>1</v>
      </c>
      <c r="F4" s="6">
        <f t="shared" si="1"/>
        <v>2</v>
      </c>
      <c r="G4" s="6">
        <f t="shared" si="1"/>
        <v>2.56</v>
      </c>
      <c r="H4" s="6">
        <f t="shared" si="1"/>
        <v>1.1200000000000001</v>
      </c>
      <c r="I4" s="7">
        <f t="shared" si="1"/>
        <v>-1.7599999999999998</v>
      </c>
      <c r="J4" s="5"/>
      <c r="K4" s="6"/>
    </row>
    <row r="5" spans="1:11" ht="15.6" thickBot="1">
      <c r="C5" s="21"/>
      <c r="D5" s="22">
        <f>$B3*C6</f>
        <v>0</v>
      </c>
      <c r="E5" s="23">
        <f>$B3*D6</f>
        <v>0</v>
      </c>
      <c r="F5" s="23">
        <f>$B3*E6</f>
        <v>1</v>
      </c>
      <c r="G5" s="23">
        <f>$B3*F6</f>
        <v>3</v>
      </c>
      <c r="H5" s="24">
        <f>$B3*G6</f>
        <v>5.5600000000000005</v>
      </c>
      <c r="I5" s="1"/>
      <c r="J5" s="6"/>
      <c r="K5" s="6"/>
    </row>
    <row r="6" spans="1:11" ht="15.6">
      <c r="C6" s="13">
        <f>SUM(C4:C5)</f>
        <v>0</v>
      </c>
      <c r="D6" s="13">
        <f t="shared" ref="D6:H6" si="2">SUM(D4:D5)</f>
        <v>0</v>
      </c>
      <c r="E6" s="13">
        <f t="shared" si="2"/>
        <v>1</v>
      </c>
      <c r="F6" s="13">
        <f t="shared" si="2"/>
        <v>3</v>
      </c>
      <c r="G6" s="13">
        <f t="shared" si="2"/>
        <v>5.5600000000000005</v>
      </c>
      <c r="H6" s="8">
        <f t="shared" si="2"/>
        <v>6.6800000000000006</v>
      </c>
      <c r="I6" s="9"/>
      <c r="J6" s="6"/>
      <c r="K6" s="5"/>
    </row>
    <row r="7" spans="1:11" ht="15">
      <c r="C7" s="9"/>
      <c r="D7" s="9"/>
      <c r="E7" s="9"/>
      <c r="F7" s="9"/>
      <c r="G7" s="9"/>
      <c r="H7" s="9"/>
      <c r="I7" s="9"/>
      <c r="J7" s="6"/>
      <c r="K7" s="5"/>
    </row>
    <row r="8" spans="1:11" ht="15">
      <c r="B8" s="25" t="s">
        <v>11</v>
      </c>
      <c r="C8" s="10">
        <f t="shared" ref="C8:I8" si="3">C2</f>
        <v>0</v>
      </c>
      <c r="D8" s="11">
        <f t="shared" si="3"/>
        <v>0</v>
      </c>
      <c r="E8" s="11">
        <f t="shared" si="3"/>
        <v>1</v>
      </c>
      <c r="F8" s="11">
        <f t="shared" si="3"/>
        <v>1</v>
      </c>
      <c r="G8" s="11">
        <f t="shared" si="3"/>
        <v>0.56000000000000005</v>
      </c>
      <c r="H8" s="11">
        <f t="shared" si="3"/>
        <v>-1.44</v>
      </c>
      <c r="I8" s="12">
        <f t="shared" si="3"/>
        <v>-2.88</v>
      </c>
      <c r="J8" s="6"/>
      <c r="K8" s="5"/>
    </row>
    <row r="9" spans="1:11" ht="15">
      <c r="B9" s="12">
        <f>B3-I4/H6</f>
        <v>1.2634730538922154</v>
      </c>
      <c r="C9" s="40"/>
      <c r="D9" s="6">
        <f t="shared" ref="D9:I9" si="4">$B9*C10</f>
        <v>0</v>
      </c>
      <c r="E9" s="6">
        <f>$B9*D10</f>
        <v>0</v>
      </c>
      <c r="F9" s="6">
        <f t="shared" si="4"/>
        <v>1.2634730538922154</v>
      </c>
      <c r="G9" s="6">
        <f t="shared" si="4"/>
        <v>2.8598372118039364</v>
      </c>
      <c r="H9" s="6">
        <f t="shared" si="4"/>
        <v>4.3208721658121583</v>
      </c>
      <c r="I9" s="6">
        <f t="shared" si="4"/>
        <v>3.6399043532117683</v>
      </c>
      <c r="J9" s="26">
        <f>ABS(B9-B3)</f>
        <v>0.26347305389221543</v>
      </c>
      <c r="K9" s="6">
        <f xml:space="preserve"> ABS(J9/B9)*100</f>
        <v>20.853080568720369</v>
      </c>
    </row>
    <row r="10" spans="1:11" ht="15.6">
      <c r="B10" s="35"/>
      <c r="C10" s="26">
        <f t="shared" ref="C10:I10" si="5">SUM(C8:C9)</f>
        <v>0</v>
      </c>
      <c r="D10" s="13">
        <f t="shared" si="5"/>
        <v>0</v>
      </c>
      <c r="E10" s="13">
        <f t="shared" si="5"/>
        <v>1</v>
      </c>
      <c r="F10" s="13">
        <f>SUM(F8:F9)</f>
        <v>2.2634730538922154</v>
      </c>
      <c r="G10" s="13">
        <f t="shared" si="5"/>
        <v>3.4198372118039364</v>
      </c>
      <c r="H10" s="13">
        <f t="shared" si="5"/>
        <v>2.8808721658121583</v>
      </c>
      <c r="I10" s="14">
        <f t="shared" si="5"/>
        <v>0.75990435321176841</v>
      </c>
    </row>
    <row r="11" spans="1:11" ht="15.6" thickBot="1">
      <c r="B11" s="38"/>
      <c r="C11" s="42"/>
      <c r="D11" s="23">
        <f>$B9*C12</f>
        <v>0</v>
      </c>
      <c r="E11" s="23">
        <f>$B9*D12</f>
        <v>0</v>
      </c>
      <c r="F11" s="23">
        <f>$B9*E12</f>
        <v>1.2634730538922154</v>
      </c>
      <c r="G11" s="23">
        <f>$B9*F12</f>
        <v>4.4562013697156573</v>
      </c>
      <c r="H11" s="23">
        <f>$B9*G12</f>
        <v>9.9511625191654733</v>
      </c>
      <c r="I11" s="39"/>
    </row>
    <row r="12" spans="1:11" ht="15.6">
      <c r="C12" s="13">
        <f t="shared" ref="C12:H12" si="6">SUM(C10:C11)</f>
        <v>0</v>
      </c>
      <c r="D12" s="13">
        <f t="shared" si="6"/>
        <v>0</v>
      </c>
      <c r="E12" s="13">
        <f t="shared" si="6"/>
        <v>1</v>
      </c>
      <c r="F12" s="13">
        <f t="shared" si="6"/>
        <v>3.5269461077844309</v>
      </c>
      <c r="G12" s="13">
        <f t="shared" si="6"/>
        <v>7.8760385815195937</v>
      </c>
      <c r="H12" s="8">
        <f t="shared" si="6"/>
        <v>12.832034684977632</v>
      </c>
    </row>
    <row r="14" spans="1:11" ht="15">
      <c r="B14" s="25" t="s">
        <v>12</v>
      </c>
      <c r="C14" s="27">
        <f t="shared" ref="C14:I14" si="7">C8</f>
        <v>0</v>
      </c>
      <c r="D14" s="28">
        <f t="shared" si="7"/>
        <v>0</v>
      </c>
      <c r="E14" s="28">
        <f t="shared" si="7"/>
        <v>1</v>
      </c>
      <c r="F14" s="28">
        <f t="shared" si="7"/>
        <v>1</v>
      </c>
      <c r="G14" s="28">
        <f t="shared" si="7"/>
        <v>0.56000000000000005</v>
      </c>
      <c r="H14" s="28">
        <f t="shared" si="7"/>
        <v>-1.44</v>
      </c>
      <c r="I14" s="28">
        <f t="shared" si="7"/>
        <v>-2.88</v>
      </c>
    </row>
    <row r="15" spans="1:11" ht="15">
      <c r="B15" s="41">
        <f>B9-I10/H12</f>
        <v>1.2042537350649851</v>
      </c>
      <c r="C15" s="5"/>
      <c r="D15" s="6">
        <f t="shared" ref="D15:I15" si="8">$B15*C16</f>
        <v>0</v>
      </c>
      <c r="E15" s="6">
        <f t="shared" si="8"/>
        <v>0</v>
      </c>
      <c r="F15" s="6">
        <f t="shared" si="8"/>
        <v>1.2042537350649851</v>
      </c>
      <c r="G15" s="6">
        <f t="shared" si="8"/>
        <v>2.6544807934829526</v>
      </c>
      <c r="H15" s="6">
        <f t="shared" si="8"/>
        <v>3.8710505018465029</v>
      </c>
      <c r="I15" s="6">
        <f t="shared" si="8"/>
        <v>2.9276016469802575</v>
      </c>
      <c r="J15" s="5">
        <f>ABS(B15-B9)</f>
        <v>5.9219318827230305E-2</v>
      </c>
      <c r="K15" s="6">
        <f xml:space="preserve"> ABS(J15/B15)*100</f>
        <v>4.9175117421607712</v>
      </c>
    </row>
    <row r="16" spans="1:11" ht="15.6">
      <c r="B16" s="35"/>
      <c r="C16" s="26">
        <f t="shared" ref="C16:I16" si="9">SUM(C14:C15)</f>
        <v>0</v>
      </c>
      <c r="D16" s="13">
        <f t="shared" si="9"/>
        <v>0</v>
      </c>
      <c r="E16" s="13">
        <f t="shared" si="9"/>
        <v>1</v>
      </c>
      <c r="F16" s="13">
        <f t="shared" si="9"/>
        <v>2.2042537350649853</v>
      </c>
      <c r="G16" s="13">
        <f t="shared" si="9"/>
        <v>3.2144807934829527</v>
      </c>
      <c r="H16" s="13">
        <f t="shared" si="9"/>
        <v>2.431050501846503</v>
      </c>
      <c r="I16" s="14">
        <f t="shared" si="9"/>
        <v>4.7601646980257595E-2</v>
      </c>
    </row>
    <row r="17" spans="2:11" ht="15.6" thickBot="1">
      <c r="B17" s="38"/>
      <c r="C17" s="22"/>
      <c r="D17" s="23">
        <f>$B15*C18</f>
        <v>0</v>
      </c>
      <c r="E17" s="23">
        <f>$B15*D18</f>
        <v>0</v>
      </c>
      <c r="F17" s="23">
        <f>$B15*E18</f>
        <v>1.2042537350649851</v>
      </c>
      <c r="G17" s="23">
        <f>$B15*F18</f>
        <v>4.1047078519009208</v>
      </c>
      <c r="H17" s="23">
        <f>$B15*G18</f>
        <v>8.8141602638487573</v>
      </c>
      <c r="I17" s="24"/>
    </row>
    <row r="18" spans="2:11" ht="15.6">
      <c r="C18" s="13">
        <f t="shared" ref="C18:H18" si="10">SUM(C16:C17)</f>
        <v>0</v>
      </c>
      <c r="D18" s="13">
        <f t="shared" si="10"/>
        <v>0</v>
      </c>
      <c r="E18" s="13">
        <f t="shared" si="10"/>
        <v>1</v>
      </c>
      <c r="F18" s="13">
        <f t="shared" si="10"/>
        <v>3.4085074701299707</v>
      </c>
      <c r="G18" s="13">
        <f t="shared" si="10"/>
        <v>7.319188645383873</v>
      </c>
      <c r="H18" s="8">
        <f t="shared" si="10"/>
        <v>11.24521076569526</v>
      </c>
      <c r="I18" s="15"/>
    </row>
    <row r="20" spans="2:11" ht="15">
      <c r="B20" s="25" t="s">
        <v>13</v>
      </c>
      <c r="C20" s="27">
        <f t="shared" ref="C20:I20" si="11">C14</f>
        <v>0</v>
      </c>
      <c r="D20" s="28">
        <f t="shared" si="11"/>
        <v>0</v>
      </c>
      <c r="E20" s="28">
        <f t="shared" si="11"/>
        <v>1</v>
      </c>
      <c r="F20" s="28">
        <f t="shared" si="11"/>
        <v>1</v>
      </c>
      <c r="G20" s="28">
        <f t="shared" si="11"/>
        <v>0.56000000000000005</v>
      </c>
      <c r="H20" s="28">
        <f t="shared" si="11"/>
        <v>-1.44</v>
      </c>
      <c r="I20" s="28">
        <f t="shared" si="11"/>
        <v>-2.88</v>
      </c>
      <c r="J20" s="15"/>
      <c r="K20" s="15"/>
    </row>
    <row r="21" spans="2:11" ht="15">
      <c r="B21" s="12">
        <f>B15-I16/H18</f>
        <v>1.2000206755010443</v>
      </c>
      <c r="C21" s="20"/>
      <c r="D21" s="6">
        <f t="shared" ref="D21:I21" si="12">$B21*C22</f>
        <v>0</v>
      </c>
      <c r="E21" s="6">
        <f t="shared" si="12"/>
        <v>0</v>
      </c>
      <c r="F21" s="6">
        <f t="shared" si="12"/>
        <v>1.2000206755010443</v>
      </c>
      <c r="G21" s="6">
        <f t="shared" si="12"/>
        <v>2.640070297131027</v>
      </c>
      <c r="H21" s="6">
        <f t="shared" si="12"/>
        <v>3.8401505196140024</v>
      </c>
      <c r="I21" s="6">
        <f t="shared" si="12"/>
        <v>2.8802302478513777</v>
      </c>
      <c r="J21" s="5">
        <f>ABS(B21-B15)</f>
        <v>4.2330595639408219E-3</v>
      </c>
      <c r="K21" s="6">
        <f xml:space="preserve"> ABS(J21/B21)*100</f>
        <v>0.35274888594510206</v>
      </c>
    </row>
    <row r="22" spans="2:11" ht="15.6">
      <c r="B22" s="35"/>
      <c r="C22" s="26">
        <f t="shared" ref="C22:I22" si="13">SUM(C20:C21)</f>
        <v>0</v>
      </c>
      <c r="D22" s="13">
        <f t="shared" si="13"/>
        <v>0</v>
      </c>
      <c r="E22" s="13">
        <f t="shared" si="13"/>
        <v>1</v>
      </c>
      <c r="F22" s="13">
        <f t="shared" si="13"/>
        <v>2.2000206755010443</v>
      </c>
      <c r="G22" s="13">
        <f t="shared" si="13"/>
        <v>3.2000702971310271</v>
      </c>
      <c r="H22" s="13">
        <f t="shared" si="13"/>
        <v>2.4001505196140025</v>
      </c>
      <c r="I22" s="14">
        <f t="shared" si="13"/>
        <v>2.3024785137781834E-4</v>
      </c>
      <c r="J22" s="15"/>
      <c r="K22" s="15"/>
    </row>
    <row r="23" spans="2:11" ht="15.6" thickBot="1">
      <c r="B23" s="38"/>
      <c r="C23" s="22"/>
      <c r="D23" s="23">
        <f>$B21*C24</f>
        <v>0</v>
      </c>
      <c r="E23" s="23">
        <f>$B21*D24</f>
        <v>0</v>
      </c>
      <c r="F23" s="23">
        <f>$B21*E24</f>
        <v>1.2000206755010443</v>
      </c>
      <c r="G23" s="23">
        <f>$B21*F24</f>
        <v>4.0801199187610093</v>
      </c>
      <c r="H23" s="23">
        <f>$B21*G24</f>
        <v>8.7363787806508544</v>
      </c>
      <c r="I23" s="24"/>
      <c r="J23" s="15"/>
      <c r="K23" s="15"/>
    </row>
    <row r="24" spans="2:11" ht="15.6">
      <c r="C24" s="13">
        <f t="shared" ref="C24:H24" si="14">SUM(C22:C23)</f>
        <v>0</v>
      </c>
      <c r="D24" s="13">
        <f t="shared" si="14"/>
        <v>0</v>
      </c>
      <c r="E24" s="13">
        <f t="shared" si="14"/>
        <v>1</v>
      </c>
      <c r="F24" s="13">
        <f t="shared" si="14"/>
        <v>3.4000413510020886</v>
      </c>
      <c r="G24" s="13">
        <f t="shared" si="14"/>
        <v>7.280190215892036</v>
      </c>
      <c r="H24" s="8">
        <f t="shared" si="14"/>
        <v>11.136529300264858</v>
      </c>
      <c r="I24" s="15"/>
      <c r="J24" s="15"/>
      <c r="K24" s="15"/>
    </row>
    <row r="26" spans="2:11" ht="15">
      <c r="B26" s="25" t="s">
        <v>14</v>
      </c>
      <c r="C26" s="27">
        <f t="shared" ref="C26:I26" si="15">C20</f>
        <v>0</v>
      </c>
      <c r="D26" s="28">
        <f t="shared" si="15"/>
        <v>0</v>
      </c>
      <c r="E26" s="28">
        <f t="shared" si="15"/>
        <v>1</v>
      </c>
      <c r="F26" s="28">
        <f t="shared" si="15"/>
        <v>1</v>
      </c>
      <c r="G26" s="28">
        <f t="shared" si="15"/>
        <v>0.56000000000000005</v>
      </c>
      <c r="H26" s="28">
        <f t="shared" si="15"/>
        <v>-1.44</v>
      </c>
      <c r="I26" s="28">
        <f t="shared" si="15"/>
        <v>-2.88</v>
      </c>
      <c r="J26" s="15"/>
      <c r="K26" s="15"/>
    </row>
    <row r="27" spans="2:11" ht="15">
      <c r="B27" s="12">
        <f>B21-I22/H24</f>
        <v>1.200000000491338</v>
      </c>
      <c r="C27" s="20"/>
      <c r="D27" s="6">
        <f t="shared" ref="D27:I27" si="16">$B27*C28</f>
        <v>0</v>
      </c>
      <c r="E27" s="6">
        <f t="shared" si="16"/>
        <v>0</v>
      </c>
      <c r="F27" s="6">
        <f t="shared" si="16"/>
        <v>1.200000000491338</v>
      </c>
      <c r="G27" s="6">
        <f t="shared" si="16"/>
        <v>2.6400000016705492</v>
      </c>
      <c r="H27" s="6">
        <f t="shared" si="16"/>
        <v>3.8400000035769408</v>
      </c>
      <c r="I27" s="6">
        <f t="shared" si="16"/>
        <v>2.8800000054715404</v>
      </c>
      <c r="J27" s="5">
        <f>ABS(B27-B21)</f>
        <v>2.0675009706261349E-5</v>
      </c>
      <c r="K27" s="6">
        <f xml:space="preserve"> ABS(J27/B27)*100</f>
        <v>1.7229174748163334E-3</v>
      </c>
    </row>
    <row r="28" spans="2:11" ht="15.6">
      <c r="B28" s="35"/>
      <c r="C28" s="26">
        <f t="shared" ref="C28:I28" si="17">SUM(C26:C27)</f>
        <v>0</v>
      </c>
      <c r="D28" s="13">
        <f t="shared" si="17"/>
        <v>0</v>
      </c>
      <c r="E28" s="13">
        <f t="shared" si="17"/>
        <v>1</v>
      </c>
      <c r="F28" s="13">
        <f t="shared" si="17"/>
        <v>2.2000000004913378</v>
      </c>
      <c r="G28" s="13">
        <f t="shared" si="17"/>
        <v>3.2000000016705492</v>
      </c>
      <c r="H28" s="13">
        <f t="shared" si="17"/>
        <v>2.4000000035769409</v>
      </c>
      <c r="I28" s="14">
        <f t="shared" si="17"/>
        <v>5.4715405539695894E-9</v>
      </c>
      <c r="J28" s="15"/>
      <c r="K28" s="15"/>
    </row>
    <row r="29" spans="2:11" ht="15.6" thickBot="1">
      <c r="B29" s="38"/>
      <c r="C29" s="22"/>
      <c r="D29" s="23">
        <f>$B27*C30</f>
        <v>0</v>
      </c>
      <c r="E29" s="23">
        <f>$B27*D30</f>
        <v>0</v>
      </c>
      <c r="F29" s="23">
        <f>$B27*E30</f>
        <v>1.200000000491338</v>
      </c>
      <c r="G29" s="23">
        <f>$B27*F30</f>
        <v>4.0800000028497605</v>
      </c>
      <c r="H29" s="23">
        <f>$B27*G30</f>
        <v>8.7360000090013123</v>
      </c>
      <c r="I29" s="24"/>
      <c r="J29" s="15"/>
      <c r="K29" s="15"/>
    </row>
    <row r="30" spans="2:11" ht="15.6">
      <c r="C30" s="13">
        <f t="shared" ref="C30:H30" si="18">SUM(C28:C29)</f>
        <v>0</v>
      </c>
      <c r="D30" s="13">
        <f t="shared" si="18"/>
        <v>0</v>
      </c>
      <c r="E30" s="13">
        <f t="shared" si="18"/>
        <v>1</v>
      </c>
      <c r="F30" s="13">
        <f t="shared" si="18"/>
        <v>3.4000000009826756</v>
      </c>
      <c r="G30" s="13">
        <f t="shared" si="18"/>
        <v>7.2800000045203097</v>
      </c>
      <c r="H30" s="8">
        <f t="shared" si="18"/>
        <v>11.136000012578254</v>
      </c>
      <c r="I30" s="15"/>
      <c r="J30" s="15"/>
      <c r="K30" s="15"/>
    </row>
    <row r="32" spans="2:11" ht="15">
      <c r="B32" s="25" t="s">
        <v>14</v>
      </c>
      <c r="C32" s="27">
        <f t="shared" ref="C32:I32" si="19">C26</f>
        <v>0</v>
      </c>
      <c r="D32" s="28">
        <f t="shared" si="19"/>
        <v>0</v>
      </c>
      <c r="E32" s="28">
        <f t="shared" si="19"/>
        <v>1</v>
      </c>
      <c r="F32" s="28">
        <f t="shared" si="19"/>
        <v>1</v>
      </c>
      <c r="G32" s="28">
        <f t="shared" si="19"/>
        <v>0.56000000000000005</v>
      </c>
      <c r="H32" s="28">
        <f t="shared" si="19"/>
        <v>-1.44</v>
      </c>
      <c r="I32" s="28">
        <f t="shared" si="19"/>
        <v>-2.88</v>
      </c>
      <c r="J32" s="15"/>
      <c r="K32" s="15"/>
    </row>
    <row r="33" spans="1:11" ht="15">
      <c r="B33" s="12">
        <f>B27-I28/H30</f>
        <v>1.2</v>
      </c>
      <c r="C33" s="20"/>
      <c r="D33" s="6">
        <f t="shared" ref="D33" si="20">$B33*C34</f>
        <v>0</v>
      </c>
      <c r="E33" s="6">
        <f t="shared" ref="E33" si="21">$B33*D34</f>
        <v>0</v>
      </c>
      <c r="F33" s="6">
        <f t="shared" ref="F33" si="22">$B33*E34</f>
        <v>1.2</v>
      </c>
      <c r="G33" s="6">
        <f t="shared" ref="G33" si="23">$B33*F34</f>
        <v>2.64</v>
      </c>
      <c r="H33" s="6">
        <f t="shared" ref="H33" si="24">$B33*G34</f>
        <v>3.84</v>
      </c>
      <c r="I33" s="6">
        <f t="shared" ref="I33" si="25">$B33*H34</f>
        <v>2.88</v>
      </c>
      <c r="J33" s="5">
        <f>ABS(B33-B27)</f>
        <v>4.9133808133206003E-10</v>
      </c>
      <c r="K33" s="6">
        <f xml:space="preserve"> ABS(J33/B33)*100</f>
        <v>4.0944840111005007E-8</v>
      </c>
    </row>
    <row r="34" spans="1:11" ht="15.6">
      <c r="B34" s="35"/>
      <c r="C34" s="26">
        <f t="shared" ref="C34:I34" si="26">SUM(C32:C33)</f>
        <v>0</v>
      </c>
      <c r="D34" s="13">
        <f t="shared" si="26"/>
        <v>0</v>
      </c>
      <c r="E34" s="13">
        <f t="shared" si="26"/>
        <v>1</v>
      </c>
      <c r="F34" s="13">
        <f t="shared" si="26"/>
        <v>2.2000000000000002</v>
      </c>
      <c r="G34" s="13">
        <f t="shared" si="26"/>
        <v>3.2</v>
      </c>
      <c r="H34" s="13">
        <f t="shared" si="26"/>
        <v>2.4</v>
      </c>
      <c r="I34" s="14">
        <f t="shared" si="26"/>
        <v>0</v>
      </c>
      <c r="J34" s="15"/>
      <c r="K34" s="15"/>
    </row>
    <row r="35" spans="1:11" ht="15.6" thickBot="1">
      <c r="B35" s="38"/>
      <c r="C35" s="22"/>
      <c r="D35" s="23">
        <f>$B33*C36</f>
        <v>0</v>
      </c>
      <c r="E35" s="23">
        <f>$B33*D36</f>
        <v>0</v>
      </c>
      <c r="F35" s="23">
        <f>$B33*E36</f>
        <v>1.2</v>
      </c>
      <c r="G35" s="23">
        <f>$B33*F36</f>
        <v>4.08</v>
      </c>
      <c r="H35" s="23">
        <f>$B33*G36</f>
        <v>8.7360000000000007</v>
      </c>
      <c r="I35" s="24"/>
      <c r="J35" s="15"/>
      <c r="K35" s="15"/>
    </row>
    <row r="36" spans="1:11" ht="15.6">
      <c r="C36" s="13">
        <f t="shared" ref="C36:H36" si="27">SUM(C34:C35)</f>
        <v>0</v>
      </c>
      <c r="D36" s="13">
        <f t="shared" si="27"/>
        <v>0</v>
      </c>
      <c r="E36" s="13">
        <f t="shared" si="27"/>
        <v>1</v>
      </c>
      <c r="F36" s="13">
        <f t="shared" si="27"/>
        <v>3.4000000000000004</v>
      </c>
      <c r="G36" s="13">
        <f t="shared" si="27"/>
        <v>7.28</v>
      </c>
      <c r="H36" s="8">
        <f t="shared" si="27"/>
        <v>11.136000000000001</v>
      </c>
      <c r="I36" s="15"/>
      <c r="J36" s="15"/>
      <c r="K36" s="15"/>
    </row>
    <row r="39" spans="1:11" ht="15.6">
      <c r="A39" s="16" t="s">
        <v>0</v>
      </c>
      <c r="B39" s="29"/>
      <c r="C39" s="30" t="s">
        <v>1</v>
      </c>
      <c r="D39" s="30" t="s">
        <v>2</v>
      </c>
      <c r="E39" s="30" t="s">
        <v>3</v>
      </c>
      <c r="F39" s="30" t="s">
        <v>4</v>
      </c>
      <c r="G39" s="30" t="s">
        <v>5</v>
      </c>
      <c r="H39" s="30" t="s">
        <v>6</v>
      </c>
      <c r="I39" s="30" t="s">
        <v>7</v>
      </c>
      <c r="J39" s="32"/>
      <c r="K39" s="33">
        <v>0.1</v>
      </c>
    </row>
    <row r="40" spans="1:11" ht="15.6">
      <c r="A40" s="17"/>
      <c r="B40" s="25" t="s">
        <v>8</v>
      </c>
      <c r="C40" s="36">
        <v>0</v>
      </c>
      <c r="D40" s="31">
        <v>0</v>
      </c>
      <c r="E40" s="31">
        <v>1</v>
      </c>
      <c r="F40" s="31">
        <v>1</v>
      </c>
      <c r="G40" s="31">
        <v>0.56000000000000005</v>
      </c>
      <c r="H40" s="31">
        <v>-1.44</v>
      </c>
      <c r="I40" s="31">
        <v>-2.88</v>
      </c>
      <c r="J40" s="18" t="s">
        <v>9</v>
      </c>
      <c r="K40" s="19" t="s">
        <v>10</v>
      </c>
    </row>
    <row r="41" spans="1:11" ht="15.6">
      <c r="A41" s="17"/>
      <c r="B41" s="37">
        <v>-1</v>
      </c>
      <c r="C41" s="34"/>
      <c r="D41" s="2">
        <f t="shared" ref="D41:I41" si="28">$B41*C42</f>
        <v>0</v>
      </c>
      <c r="E41" s="2">
        <f t="shared" si="28"/>
        <v>0</v>
      </c>
      <c r="F41" s="2">
        <f t="shared" si="28"/>
        <v>-1</v>
      </c>
      <c r="G41" s="2">
        <f t="shared" si="28"/>
        <v>0</v>
      </c>
      <c r="H41" s="2">
        <f t="shared" si="28"/>
        <v>-0.56000000000000005</v>
      </c>
      <c r="I41" s="3">
        <f t="shared" si="28"/>
        <v>2</v>
      </c>
      <c r="J41" s="5"/>
      <c r="K41" s="6"/>
    </row>
    <row r="42" spans="1:11" ht="15.6">
      <c r="B42" s="4"/>
      <c r="C42" s="20">
        <f>SUM(C40:C41)</f>
        <v>0</v>
      </c>
      <c r="D42" s="5">
        <f t="shared" ref="D42:I42" si="29">SUM(D40:D41)</f>
        <v>0</v>
      </c>
      <c r="E42" s="6">
        <f t="shared" si="29"/>
        <v>1</v>
      </c>
      <c r="F42" s="6">
        <f t="shared" si="29"/>
        <v>0</v>
      </c>
      <c r="G42" s="6">
        <f t="shared" si="29"/>
        <v>0.56000000000000005</v>
      </c>
      <c r="H42" s="6">
        <f t="shared" si="29"/>
        <v>-2</v>
      </c>
      <c r="I42" s="7">
        <f t="shared" si="29"/>
        <v>-0.87999999999999989</v>
      </c>
      <c r="J42" s="5"/>
      <c r="K42" s="6"/>
    </row>
    <row r="43" spans="1:11" ht="15.6" thickBot="1">
      <c r="C43" s="21"/>
      <c r="D43" s="22">
        <f>$B41*C44</f>
        <v>0</v>
      </c>
      <c r="E43" s="23">
        <f>$B41*D44</f>
        <v>0</v>
      </c>
      <c r="F43" s="23">
        <f>$B41*E44</f>
        <v>-1</v>
      </c>
      <c r="G43" s="23">
        <f>$B41*F44</f>
        <v>1</v>
      </c>
      <c r="H43" s="24">
        <f>$B41*G44</f>
        <v>-1.56</v>
      </c>
      <c r="I43" s="1"/>
      <c r="J43" s="6"/>
      <c r="K43" s="6"/>
    </row>
    <row r="44" spans="1:11" ht="15.6">
      <c r="C44" s="13">
        <f>SUM(C42:C43)</f>
        <v>0</v>
      </c>
      <c r="D44" s="13">
        <f t="shared" ref="D44:H44" si="30">SUM(D42:D43)</f>
        <v>0</v>
      </c>
      <c r="E44" s="13">
        <f t="shared" si="30"/>
        <v>1</v>
      </c>
      <c r="F44" s="13">
        <f t="shared" si="30"/>
        <v>-1</v>
      </c>
      <c r="G44" s="13">
        <f t="shared" si="30"/>
        <v>1.56</v>
      </c>
      <c r="H44" s="8">
        <f t="shared" si="30"/>
        <v>-3.56</v>
      </c>
      <c r="I44" s="9"/>
      <c r="J44" s="6"/>
      <c r="K44" s="5"/>
    </row>
    <row r="45" spans="1:11" ht="15">
      <c r="C45" s="9"/>
      <c r="D45" s="9"/>
      <c r="E45" s="9"/>
      <c r="F45" s="9"/>
      <c r="G45" s="9"/>
      <c r="H45" s="9"/>
      <c r="I45" s="9"/>
      <c r="J45" s="6"/>
      <c r="K45" s="5"/>
    </row>
    <row r="46" spans="1:11" ht="15">
      <c r="B46" s="25" t="s">
        <v>11</v>
      </c>
      <c r="C46" s="10">
        <f t="shared" ref="C46:I46" si="31">C40</f>
        <v>0</v>
      </c>
      <c r="D46" s="11">
        <f t="shared" si="31"/>
        <v>0</v>
      </c>
      <c r="E46" s="11">
        <f t="shared" si="31"/>
        <v>1</v>
      </c>
      <c r="F46" s="11">
        <f t="shared" si="31"/>
        <v>1</v>
      </c>
      <c r="G46" s="11">
        <f t="shared" si="31"/>
        <v>0.56000000000000005</v>
      </c>
      <c r="H46" s="11">
        <f t="shared" si="31"/>
        <v>-1.44</v>
      </c>
      <c r="I46" s="12">
        <f t="shared" si="31"/>
        <v>-2.88</v>
      </c>
      <c r="J46" s="6"/>
      <c r="K46" s="5"/>
    </row>
    <row r="47" spans="1:11" ht="15">
      <c r="B47" s="12">
        <f>B41-I42/H44</f>
        <v>-1.247191011235955</v>
      </c>
      <c r="C47" s="40"/>
      <c r="D47" s="6">
        <f t="shared" ref="D47:I47" si="32">$B47*C48</f>
        <v>0</v>
      </c>
      <c r="E47" s="6">
        <f t="shared" si="32"/>
        <v>0</v>
      </c>
      <c r="F47" s="6">
        <f t="shared" si="32"/>
        <v>-1.247191011235955</v>
      </c>
      <c r="G47" s="6">
        <f t="shared" si="32"/>
        <v>0.30829440727180901</v>
      </c>
      <c r="H47" s="6">
        <f t="shared" si="32"/>
        <v>-1.0829289798558517</v>
      </c>
      <c r="I47" s="6">
        <f t="shared" si="32"/>
        <v>3.1465743456629163</v>
      </c>
      <c r="J47" s="26">
        <f>ABS(B47-B41)</f>
        <v>0.24719101123595499</v>
      </c>
      <c r="K47" s="6">
        <f xml:space="preserve"> ABS(J47/B47)*100</f>
        <v>19.819819819819813</v>
      </c>
    </row>
    <row r="48" spans="1:11" ht="15.6">
      <c r="B48" s="35"/>
      <c r="C48" s="26">
        <f t="shared" ref="C48:I48" si="33">SUM(C46:C47)</f>
        <v>0</v>
      </c>
      <c r="D48" s="13">
        <f t="shared" si="33"/>
        <v>0</v>
      </c>
      <c r="E48" s="13">
        <f t="shared" si="33"/>
        <v>1</v>
      </c>
      <c r="F48" s="13">
        <f>SUM(F46:F47)</f>
        <v>-0.24719101123595499</v>
      </c>
      <c r="G48" s="13">
        <f t="shared" si="33"/>
        <v>0.86829440727180907</v>
      </c>
      <c r="H48" s="13">
        <f t="shared" si="33"/>
        <v>-2.5229289798558518</v>
      </c>
      <c r="I48" s="14">
        <f t="shared" si="33"/>
        <v>0.26657434566291638</v>
      </c>
    </row>
    <row r="49" spans="2:11" ht="15.6" thickBot="1">
      <c r="B49" s="38"/>
      <c r="C49" s="42"/>
      <c r="D49" s="23">
        <f>$B47*C50</f>
        <v>0</v>
      </c>
      <c r="E49" s="23">
        <f>$B47*D50</f>
        <v>0</v>
      </c>
      <c r="F49" s="23">
        <f>$B47*E50</f>
        <v>-1.247191011235955</v>
      </c>
      <c r="G49" s="23">
        <f>$B47*F50</f>
        <v>1.863779825779573</v>
      </c>
      <c r="H49" s="23">
        <f>$B47*G50</f>
        <v>-3.4074184254910493</v>
      </c>
      <c r="I49" s="39"/>
    </row>
    <row r="50" spans="2:11" ht="15.6">
      <c r="C50" s="13">
        <f t="shared" ref="C50:H50" si="34">SUM(C48:C49)</f>
        <v>0</v>
      </c>
      <c r="D50" s="13">
        <f t="shared" si="34"/>
        <v>0</v>
      </c>
      <c r="E50" s="13">
        <f t="shared" si="34"/>
        <v>1</v>
      </c>
      <c r="F50" s="13">
        <f t="shared" si="34"/>
        <v>-1.49438202247191</v>
      </c>
      <c r="G50" s="13">
        <f t="shared" si="34"/>
        <v>2.7320742330513821</v>
      </c>
      <c r="H50" s="8">
        <f t="shared" si="34"/>
        <v>-5.9303474053469012</v>
      </c>
    </row>
    <row r="52" spans="2:11" ht="15">
      <c r="B52" s="25" t="s">
        <v>12</v>
      </c>
      <c r="C52" s="27">
        <f t="shared" ref="C52:I52" si="35">C46</f>
        <v>0</v>
      </c>
      <c r="D52" s="28">
        <f t="shared" si="35"/>
        <v>0</v>
      </c>
      <c r="E52" s="28">
        <f t="shared" si="35"/>
        <v>1</v>
      </c>
      <c r="F52" s="28">
        <f t="shared" si="35"/>
        <v>1</v>
      </c>
      <c r="G52" s="28">
        <f t="shared" si="35"/>
        <v>0.56000000000000005</v>
      </c>
      <c r="H52" s="28">
        <f t="shared" si="35"/>
        <v>-1.44</v>
      </c>
      <c r="I52" s="28">
        <f t="shared" si="35"/>
        <v>-2.88</v>
      </c>
    </row>
    <row r="53" spans="2:11" ht="15">
      <c r="B53" s="41">
        <f>B47-I48/H50</f>
        <v>-1.2022401293664429</v>
      </c>
      <c r="C53" s="5"/>
      <c r="D53" s="6">
        <f t="shared" ref="D53:I53" si="36">$B53*C54</f>
        <v>0</v>
      </c>
      <c r="E53" s="6">
        <f t="shared" si="36"/>
        <v>0</v>
      </c>
      <c r="F53" s="6">
        <f t="shared" si="36"/>
        <v>-1.2022401293664429</v>
      </c>
      <c r="G53" s="6">
        <f t="shared" si="36"/>
        <v>0.24314119929259842</v>
      </c>
      <c r="H53" s="6">
        <f t="shared" si="36"/>
        <v>-0.96556857933705376</v>
      </c>
      <c r="I53" s="6">
        <f t="shared" si="36"/>
        <v>2.8920710800220295</v>
      </c>
      <c r="J53" s="5">
        <f>ABS(B53-B47)</f>
        <v>4.4950881869512127E-2</v>
      </c>
      <c r="K53" s="6">
        <f xml:space="preserve"> ABS(J53/B53)*100</f>
        <v>3.7389270888171371</v>
      </c>
    </row>
    <row r="54" spans="2:11" ht="15.6">
      <c r="B54" s="35"/>
      <c r="C54" s="26">
        <f t="shared" ref="C54:I54" si="37">SUM(C52:C53)</f>
        <v>0</v>
      </c>
      <c r="D54" s="13">
        <f t="shared" si="37"/>
        <v>0</v>
      </c>
      <c r="E54" s="13">
        <f t="shared" si="37"/>
        <v>1</v>
      </c>
      <c r="F54" s="13">
        <f t="shared" si="37"/>
        <v>-0.20224012936644287</v>
      </c>
      <c r="G54" s="13">
        <f t="shared" si="37"/>
        <v>0.80314119929259853</v>
      </c>
      <c r="H54" s="13">
        <f t="shared" si="37"/>
        <v>-2.4055685793370536</v>
      </c>
      <c r="I54" s="14">
        <f t="shared" si="37"/>
        <v>1.2071080022029612E-2</v>
      </c>
    </row>
    <row r="55" spans="2:11" ht="15.6" thickBot="1">
      <c r="B55" s="38"/>
      <c r="C55" s="22"/>
      <c r="D55" s="23">
        <f>$B53*C56</f>
        <v>0</v>
      </c>
      <c r="E55" s="23">
        <f>$B53*D56</f>
        <v>0</v>
      </c>
      <c r="F55" s="23">
        <f>$B53*E56</f>
        <v>-1.2022401293664429</v>
      </c>
      <c r="G55" s="23">
        <f>$B53*F56</f>
        <v>1.6885225279516396</v>
      </c>
      <c r="H55" s="23">
        <f>$B53*G56</f>
        <v>-2.9955781217797859</v>
      </c>
      <c r="I55" s="24"/>
    </row>
    <row r="56" spans="2:11" ht="15.6">
      <c r="C56" s="13">
        <f t="shared" ref="C56:H56" si="38">SUM(C54:C55)</f>
        <v>0</v>
      </c>
      <c r="D56" s="13">
        <f t="shared" si="38"/>
        <v>0</v>
      </c>
      <c r="E56" s="13">
        <f t="shared" si="38"/>
        <v>1</v>
      </c>
      <c r="F56" s="13">
        <f t="shared" si="38"/>
        <v>-1.4044802587328857</v>
      </c>
      <c r="G56" s="13">
        <f t="shared" si="38"/>
        <v>2.4916637272442381</v>
      </c>
      <c r="H56" s="8">
        <f t="shared" si="38"/>
        <v>-5.4011467011168399</v>
      </c>
      <c r="I56" s="15"/>
    </row>
    <row r="58" spans="2:11" ht="15">
      <c r="B58" s="25" t="s">
        <v>13</v>
      </c>
      <c r="C58" s="27">
        <f t="shared" ref="C58:I58" si="39">C52</f>
        <v>0</v>
      </c>
      <c r="D58" s="28">
        <f t="shared" si="39"/>
        <v>0</v>
      </c>
      <c r="E58" s="28">
        <f t="shared" si="39"/>
        <v>1</v>
      </c>
      <c r="F58" s="28">
        <f t="shared" si="39"/>
        <v>1</v>
      </c>
      <c r="G58" s="28">
        <f t="shared" si="39"/>
        <v>0.56000000000000005</v>
      </c>
      <c r="H58" s="28">
        <f t="shared" si="39"/>
        <v>-1.44</v>
      </c>
      <c r="I58" s="28">
        <f t="shared" si="39"/>
        <v>-2.88</v>
      </c>
      <c r="J58" s="15"/>
      <c r="K58" s="15"/>
    </row>
    <row r="59" spans="2:11" ht="15">
      <c r="B59" s="12">
        <f>B53-I54/H56</f>
        <v>-1.2000052187650452</v>
      </c>
      <c r="C59" s="20"/>
      <c r="D59" s="6">
        <f t="shared" ref="D59:I59" si="40">$B59*C60</f>
        <v>0</v>
      </c>
      <c r="E59" s="6">
        <f t="shared" si="40"/>
        <v>0</v>
      </c>
      <c r="F59" s="6">
        <f t="shared" si="40"/>
        <v>-1.2000052187650452</v>
      </c>
      <c r="G59" s="6">
        <f t="shared" si="40"/>
        <v>0.24000730629829875</v>
      </c>
      <c r="H59" s="6">
        <f t="shared" si="40"/>
        <v>-0.96001294260812464</v>
      </c>
      <c r="I59" s="6">
        <f t="shared" si="40"/>
        <v>2.8800280562334026</v>
      </c>
      <c r="J59" s="5">
        <f>ABS(B59-B53)</f>
        <v>2.2349106013976883E-3</v>
      </c>
      <c r="K59" s="6">
        <f xml:space="preserve"> ABS(J59/B59)*100</f>
        <v>0.18624174015657111</v>
      </c>
    </row>
    <row r="60" spans="2:11" ht="15.6">
      <c r="B60" s="35"/>
      <c r="C60" s="26">
        <f t="shared" ref="C60:I60" si="41">SUM(C58:C59)</f>
        <v>0</v>
      </c>
      <c r="D60" s="13">
        <f t="shared" si="41"/>
        <v>0</v>
      </c>
      <c r="E60" s="13">
        <f t="shared" si="41"/>
        <v>1</v>
      </c>
      <c r="F60" s="13">
        <f t="shared" si="41"/>
        <v>-0.20000521876504518</v>
      </c>
      <c r="G60" s="13">
        <f t="shared" si="41"/>
        <v>0.80000730629829886</v>
      </c>
      <c r="H60" s="13">
        <f t="shared" si="41"/>
        <v>-2.4000129426081247</v>
      </c>
      <c r="I60" s="14">
        <f t="shared" si="41"/>
        <v>2.8056233402740105E-5</v>
      </c>
      <c r="J60" s="15"/>
      <c r="K60" s="15"/>
    </row>
    <row r="61" spans="2:11" ht="15.6" thickBot="1">
      <c r="B61" s="38"/>
      <c r="C61" s="22"/>
      <c r="D61" s="23">
        <f>$B59*C62</f>
        <v>0</v>
      </c>
      <c r="E61" s="23">
        <f>$B59*D62</f>
        <v>0</v>
      </c>
      <c r="F61" s="23">
        <f>$B59*E62</f>
        <v>-1.2000052187650452</v>
      </c>
      <c r="G61" s="23">
        <f>$B59*F62</f>
        <v>1.6800198313616428</v>
      </c>
      <c r="H61" s="23">
        <f>$B59*G62</f>
        <v>-2.9760455078708672</v>
      </c>
      <c r="I61" s="24"/>
      <c r="J61" s="15"/>
      <c r="K61" s="15"/>
    </row>
    <row r="62" spans="2:11" ht="15.6">
      <c r="C62" s="13">
        <f t="shared" ref="C62:H62" si="42">SUM(C60:C61)</f>
        <v>0</v>
      </c>
      <c r="D62" s="13">
        <f t="shared" si="42"/>
        <v>0</v>
      </c>
      <c r="E62" s="13">
        <f t="shared" si="42"/>
        <v>1</v>
      </c>
      <c r="F62" s="13">
        <f t="shared" si="42"/>
        <v>-1.4000104375300904</v>
      </c>
      <c r="G62" s="13">
        <f t="shared" si="42"/>
        <v>2.4800271376599419</v>
      </c>
      <c r="H62" s="8">
        <f t="shared" si="42"/>
        <v>-5.3760584504789914</v>
      </c>
      <c r="I62" s="15"/>
      <c r="J62" s="15"/>
      <c r="K62" s="15"/>
    </row>
    <row r="64" spans="2:11" ht="15">
      <c r="B64" s="25" t="s">
        <v>14</v>
      </c>
      <c r="C64" s="27">
        <f t="shared" ref="C64:I64" si="43">C58</f>
        <v>0</v>
      </c>
      <c r="D64" s="28">
        <f t="shared" si="43"/>
        <v>0</v>
      </c>
      <c r="E64" s="28">
        <f t="shared" si="43"/>
        <v>1</v>
      </c>
      <c r="F64" s="28">
        <f t="shared" si="43"/>
        <v>1</v>
      </c>
      <c r="G64" s="28">
        <f t="shared" si="43"/>
        <v>0.56000000000000005</v>
      </c>
      <c r="H64" s="28">
        <f t="shared" si="43"/>
        <v>-1.44</v>
      </c>
      <c r="I64" s="28">
        <f t="shared" si="43"/>
        <v>-2.88</v>
      </c>
      <c r="J64" s="15"/>
      <c r="K64" s="15"/>
    </row>
    <row r="65" spans="2:11" ht="15">
      <c r="B65" s="12">
        <f>B59-I60/H62</f>
        <v>-1.2000000000283702</v>
      </c>
      <c r="C65" s="20"/>
      <c r="D65" s="6">
        <f t="shared" ref="D65:I65" si="44">$B65*C66</f>
        <v>0</v>
      </c>
      <c r="E65" s="6">
        <f t="shared" si="44"/>
        <v>0</v>
      </c>
      <c r="F65" s="6">
        <f t="shared" si="44"/>
        <v>-1.2000000000283702</v>
      </c>
      <c r="G65" s="6">
        <f t="shared" si="44"/>
        <v>0.24000000003971822</v>
      </c>
      <c r="H65" s="6">
        <f t="shared" si="44"/>
        <v>-0.96000000007035802</v>
      </c>
      <c r="I65" s="6">
        <f t="shared" si="44"/>
        <v>2.8800000001525179</v>
      </c>
      <c r="J65" s="5">
        <f>ABS(B65-B59)</f>
        <v>5.218736675027813E-6</v>
      </c>
      <c r="K65" s="6">
        <f xml:space="preserve"> ABS(J65/B65)*100</f>
        <v>4.3489472290870275E-4</v>
      </c>
    </row>
    <row r="66" spans="2:11" ht="15.6">
      <c r="B66" s="35"/>
      <c r="C66" s="26">
        <f t="shared" ref="C66:I66" si="45">SUM(C64:C65)</f>
        <v>0</v>
      </c>
      <c r="D66" s="13">
        <f t="shared" si="45"/>
        <v>0</v>
      </c>
      <c r="E66" s="13">
        <f t="shared" si="45"/>
        <v>1</v>
      </c>
      <c r="F66" s="13">
        <f t="shared" si="45"/>
        <v>-0.20000000002837015</v>
      </c>
      <c r="G66" s="13">
        <f t="shared" si="45"/>
        <v>0.80000000003971827</v>
      </c>
      <c r="H66" s="13">
        <f t="shared" si="45"/>
        <v>-2.4000000000703579</v>
      </c>
      <c r="I66" s="14">
        <f t="shared" si="45"/>
        <v>1.525179982309055E-10</v>
      </c>
      <c r="J66" s="15"/>
      <c r="K66" s="15"/>
    </row>
    <row r="67" spans="2:11" ht="15.6" thickBot="1">
      <c r="B67" s="38"/>
      <c r="C67" s="22"/>
      <c r="D67" s="23">
        <f>$B65*C68</f>
        <v>0</v>
      </c>
      <c r="E67" s="23">
        <f>$B65*D68</f>
        <v>0</v>
      </c>
      <c r="F67" s="23">
        <f>$B65*E68</f>
        <v>-1.2000000000283702</v>
      </c>
      <c r="G67" s="23">
        <f>$B65*F68</f>
        <v>1.6800000001078066</v>
      </c>
      <c r="H67" s="23">
        <f>$B65*G68</f>
        <v>-2.9760000002473879</v>
      </c>
      <c r="I67" s="24"/>
      <c r="J67" s="15"/>
      <c r="K67" s="15"/>
    </row>
    <row r="68" spans="2:11" ht="15.6">
      <c r="C68" s="13">
        <f t="shared" ref="C68:H68" si="46">SUM(C66:C67)</f>
        <v>0</v>
      </c>
      <c r="D68" s="13">
        <f t="shared" si="46"/>
        <v>0</v>
      </c>
      <c r="E68" s="13">
        <f t="shared" si="46"/>
        <v>1</v>
      </c>
      <c r="F68" s="13">
        <f t="shared" si="46"/>
        <v>-1.4000000000567403</v>
      </c>
      <c r="G68" s="13">
        <f t="shared" si="46"/>
        <v>2.4800000001475251</v>
      </c>
      <c r="H68" s="8">
        <f t="shared" si="46"/>
        <v>-5.3760000003177453</v>
      </c>
      <c r="I68" s="15"/>
      <c r="J68" s="15"/>
      <c r="K68" s="15"/>
    </row>
    <row r="70" spans="2:11" ht="15">
      <c r="B70" s="25" t="s">
        <v>15</v>
      </c>
      <c r="C70" s="27">
        <f t="shared" ref="C70:I70" si="47">C64</f>
        <v>0</v>
      </c>
      <c r="D70" s="28">
        <f t="shared" si="47"/>
        <v>0</v>
      </c>
      <c r="E70" s="28">
        <f t="shared" si="47"/>
        <v>1</v>
      </c>
      <c r="F70" s="28">
        <f t="shared" si="47"/>
        <v>1</v>
      </c>
      <c r="G70" s="28">
        <f t="shared" si="47"/>
        <v>0.56000000000000005</v>
      </c>
      <c r="H70" s="28">
        <f t="shared" si="47"/>
        <v>-1.44</v>
      </c>
      <c r="I70" s="28">
        <f t="shared" si="47"/>
        <v>-2.88</v>
      </c>
      <c r="J70" s="15"/>
      <c r="K70" s="15"/>
    </row>
    <row r="71" spans="2:11" ht="15">
      <c r="B71" s="12">
        <f>B65-I66/H68</f>
        <v>-1.2</v>
      </c>
      <c r="C71" s="20"/>
      <c r="D71" s="6">
        <f t="shared" ref="D71:I71" si="48">$B71*C72</f>
        <v>0</v>
      </c>
      <c r="E71" s="6">
        <f t="shared" si="48"/>
        <v>0</v>
      </c>
      <c r="F71" s="6">
        <f t="shared" si="48"/>
        <v>-1.2</v>
      </c>
      <c r="G71" s="6">
        <f t="shared" si="48"/>
        <v>0.23999999999999994</v>
      </c>
      <c r="H71" s="6">
        <f t="shared" si="48"/>
        <v>-0.96</v>
      </c>
      <c r="I71" s="6">
        <f t="shared" si="48"/>
        <v>2.88</v>
      </c>
      <c r="J71" s="5">
        <f>ABS(B71-B65)</f>
        <v>2.83701950820614E-11</v>
      </c>
      <c r="K71" s="6">
        <f xml:space="preserve"> ABS(J71/B71)*100</f>
        <v>2.3641829235051168E-9</v>
      </c>
    </row>
    <row r="72" spans="2:11" ht="15.6">
      <c r="B72" s="35"/>
      <c r="C72" s="26">
        <f t="shared" ref="C72:I72" si="49">SUM(C70:C71)</f>
        <v>0</v>
      </c>
      <c r="D72" s="13">
        <f t="shared" si="49"/>
        <v>0</v>
      </c>
      <c r="E72" s="13">
        <f t="shared" si="49"/>
        <v>1</v>
      </c>
      <c r="F72" s="13">
        <f t="shared" si="49"/>
        <v>-0.19999999999999996</v>
      </c>
      <c r="G72" s="13">
        <f t="shared" si="49"/>
        <v>0.8</v>
      </c>
      <c r="H72" s="13">
        <f t="shared" si="49"/>
        <v>-2.4</v>
      </c>
      <c r="I72" s="14">
        <f t="shared" si="49"/>
        <v>0</v>
      </c>
      <c r="J72" s="15"/>
      <c r="K72" s="15"/>
    </row>
    <row r="73" spans="2:11" ht="15.6" thickBot="1">
      <c r="B73" s="38"/>
      <c r="C73" s="22"/>
      <c r="D73" s="23">
        <f>$B71*C74</f>
        <v>0</v>
      </c>
      <c r="E73" s="23">
        <f>$B71*D74</f>
        <v>0</v>
      </c>
      <c r="F73" s="23">
        <f>$B71*E74</f>
        <v>-1.2</v>
      </c>
      <c r="G73" s="23">
        <f>$B71*F74</f>
        <v>1.68</v>
      </c>
      <c r="H73" s="23">
        <f>$B71*G74</f>
        <v>-2.976</v>
      </c>
      <c r="I73" s="24"/>
      <c r="J73" s="15"/>
      <c r="K73" s="15"/>
    </row>
    <row r="74" spans="2:11" ht="15.6">
      <c r="C74" s="13">
        <f t="shared" ref="C74:H74" si="50">SUM(C72:C73)</f>
        <v>0</v>
      </c>
      <c r="D74" s="13">
        <f t="shared" si="50"/>
        <v>0</v>
      </c>
      <c r="E74" s="13">
        <f t="shared" si="50"/>
        <v>1</v>
      </c>
      <c r="F74" s="13">
        <f t="shared" si="50"/>
        <v>-1.4</v>
      </c>
      <c r="G74" s="13">
        <f t="shared" si="50"/>
        <v>2.48</v>
      </c>
      <c r="H74" s="8">
        <f t="shared" si="50"/>
        <v>-5.3759999999999994</v>
      </c>
      <c r="I74" s="15"/>
      <c r="J74" s="15"/>
      <c r="K74" s="15"/>
    </row>
  </sheetData>
  <conditionalFormatting sqref="B9">
    <cfRule type="expression" dxfId="51" priority="10">
      <formula xml:space="preserve"> K9 &lt; $K$1</formula>
    </cfRule>
  </conditionalFormatting>
  <conditionalFormatting sqref="B15">
    <cfRule type="expression" dxfId="50" priority="9">
      <formula>K15&lt;$K$1</formula>
    </cfRule>
  </conditionalFormatting>
  <conditionalFormatting sqref="B21">
    <cfRule type="expression" dxfId="49" priority="8">
      <formula>K21&lt;$K$1</formula>
    </cfRule>
  </conditionalFormatting>
  <conditionalFormatting sqref="B27">
    <cfRule type="expression" dxfId="48" priority="7">
      <formula>K27&lt;$K$1</formula>
    </cfRule>
  </conditionalFormatting>
  <conditionalFormatting sqref="B33">
    <cfRule type="expression" dxfId="47" priority="1">
      <formula>K33&lt;$K$1</formula>
    </cfRule>
  </conditionalFormatting>
  <conditionalFormatting sqref="B47">
    <cfRule type="expression" dxfId="46" priority="6">
      <formula xml:space="preserve"> K47 &lt; $K$1</formula>
    </cfRule>
  </conditionalFormatting>
  <conditionalFormatting sqref="B53">
    <cfRule type="expression" dxfId="45" priority="5">
      <formula>K53&lt;$K$1</formula>
    </cfRule>
  </conditionalFormatting>
  <conditionalFormatting sqref="B59">
    <cfRule type="expression" dxfId="44" priority="4">
      <formula>K59&lt;$K$1</formula>
    </cfRule>
  </conditionalFormatting>
  <conditionalFormatting sqref="B65">
    <cfRule type="expression" dxfId="43" priority="3">
      <formula>K65&lt;$K$1</formula>
    </cfRule>
  </conditionalFormatting>
  <conditionalFormatting sqref="B71">
    <cfRule type="expression" dxfId="42" priority="2">
      <formula>K71&lt;$K$1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ABD4B-3373-434C-B7E7-5F99FECAB239}">
  <dimension ref="A1:P51"/>
  <sheetViews>
    <sheetView workbookViewId="0">
      <selection activeCell="H25" sqref="H25"/>
    </sheetView>
  </sheetViews>
  <sheetFormatPr defaultColWidth="11.42578125" defaultRowHeight="14.45"/>
  <cols>
    <col min="1" max="1" width="7.7109375" bestFit="1" customWidth="1"/>
    <col min="2" max="2" width="10" bestFit="1" customWidth="1"/>
    <col min="3" max="7" width="9.140625" bestFit="1" customWidth="1"/>
    <col min="8" max="9" width="10" bestFit="1" customWidth="1"/>
    <col min="10" max="10" width="9.42578125" bestFit="1" customWidth="1"/>
    <col min="11" max="11" width="9.5703125" bestFit="1" customWidth="1"/>
    <col min="12" max="12" width="11.28515625" bestFit="1" customWidth="1"/>
    <col min="13" max="13" width="15.140625" bestFit="1" customWidth="1"/>
    <col min="14" max="14" width="2.5703125" bestFit="1" customWidth="1"/>
    <col min="15" max="15" width="9.5703125" bestFit="1" customWidth="1"/>
    <col min="16" max="16" width="1.5703125" bestFit="1" customWidth="1"/>
  </cols>
  <sheetData>
    <row r="1" spans="1:16" ht="15.6">
      <c r="A1" s="46" t="s">
        <v>17</v>
      </c>
      <c r="B1" s="47"/>
      <c r="C1" s="48" t="s">
        <v>1</v>
      </c>
      <c r="D1" s="49" t="s">
        <v>2</v>
      </c>
      <c r="E1" s="49" t="s">
        <v>3</v>
      </c>
      <c r="F1" s="49" t="s">
        <v>4</v>
      </c>
      <c r="G1" s="49" t="s">
        <v>5</v>
      </c>
      <c r="H1" s="49" t="s">
        <v>6</v>
      </c>
      <c r="I1" s="49" t="s">
        <v>7</v>
      </c>
      <c r="J1" s="50" t="s">
        <v>9</v>
      </c>
      <c r="K1" s="51" t="s">
        <v>10</v>
      </c>
      <c r="L1" s="91"/>
      <c r="M1" s="91"/>
      <c r="N1" s="91"/>
      <c r="O1" s="91"/>
      <c r="P1" s="91"/>
    </row>
    <row r="2" spans="1:16" ht="15.6">
      <c r="A2" s="47"/>
      <c r="B2" s="53" t="s">
        <v>18</v>
      </c>
      <c r="C2" s="92">
        <v>0</v>
      </c>
      <c r="D2" s="93">
        <v>0</v>
      </c>
      <c r="E2" s="57">
        <v>1</v>
      </c>
      <c r="F2" s="57">
        <v>1</v>
      </c>
      <c r="G2" s="57">
        <v>0.56000000000000005</v>
      </c>
      <c r="H2" s="57">
        <v>-1.44</v>
      </c>
      <c r="I2" s="57">
        <v>-2.88</v>
      </c>
      <c r="J2" s="94"/>
      <c r="K2" s="95">
        <v>0.1</v>
      </c>
      <c r="L2" s="47"/>
      <c r="M2" s="47"/>
      <c r="N2" s="91"/>
      <c r="O2" s="91"/>
      <c r="P2" s="91"/>
    </row>
    <row r="3" spans="1:16" ht="15.6">
      <c r="A3" s="48" t="s">
        <v>19</v>
      </c>
      <c r="B3" s="90">
        <v>-2.8370477598339978E-6</v>
      </c>
      <c r="C3" s="47"/>
      <c r="D3" s="49">
        <f t="shared" ref="D3:I3" si="0">$B3*C5</f>
        <v>0</v>
      </c>
      <c r="E3" s="96">
        <f t="shared" si="0"/>
        <v>0</v>
      </c>
      <c r="F3" s="96">
        <f t="shared" si="0"/>
        <v>-2.8370477598339978E-6</v>
      </c>
      <c r="G3" s="96">
        <f t="shared" si="0"/>
        <v>-2.8370397109940062E-6</v>
      </c>
      <c r="H3" s="96">
        <f t="shared" si="0"/>
        <v>-5.6740449326877503E-6</v>
      </c>
      <c r="I3" s="96">
        <f t="shared" si="0"/>
        <v>7.0225908458851124E-11</v>
      </c>
      <c r="J3" s="47"/>
      <c r="K3" s="47"/>
      <c r="L3" s="49" t="s">
        <v>20</v>
      </c>
      <c r="M3" s="64">
        <f>B3^2+4*B4</f>
        <v>5.7599400247567463</v>
      </c>
      <c r="N3" s="91"/>
      <c r="O3" s="91"/>
      <c r="P3" s="91"/>
    </row>
    <row r="4" spans="1:16" ht="16.149999999999999" thickBot="1">
      <c r="A4" s="48" t="s">
        <v>21</v>
      </c>
      <c r="B4" s="74">
        <v>1.4399850061871744</v>
      </c>
      <c r="C4" s="97"/>
      <c r="D4" s="97"/>
      <c r="E4" s="98">
        <f>$B4*C5</f>
        <v>0</v>
      </c>
      <c r="F4" s="98">
        <f>$B4*D5</f>
        <v>0</v>
      </c>
      <c r="G4" s="98">
        <f>$B4*E5</f>
        <v>1.4399850061871744</v>
      </c>
      <c r="H4" s="98">
        <f>$B4*F5</f>
        <v>1.4399809208809384</v>
      </c>
      <c r="I4" s="98">
        <f>$B4*G5</f>
        <v>2.8799443362140482</v>
      </c>
      <c r="J4" s="47"/>
      <c r="K4" s="47"/>
      <c r="L4" s="49" t="s">
        <v>22</v>
      </c>
      <c r="M4" s="49">
        <f>IF(M3&lt;0,B3/2,(B3+SQRT(M3))/2)</f>
        <v>1.1999923340386851</v>
      </c>
      <c r="N4" s="47" t="str">
        <f>IF(M3&lt;0,"+","")</f>
        <v/>
      </c>
      <c r="O4" s="47" t="str">
        <f>IF(M3&lt;0,SQRT(ABS(M3))/2,"")</f>
        <v/>
      </c>
      <c r="P4" s="47" t="str">
        <f>IF(M3&lt;0,"i","")</f>
        <v/>
      </c>
    </row>
    <row r="5" spans="1:16" ht="15.6">
      <c r="A5" s="48" t="s">
        <v>23</v>
      </c>
      <c r="B5" s="67">
        <f>SQRT(SUMSQ(B3:B4))</f>
        <v>1.4399850061899691</v>
      </c>
      <c r="C5" s="99">
        <f t="shared" ref="C5:I5" si="1">SUM(C2:C4)</f>
        <v>0</v>
      </c>
      <c r="D5" s="67">
        <f t="shared" si="1"/>
        <v>0</v>
      </c>
      <c r="E5" s="99">
        <f t="shared" si="1"/>
        <v>1</v>
      </c>
      <c r="F5" s="67">
        <f t="shared" si="1"/>
        <v>0.99999716295224017</v>
      </c>
      <c r="G5" s="67">
        <f t="shared" si="1"/>
        <v>1.9999821691474633</v>
      </c>
      <c r="H5" s="100">
        <f t="shared" si="1"/>
        <v>-2.4753163994306604E-5</v>
      </c>
      <c r="I5" s="100">
        <f t="shared" si="1"/>
        <v>-5.5663715725629004E-5</v>
      </c>
      <c r="J5" s="47"/>
      <c r="K5" s="47"/>
      <c r="L5" s="49" t="s">
        <v>24</v>
      </c>
      <c r="M5" s="49">
        <f>IF(M3&lt;0,M4,(B3-SQRT(M3))/2)</f>
        <v>-1.1999951710864449</v>
      </c>
      <c r="N5" s="101" t="str">
        <f>IF(M3&lt;0,"+","")</f>
        <v/>
      </c>
      <c r="O5" s="47" t="str">
        <f>IF(M3&lt;0,-O4,"")</f>
        <v/>
      </c>
      <c r="P5" s="101"/>
    </row>
    <row r="6" spans="1:16" ht="15.6">
      <c r="A6" s="47"/>
      <c r="B6" s="47"/>
      <c r="C6" s="47"/>
      <c r="D6" s="47"/>
      <c r="E6" s="47"/>
      <c r="F6" s="47"/>
      <c r="G6" s="47"/>
      <c r="H6" s="47"/>
      <c r="I6" s="47"/>
      <c r="J6" s="47" t="s">
        <v>40</v>
      </c>
      <c r="K6" s="47"/>
      <c r="L6" s="91"/>
      <c r="M6" s="91"/>
      <c r="N6" s="91"/>
      <c r="O6" s="91"/>
      <c r="P6" s="91"/>
    </row>
    <row r="7" spans="1:16" ht="15.6">
      <c r="A7" s="47"/>
      <c r="B7" s="53" t="s">
        <v>26</v>
      </c>
      <c r="C7" s="102">
        <f t="shared" ref="C7:I7" si="2">C2</f>
        <v>0</v>
      </c>
      <c r="D7" s="93">
        <f t="shared" si="2"/>
        <v>0</v>
      </c>
      <c r="E7" s="93">
        <f t="shared" si="2"/>
        <v>1</v>
      </c>
      <c r="F7" s="93">
        <f t="shared" si="2"/>
        <v>1</v>
      </c>
      <c r="G7" s="93">
        <f t="shared" si="2"/>
        <v>0.56000000000000005</v>
      </c>
      <c r="H7" s="93">
        <f t="shared" si="2"/>
        <v>-1.44</v>
      </c>
      <c r="I7" s="93">
        <f t="shared" si="2"/>
        <v>-2.88</v>
      </c>
      <c r="J7" s="47"/>
      <c r="K7" s="47"/>
      <c r="L7" s="47"/>
      <c r="M7" s="49" t="s">
        <v>27</v>
      </c>
      <c r="N7" s="91"/>
      <c r="O7" s="91"/>
      <c r="P7" s="91"/>
    </row>
    <row r="8" spans="1:16" ht="15.6">
      <c r="A8" s="48" t="s">
        <v>28</v>
      </c>
      <c r="B8" s="74">
        <f>-(H2+B9*F5)/G5</f>
        <v>-4.3765105627334631E-6</v>
      </c>
      <c r="C8" s="47"/>
      <c r="D8" s="49">
        <f t="shared" ref="D8:I8" si="3">$B8*C10</f>
        <v>0</v>
      </c>
      <c r="E8" s="49">
        <f t="shared" si="3"/>
        <v>0</v>
      </c>
      <c r="F8" s="49">
        <f t="shared" si="3"/>
        <v>-4.3765105627334631E-6</v>
      </c>
      <c r="G8" s="49">
        <f t="shared" si="3"/>
        <v>-4.3764914088887575E-6</v>
      </c>
      <c r="H8" s="49">
        <f t="shared" si="3"/>
        <v>-8.7530581587853971E-6</v>
      </c>
      <c r="I8" s="49">
        <f t="shared" si="3"/>
        <v>9.702554417787686E-12</v>
      </c>
      <c r="J8" s="47"/>
      <c r="K8" s="47"/>
      <c r="L8" s="49" t="s">
        <v>20</v>
      </c>
      <c r="M8" s="64">
        <f>B8^2+4*B9</f>
        <v>5.7600513533322957</v>
      </c>
      <c r="N8" s="91"/>
      <c r="O8" s="91"/>
      <c r="P8" s="91"/>
    </row>
    <row r="9" spans="1:16" ht="16.149999999999999" thickBot="1">
      <c r="A9" s="48" t="s">
        <v>29</v>
      </c>
      <c r="B9" s="75">
        <f>-I2/G5</f>
        <v>1.4400128383282855</v>
      </c>
      <c r="C9" s="103"/>
      <c r="D9" s="97"/>
      <c r="E9" s="98">
        <f>$B9*C10</f>
        <v>0</v>
      </c>
      <c r="F9" s="98">
        <f>$B9*D10</f>
        <v>0</v>
      </c>
      <c r="G9" s="98">
        <f>$B9*E10</f>
        <v>1.4400128383282855</v>
      </c>
      <c r="H9" s="98">
        <f>$B9*F10</f>
        <v>1.4400065360968881</v>
      </c>
      <c r="I9" s="98">
        <f>$B9*G10</f>
        <v>2.8800378618103091</v>
      </c>
      <c r="J9" s="47"/>
      <c r="K9" s="47"/>
      <c r="L9" s="49" t="s">
        <v>22</v>
      </c>
      <c r="M9" s="48">
        <f>IF(M8&lt;0,B8/2,(B8+SQRT(M8))/2)</f>
        <v>1.2000031610382431</v>
      </c>
      <c r="N9" s="49" t="s">
        <v>30</v>
      </c>
      <c r="O9" s="61" t="str">
        <f>IF(M8&lt;0,SQRT(ABS(M8))/2,"")</f>
        <v/>
      </c>
      <c r="P9" s="49" t="str">
        <f>IF(M8&lt;0,"i","")</f>
        <v/>
      </c>
    </row>
    <row r="10" spans="1:16" ht="15.6">
      <c r="A10" s="49" t="s">
        <v>23</v>
      </c>
      <c r="B10" s="67">
        <f>SQRT(SUMSQ(B8:B9))</f>
        <v>1.4400128383349362</v>
      </c>
      <c r="C10" s="67">
        <f t="shared" ref="C10:I10" si="4">SUM(C7:C9)</f>
        <v>0</v>
      </c>
      <c r="D10" s="67">
        <f t="shared" si="4"/>
        <v>0</v>
      </c>
      <c r="E10" s="67">
        <f t="shared" si="4"/>
        <v>1</v>
      </c>
      <c r="F10" s="67">
        <f t="shared" si="4"/>
        <v>0.99999562348943727</v>
      </c>
      <c r="G10" s="67">
        <f t="shared" si="4"/>
        <v>2.0000084618368765</v>
      </c>
      <c r="H10" s="100">
        <f t="shared" si="4"/>
        <v>-2.2169612705624786E-6</v>
      </c>
      <c r="I10" s="100">
        <f t="shared" si="4"/>
        <v>3.7861820011642067E-5</v>
      </c>
      <c r="J10" s="49">
        <f>ABS(B10-B5)</f>
        <v>2.7832144967154804E-5</v>
      </c>
      <c r="K10" s="48">
        <f>ABS(J10/B10)*100</f>
        <v>1.9327706133048556E-3</v>
      </c>
      <c r="L10" s="49" t="s">
        <v>24</v>
      </c>
      <c r="M10" s="48">
        <f>IF(M8&lt;0,M9,(B8-SQRT(M8))/2)</f>
        <v>-1.200007537548806</v>
      </c>
      <c r="N10" s="104" t="s">
        <v>30</v>
      </c>
      <c r="O10" s="49" t="str">
        <f>IF(M8&lt;0,-O9,"")</f>
        <v/>
      </c>
      <c r="P10" s="104" t="s">
        <v>25</v>
      </c>
    </row>
    <row r="11" spans="1:16" ht="15.6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91"/>
      <c r="M11" s="91"/>
      <c r="N11" s="91"/>
      <c r="O11" s="91"/>
      <c r="P11" s="91"/>
    </row>
    <row r="12" spans="1:16" ht="15.6">
      <c r="A12" s="47"/>
      <c r="B12" s="53" t="s">
        <v>31</v>
      </c>
      <c r="C12" s="92">
        <f t="shared" ref="C12:I12" si="5">C7</f>
        <v>0</v>
      </c>
      <c r="D12" s="75">
        <f t="shared" si="5"/>
        <v>0</v>
      </c>
      <c r="E12" s="93">
        <f t="shared" si="5"/>
        <v>1</v>
      </c>
      <c r="F12" s="93">
        <f t="shared" si="5"/>
        <v>1</v>
      </c>
      <c r="G12" s="93">
        <f t="shared" si="5"/>
        <v>0.56000000000000005</v>
      </c>
      <c r="H12" s="93">
        <f t="shared" si="5"/>
        <v>-1.44</v>
      </c>
      <c r="I12" s="93">
        <f t="shared" si="5"/>
        <v>-2.88</v>
      </c>
      <c r="J12" s="47"/>
      <c r="K12" s="47"/>
      <c r="L12" s="91"/>
      <c r="M12" s="91"/>
      <c r="N12" s="91"/>
      <c r="O12" s="91"/>
      <c r="P12" s="91"/>
    </row>
    <row r="13" spans="1:16" ht="15.6">
      <c r="A13" s="48" t="s">
        <v>19</v>
      </c>
      <c r="B13" s="80">
        <f>-(H7+B14*F10)/G10</f>
        <v>6.1972964400171767E-6</v>
      </c>
      <c r="C13" s="47"/>
      <c r="D13" s="48">
        <f t="shared" ref="D13:I13" si="6">$B13*C15</f>
        <v>0</v>
      </c>
      <c r="E13" s="49">
        <f t="shared" si="6"/>
        <v>0</v>
      </c>
      <c r="F13" s="49">
        <f t="shared" si="6"/>
        <v>6.1972964400171767E-6</v>
      </c>
      <c r="G13" s="49">
        <f t="shared" si="6"/>
        <v>6.1973348465003419E-6</v>
      </c>
      <c r="H13" s="49">
        <f t="shared" si="6"/>
        <v>1.2394593529746966E-5</v>
      </c>
      <c r="I13" s="49">
        <f t="shared" si="6"/>
        <v>9.4361063554453979E-11</v>
      </c>
      <c r="J13" s="47"/>
      <c r="K13" s="47"/>
      <c r="L13" s="49" t="s">
        <v>20</v>
      </c>
      <c r="M13" s="64">
        <f>B13^2+4*B14</f>
        <v>5.7599756300513096</v>
      </c>
      <c r="N13" s="91"/>
      <c r="O13" s="91"/>
      <c r="P13" s="91"/>
    </row>
    <row r="14" spans="1:16" ht="16.149999999999999" thickBot="1">
      <c r="A14" s="48" t="s">
        <v>21</v>
      </c>
      <c r="B14" s="75">
        <f>-I7/G10</f>
        <v>1.4399939075032258</v>
      </c>
      <c r="C14" s="103"/>
      <c r="D14" s="97"/>
      <c r="E14" s="98">
        <f>$B14*C15</f>
        <v>0</v>
      </c>
      <c r="F14" s="98">
        <f>$B14*D15</f>
        <v>0</v>
      </c>
      <c r="G14" s="98">
        <f>$B14*E15</f>
        <v>1.4399939075032258</v>
      </c>
      <c r="H14" s="98">
        <f>$B14*F15</f>
        <v>1.4400028315723423</v>
      </c>
      <c r="I14" s="98">
        <f>$B14*G15</f>
        <v>2.8799879659726373</v>
      </c>
      <c r="J14" s="47"/>
      <c r="K14" s="47"/>
      <c r="L14" s="49" t="s">
        <v>22</v>
      </c>
      <c r="M14" s="48">
        <f>IF(M13&lt;0,B13/2,(B13+SQRT(M13))/2)</f>
        <v>1.200000560109213</v>
      </c>
      <c r="N14" s="49" t="s">
        <v>30</v>
      </c>
      <c r="O14" s="49" t="str">
        <f>IF(M13&lt;0,SQRT(ABS(M13))/2,"")</f>
        <v/>
      </c>
      <c r="P14" s="49" t="str">
        <f>IF(M13&lt;0,"i","")</f>
        <v/>
      </c>
    </row>
    <row r="15" spans="1:16" ht="15.6">
      <c r="A15" s="48" t="s">
        <v>23</v>
      </c>
      <c r="B15" s="67">
        <f>SQRT(SUMSQ(B13:B14))</f>
        <v>1.4399939075165613</v>
      </c>
      <c r="C15" s="67">
        <f t="shared" ref="C15:I15" si="7">SUM(C12:C14)</f>
        <v>0</v>
      </c>
      <c r="D15" s="84">
        <f t="shared" si="7"/>
        <v>0</v>
      </c>
      <c r="E15" s="67">
        <f t="shared" si="7"/>
        <v>1</v>
      </c>
      <c r="F15" s="67">
        <f t="shared" si="7"/>
        <v>1.00000619729644</v>
      </c>
      <c r="G15" s="67">
        <f t="shared" si="7"/>
        <v>2.0000001048380724</v>
      </c>
      <c r="H15" s="100">
        <f t="shared" si="7"/>
        <v>1.5226165872128661E-5</v>
      </c>
      <c r="I15" s="100">
        <f t="shared" si="7"/>
        <v>-1.2033933001642794E-5</v>
      </c>
      <c r="J15" s="105">
        <f>ABS(B15-B10)</f>
        <v>1.8930818374895964E-5</v>
      </c>
      <c r="K15" s="48">
        <f>ABS(J15/B15)*100</f>
        <v>1.3146457270464696E-3</v>
      </c>
      <c r="L15" s="49" t="s">
        <v>24</v>
      </c>
      <c r="M15" s="48">
        <f>IF(M13&lt;0,M14,(B13-SQRT(M13))/2)</f>
        <v>-1.1999943628127729</v>
      </c>
      <c r="N15" s="104" t="s">
        <v>30</v>
      </c>
      <c r="O15" s="49" t="str">
        <f>IF(M13&lt;0,-O14,"")</f>
        <v/>
      </c>
      <c r="P15" s="104" t="s">
        <v>25</v>
      </c>
    </row>
    <row r="16" spans="1:16" ht="15.6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91"/>
      <c r="M16" s="91"/>
      <c r="N16" s="91"/>
      <c r="O16" s="91"/>
      <c r="P16" s="91"/>
    </row>
    <row r="17" spans="1:16" ht="15.6">
      <c r="A17" s="47"/>
      <c r="B17" s="53" t="s">
        <v>32</v>
      </c>
      <c r="C17" s="92">
        <f t="shared" ref="C17:I17" si="8">C12</f>
        <v>0</v>
      </c>
      <c r="D17" s="106">
        <f t="shared" si="8"/>
        <v>0</v>
      </c>
      <c r="E17" s="106">
        <f t="shared" si="8"/>
        <v>1</v>
      </c>
      <c r="F17" s="106">
        <f t="shared" si="8"/>
        <v>1</v>
      </c>
      <c r="G17" s="106">
        <f t="shared" si="8"/>
        <v>0.56000000000000005</v>
      </c>
      <c r="H17" s="106">
        <f t="shared" si="8"/>
        <v>-1.44</v>
      </c>
      <c r="I17" s="106">
        <f t="shared" si="8"/>
        <v>-2.88</v>
      </c>
      <c r="J17" s="47"/>
      <c r="K17" s="47"/>
      <c r="L17" s="91"/>
      <c r="M17" s="91"/>
      <c r="N17" s="91"/>
      <c r="O17" s="91"/>
      <c r="P17" s="91"/>
    </row>
    <row r="18" spans="1:16" ht="15.6">
      <c r="A18" s="47" t="s">
        <v>28</v>
      </c>
      <c r="B18" s="74">
        <f>-(H12+B19*F15)/G15</f>
        <v>-4.4243112669114703E-6</v>
      </c>
      <c r="C18" s="47"/>
      <c r="D18" s="49">
        <f t="shared" ref="D18:I18" si="9">$B18*C20</f>
        <v>0</v>
      </c>
      <c r="E18" s="96">
        <f t="shared" si="9"/>
        <v>0</v>
      </c>
      <c r="F18" s="96">
        <f t="shared" si="9"/>
        <v>-4.4243112669114703E-6</v>
      </c>
      <c r="G18" s="96">
        <f t="shared" si="9"/>
        <v>-4.4242916923812835E-6</v>
      </c>
      <c r="H18" s="96">
        <f t="shared" si="9"/>
        <v>-8.8486026254172653E-6</v>
      </c>
      <c r="I18" s="96">
        <f t="shared" si="9"/>
        <v>6.7670256376694358E-11</v>
      </c>
      <c r="J18" s="47"/>
      <c r="K18" s="47"/>
      <c r="L18" s="49" t="s">
        <v>20</v>
      </c>
      <c r="M18" s="64">
        <f>B18^2+4*B19</f>
        <v>5.7599996980859416</v>
      </c>
      <c r="N18" s="91"/>
      <c r="O18" s="91"/>
      <c r="P18" s="91"/>
    </row>
    <row r="19" spans="1:16" ht="16.149999999999999" thickBot="1">
      <c r="A19" s="47" t="s">
        <v>29</v>
      </c>
      <c r="B19" s="75">
        <f>-I12/G15</f>
        <v>1.4399999245165918</v>
      </c>
      <c r="C19" s="103"/>
      <c r="D19" s="97"/>
      <c r="E19" s="98">
        <f>$B19*C20</f>
        <v>0</v>
      </c>
      <c r="F19" s="98">
        <f>$B19*D20</f>
        <v>0</v>
      </c>
      <c r="G19" s="98">
        <f>$B19*E20</f>
        <v>1.4399999245165918</v>
      </c>
      <c r="H19" s="98">
        <f>$B19*F20</f>
        <v>1.4399935535087014</v>
      </c>
      <c r="I19" s="98">
        <f>$B19*G20</f>
        <v>2.8799933693573783</v>
      </c>
      <c r="J19" s="47"/>
      <c r="K19" s="47"/>
      <c r="L19" s="49" t="s">
        <v>22</v>
      </c>
      <c r="M19" s="48">
        <f>IF(M18&lt;0,B18/2,(B18+SQRT(M18))/2)</f>
        <v>1.1999977563949848</v>
      </c>
      <c r="N19" s="49" t="s">
        <v>30</v>
      </c>
      <c r="O19" s="49" t="str">
        <f>IF(M18&lt;0,SQRT(ABS(M18))/2,"")</f>
        <v/>
      </c>
      <c r="P19" s="49" t="str">
        <f>IF(M18&lt;0,"i","")</f>
        <v/>
      </c>
    </row>
    <row r="20" spans="1:16" ht="15.6">
      <c r="A20" s="47" t="s">
        <v>23</v>
      </c>
      <c r="B20" s="84">
        <f>SQRT(SUMSQ(B18:B19))</f>
        <v>1.4399999245233885</v>
      </c>
      <c r="C20" s="67">
        <f t="shared" ref="C20:I20" si="10">SUM(C17:C19)</f>
        <v>0</v>
      </c>
      <c r="D20" s="67">
        <f t="shared" si="10"/>
        <v>0</v>
      </c>
      <c r="E20" s="99">
        <f t="shared" si="10"/>
        <v>1</v>
      </c>
      <c r="F20" s="67">
        <f t="shared" si="10"/>
        <v>0.9999955756887331</v>
      </c>
      <c r="G20" s="67">
        <f t="shared" si="10"/>
        <v>1.9999955002248995</v>
      </c>
      <c r="H20" s="100">
        <f t="shared" si="10"/>
        <v>-1.5295093924061476E-5</v>
      </c>
      <c r="I20" s="107">
        <f t="shared" si="10"/>
        <v>-6.6305749513162482E-6</v>
      </c>
      <c r="J20" s="49">
        <f>ABS(B20-B15)</f>
        <v>6.0170068272302757E-6</v>
      </c>
      <c r="K20" s="49">
        <f>ABS(J20/B20)*100</f>
        <v>4.178477182366371E-4</v>
      </c>
      <c r="L20" s="105" t="s">
        <v>24</v>
      </c>
      <c r="M20" s="48">
        <f>IF(M18&lt;0,M19,(B18-SQRT(M18))/2)</f>
        <v>-1.200002180706252</v>
      </c>
      <c r="N20" s="104" t="s">
        <v>30</v>
      </c>
      <c r="O20" s="49" t="str">
        <f>IF(M18&lt;0,-O19,"")</f>
        <v/>
      </c>
      <c r="P20" s="104" t="s">
        <v>25</v>
      </c>
    </row>
    <row r="21" spans="1:16" ht="15.6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91"/>
      <c r="M21" s="91"/>
      <c r="N21" s="91"/>
      <c r="O21" s="91"/>
      <c r="P21" s="91"/>
    </row>
    <row r="22" spans="1:16" ht="15.6">
      <c r="A22" s="47"/>
      <c r="B22" s="53" t="s">
        <v>33</v>
      </c>
      <c r="C22" s="92">
        <f t="shared" ref="C22:I22" si="11">C17</f>
        <v>0</v>
      </c>
      <c r="D22" s="106">
        <f t="shared" si="11"/>
        <v>0</v>
      </c>
      <c r="E22" s="106">
        <f t="shared" si="11"/>
        <v>1</v>
      </c>
      <c r="F22" s="106">
        <f t="shared" si="11"/>
        <v>1</v>
      </c>
      <c r="G22" s="106">
        <f t="shared" si="11"/>
        <v>0.56000000000000005</v>
      </c>
      <c r="H22" s="106">
        <f t="shared" si="11"/>
        <v>-1.44</v>
      </c>
      <c r="I22" s="106">
        <f t="shared" si="11"/>
        <v>-2.88</v>
      </c>
      <c r="J22" s="47"/>
      <c r="K22" s="47"/>
      <c r="L22" s="91"/>
      <c r="M22" s="91"/>
      <c r="N22" s="91"/>
      <c r="O22" s="91"/>
      <c r="P22" s="91"/>
    </row>
    <row r="23" spans="1:16" ht="15.6">
      <c r="A23" s="47" t="s">
        <v>28</v>
      </c>
      <c r="B23" s="74">
        <f>-(H17+B24*F20)/G20</f>
        <v>1.5655921207241231E-6</v>
      </c>
      <c r="C23" s="47"/>
      <c r="D23" s="49">
        <f t="shared" ref="D23:I23" si="12">$B23*C25</f>
        <v>0</v>
      </c>
      <c r="E23" s="96">
        <f t="shared" si="12"/>
        <v>0</v>
      </c>
      <c r="F23" s="96">
        <f t="shared" si="12"/>
        <v>1.5655921207241231E-6</v>
      </c>
      <c r="G23" s="96">
        <f t="shared" si="12"/>
        <v>1.5655945718028117E-6</v>
      </c>
      <c r="H23" s="96">
        <f t="shared" si="12"/>
        <v>3.1311917648071427E-6</v>
      </c>
      <c r="I23" s="96">
        <f t="shared" si="12"/>
        <v>1.3504006778905382E-11</v>
      </c>
      <c r="J23" s="47"/>
      <c r="K23" s="47"/>
      <c r="L23" s="48" t="s">
        <v>20</v>
      </c>
      <c r="M23" s="64">
        <f>B23^2+4*B24</f>
        <v>5.7600129593838982</v>
      </c>
      <c r="N23" s="91"/>
      <c r="O23" s="91"/>
      <c r="P23" s="91"/>
    </row>
    <row r="24" spans="1:16" ht="16.149999999999999" thickBot="1">
      <c r="A24" s="47" t="s">
        <v>29</v>
      </c>
      <c r="B24" s="75">
        <f>-I17/G20</f>
        <v>1.4400032398453617</v>
      </c>
      <c r="C24" s="103"/>
      <c r="D24" s="97"/>
      <c r="E24" s="98">
        <f>$B24*C25</f>
        <v>0</v>
      </c>
      <c r="F24" s="98">
        <f>$B24*D25</f>
        <v>0</v>
      </c>
      <c r="G24" s="98">
        <f>$B24*E25</f>
        <v>1.4400032398453617</v>
      </c>
      <c r="H24" s="98">
        <f>$B24*F25</f>
        <v>1.440005494303088</v>
      </c>
      <c r="I24" s="98">
        <f>$B24*G25</f>
        <v>2.8800133995397967</v>
      </c>
      <c r="J24" s="47"/>
      <c r="K24" s="47"/>
      <c r="L24" s="49" t="s">
        <v>22</v>
      </c>
      <c r="M24" s="84">
        <f>IF(M23&lt;0,B23/2,(B23+SQRT(M23))/2)</f>
        <v>1.2000021327311239</v>
      </c>
      <c r="N24" s="49" t="s">
        <v>30</v>
      </c>
      <c r="O24" s="49" t="str">
        <f>IF(M23&lt;0,SQRT(ABS(M23))/2,"")</f>
        <v/>
      </c>
      <c r="P24" s="49" t="str">
        <f>IF(M23&lt;0,"i","")</f>
        <v/>
      </c>
    </row>
    <row r="25" spans="1:16" ht="15.6">
      <c r="A25" s="47" t="s">
        <v>23</v>
      </c>
      <c r="B25" s="84">
        <f>SQRT(SUMSQ(B23:B24))</f>
        <v>1.4400032398462126</v>
      </c>
      <c r="C25" s="67">
        <f t="shared" ref="C25:I25" si="13">SUM(C22:C24)</f>
        <v>0</v>
      </c>
      <c r="D25" s="67">
        <f t="shared" si="13"/>
        <v>0</v>
      </c>
      <c r="E25" s="67">
        <f t="shared" si="13"/>
        <v>1</v>
      </c>
      <c r="F25" s="67">
        <f t="shared" si="13"/>
        <v>1.0000015655921208</v>
      </c>
      <c r="G25" s="67">
        <f t="shared" si="13"/>
        <v>2.0000048054399335</v>
      </c>
      <c r="H25" s="100">
        <f t="shared" si="13"/>
        <v>8.6254948528097231E-6</v>
      </c>
      <c r="I25" s="100">
        <f t="shared" si="13"/>
        <v>1.3399553300708078E-5</v>
      </c>
      <c r="J25" s="49">
        <f>ABS(B25-B20)</f>
        <v>3.3153228240490051E-6</v>
      </c>
      <c r="K25" s="49">
        <f>ABS(J25/B25)*100</f>
        <v>2.3023023367663186E-4</v>
      </c>
      <c r="L25" s="105" t="s">
        <v>24</v>
      </c>
      <c r="M25" s="49">
        <f>IF(M23&lt;0,M24,(B23-SQRT(M23))/2)</f>
        <v>-1.200000567139003</v>
      </c>
      <c r="N25" s="108" t="s">
        <v>30</v>
      </c>
      <c r="O25" s="67" t="str">
        <f>IF(M23&lt;0,-O24,"")</f>
        <v/>
      </c>
      <c r="P25" s="108" t="s">
        <v>25</v>
      </c>
    </row>
    <row r="27" spans="1:16" ht="15.6">
      <c r="A27" s="46" t="s">
        <v>41</v>
      </c>
      <c r="B27" s="47"/>
      <c r="C27" s="48" t="s">
        <v>1</v>
      </c>
      <c r="D27" s="49" t="s">
        <v>2</v>
      </c>
      <c r="E27" s="49" t="s">
        <v>3</v>
      </c>
      <c r="F27" s="49" t="s">
        <v>4</v>
      </c>
      <c r="G27" s="49" t="s">
        <v>5</v>
      </c>
      <c r="H27" s="49" t="s">
        <v>6</v>
      </c>
      <c r="I27" s="49" t="s">
        <v>7</v>
      </c>
      <c r="J27" s="50" t="s">
        <v>9</v>
      </c>
      <c r="K27" s="51" t="s">
        <v>10</v>
      </c>
      <c r="L27" s="91"/>
      <c r="M27" s="91"/>
      <c r="N27" s="91"/>
      <c r="O27" s="91"/>
      <c r="P27" s="91"/>
    </row>
    <row r="28" spans="1:16" ht="15.6">
      <c r="A28" s="47"/>
      <c r="B28" s="53" t="s">
        <v>18</v>
      </c>
      <c r="C28" s="92">
        <v>0</v>
      </c>
      <c r="D28" s="93">
        <v>0</v>
      </c>
      <c r="E28" s="57">
        <v>0</v>
      </c>
      <c r="F28" s="57">
        <v>0</v>
      </c>
      <c r="G28" s="57">
        <v>1</v>
      </c>
      <c r="H28" s="57">
        <v>1.0000015655921208</v>
      </c>
      <c r="I28" s="57">
        <v>2.0000048054399335</v>
      </c>
      <c r="J28" s="94"/>
      <c r="K28" s="95">
        <v>0.1</v>
      </c>
      <c r="L28" s="47"/>
      <c r="M28" s="47"/>
      <c r="N28" s="91"/>
      <c r="O28" s="91"/>
      <c r="P28" s="91"/>
    </row>
    <row r="29" spans="1:16" ht="15.6">
      <c r="A29" s="48" t="s">
        <v>19</v>
      </c>
      <c r="B29" s="90">
        <v>-1.0000015655921208</v>
      </c>
      <c r="C29" s="47"/>
      <c r="D29" s="49">
        <f t="shared" ref="D29" si="14">$B29*C31</f>
        <v>0</v>
      </c>
      <c r="E29" s="96">
        <f t="shared" ref="E29" si="15">$B29*D31</f>
        <v>0</v>
      </c>
      <c r="F29" s="96">
        <f t="shared" ref="F29" si="16">$B29*E31</f>
        <v>0</v>
      </c>
      <c r="G29" s="96">
        <f t="shared" ref="G29" si="17">$B29*F31</f>
        <v>0</v>
      </c>
      <c r="H29" s="96">
        <f t="shared" ref="H29" si="18">$B29*G31</f>
        <v>-1.0000015655921208</v>
      </c>
      <c r="I29" s="96">
        <f t="shared" ref="I29" si="19">$B29*H31</f>
        <v>0</v>
      </c>
      <c r="J29" s="47"/>
      <c r="K29" s="47"/>
      <c r="L29" s="49" t="s">
        <v>20</v>
      </c>
      <c r="M29" s="64">
        <f>B29^2+4*B30</f>
        <v>-7.0000160905730411</v>
      </c>
      <c r="N29" s="91"/>
      <c r="O29" s="91"/>
      <c r="P29" s="91"/>
    </row>
    <row r="30" spans="1:16" ht="16.149999999999999" thickBot="1">
      <c r="A30" s="48" t="s">
        <v>21</v>
      </c>
      <c r="B30" s="74">
        <v>-2.0000048054399335</v>
      </c>
      <c r="C30" s="97"/>
      <c r="D30" s="97"/>
      <c r="E30" s="98">
        <f>$B30*C31</f>
        <v>0</v>
      </c>
      <c r="F30" s="98">
        <f>$B30*D31</f>
        <v>0</v>
      </c>
      <c r="G30" s="98">
        <f>$B30*E31</f>
        <v>0</v>
      </c>
      <c r="H30" s="98">
        <f>$B30*F31</f>
        <v>0</v>
      </c>
      <c r="I30" s="98">
        <f>$B30*G31</f>
        <v>-2.0000048054399335</v>
      </c>
      <c r="J30" s="47"/>
      <c r="K30" s="47"/>
      <c r="L30" s="49" t="s">
        <v>22</v>
      </c>
      <c r="M30" s="49">
        <f>IF(M29&lt;0,B29/2,(B29+SQRT(M29))/2)</f>
        <v>-0.50000078279606042</v>
      </c>
      <c r="N30" s="49" t="str">
        <f>IF(M29&lt;0,"+","")</f>
        <v>+</v>
      </c>
      <c r="O30" s="49">
        <f>IF(M29&lt;0,SQRT(ABS(M29))/2,"")</f>
        <v>1.3228771759476616</v>
      </c>
      <c r="P30" s="49" t="str">
        <f>IF(M29&lt;0,"i","")</f>
        <v>i</v>
      </c>
    </row>
    <row r="31" spans="1:16" ht="15.6">
      <c r="A31" s="48" t="s">
        <v>23</v>
      </c>
      <c r="B31" s="67">
        <f>SQRT(SUMSQ(B29:B30))</f>
        <v>2.2360729757701381</v>
      </c>
      <c r="C31" s="99">
        <f t="shared" ref="C31:I31" si="20">SUM(C28:C30)</f>
        <v>0</v>
      </c>
      <c r="D31" s="67">
        <f t="shared" si="20"/>
        <v>0</v>
      </c>
      <c r="E31" s="99">
        <f t="shared" si="20"/>
        <v>0</v>
      </c>
      <c r="F31" s="67">
        <f t="shared" si="20"/>
        <v>0</v>
      </c>
      <c r="G31" s="67">
        <f t="shared" si="20"/>
        <v>1</v>
      </c>
      <c r="H31" s="100">
        <f t="shared" si="20"/>
        <v>0</v>
      </c>
      <c r="I31" s="100">
        <f t="shared" si="20"/>
        <v>0</v>
      </c>
      <c r="J31" s="47"/>
      <c r="K31" s="47"/>
      <c r="L31" s="49" t="s">
        <v>24</v>
      </c>
      <c r="M31" s="49">
        <f>IF(M29&lt;0,M30,(B29-SQRT(M29))/2)</f>
        <v>-0.50000078279606042</v>
      </c>
      <c r="N31" s="104" t="str">
        <f>IF(M29&lt;0,"+","")</f>
        <v>+</v>
      </c>
      <c r="O31" s="49">
        <f>IF(M29&lt;0,-O30,"")</f>
        <v>-1.3228771759476616</v>
      </c>
      <c r="P31" s="104" t="s">
        <v>25</v>
      </c>
    </row>
    <row r="32" spans="1:16" ht="15.6">
      <c r="A32" s="47"/>
      <c r="B32" s="47"/>
      <c r="C32" s="47"/>
      <c r="D32" s="47"/>
      <c r="E32" s="47"/>
      <c r="F32" s="47"/>
      <c r="G32" s="47"/>
      <c r="H32" s="47"/>
      <c r="I32" s="47"/>
      <c r="J32" s="47" t="s">
        <v>40</v>
      </c>
      <c r="K32" s="47"/>
      <c r="L32" s="91"/>
      <c r="M32" s="91"/>
      <c r="N32" s="91"/>
      <c r="O32" s="91"/>
      <c r="P32" s="91"/>
    </row>
    <row r="33" spans="1:16" ht="15.6">
      <c r="A33" s="47"/>
      <c r="B33" s="53" t="s">
        <v>26</v>
      </c>
      <c r="C33" s="102">
        <f t="shared" ref="C33:I33" si="21">C28</f>
        <v>0</v>
      </c>
      <c r="D33" s="93">
        <f t="shared" si="21"/>
        <v>0</v>
      </c>
      <c r="E33" s="93">
        <f t="shared" si="21"/>
        <v>0</v>
      </c>
      <c r="F33" s="93">
        <f t="shared" si="21"/>
        <v>0</v>
      </c>
      <c r="G33" s="93">
        <f t="shared" si="21"/>
        <v>1</v>
      </c>
      <c r="H33" s="93">
        <f t="shared" si="21"/>
        <v>1.0000015655921208</v>
      </c>
      <c r="I33" s="93">
        <f t="shared" si="21"/>
        <v>2.0000048054399335</v>
      </c>
      <c r="J33" s="47"/>
      <c r="K33" s="47"/>
      <c r="L33" s="47"/>
      <c r="M33" s="49" t="s">
        <v>27</v>
      </c>
      <c r="N33" s="91"/>
      <c r="O33" s="91"/>
      <c r="P33" s="91"/>
    </row>
    <row r="34" spans="1:16" ht="15.6">
      <c r="A34" s="48" t="s">
        <v>28</v>
      </c>
      <c r="B34" s="74">
        <f>-(H28+B35*F31)/G31</f>
        <v>-1.0000015655921208</v>
      </c>
      <c r="C34" s="47"/>
      <c r="D34" s="49">
        <f t="shared" ref="D34" si="22">$B34*C36</f>
        <v>0</v>
      </c>
      <c r="E34" s="49">
        <f t="shared" ref="E34" si="23">$B34*D36</f>
        <v>0</v>
      </c>
      <c r="F34" s="49">
        <f t="shared" ref="F34" si="24">$B34*E36</f>
        <v>0</v>
      </c>
      <c r="G34" s="49">
        <f t="shared" ref="G34" si="25">$B34*F36</f>
        <v>0</v>
      </c>
      <c r="H34" s="49">
        <f t="shared" ref="H34" si="26">$B34*G36</f>
        <v>-1.0000015655921208</v>
      </c>
      <c r="I34" s="49">
        <f t="shared" ref="I34" si="27">$B34*H36</f>
        <v>0</v>
      </c>
      <c r="J34" s="47"/>
      <c r="K34" s="47"/>
      <c r="L34" s="49" t="s">
        <v>20</v>
      </c>
      <c r="M34" s="64">
        <f>B34^2+4*B35</f>
        <v>-7.0000160905730411</v>
      </c>
      <c r="N34" s="91"/>
      <c r="O34" s="91"/>
      <c r="P34" s="91"/>
    </row>
    <row r="35" spans="1:16" ht="16.149999999999999" thickBot="1">
      <c r="A35" s="48" t="s">
        <v>29</v>
      </c>
      <c r="B35" s="75">
        <f>-I28/G31</f>
        <v>-2.0000048054399335</v>
      </c>
      <c r="C35" s="103"/>
      <c r="D35" s="97"/>
      <c r="E35" s="98">
        <f>$B35*C36</f>
        <v>0</v>
      </c>
      <c r="F35" s="98">
        <f>$B35*D36</f>
        <v>0</v>
      </c>
      <c r="G35" s="98">
        <f>$B35*E36</f>
        <v>0</v>
      </c>
      <c r="H35" s="98">
        <f>$B35*F36</f>
        <v>0</v>
      </c>
      <c r="I35" s="98">
        <f>$B35*G36</f>
        <v>-2.0000048054399335</v>
      </c>
      <c r="J35" s="47"/>
      <c r="K35" s="47"/>
      <c r="L35" s="49" t="s">
        <v>22</v>
      </c>
      <c r="M35" s="48">
        <f>IF(M34&lt;0,B34/2,(B34+SQRT(M34))/2)</f>
        <v>-0.50000078279606042</v>
      </c>
      <c r="N35" s="49" t="s">
        <v>30</v>
      </c>
      <c r="O35" s="61">
        <f>IF(M34&lt;0,SQRT(ABS(M34))/2,"")</f>
        <v>1.3228771759476616</v>
      </c>
      <c r="P35" s="49" t="str">
        <f>IF(M34&lt;0,"i","")</f>
        <v>i</v>
      </c>
    </row>
    <row r="36" spans="1:16" ht="15.6">
      <c r="A36" s="49" t="s">
        <v>23</v>
      </c>
      <c r="B36" s="67">
        <f>SQRT(SUMSQ(B34:B35))</f>
        <v>2.2360729757701381</v>
      </c>
      <c r="C36" s="67">
        <f t="shared" ref="C36:I36" si="28">SUM(C33:C35)</f>
        <v>0</v>
      </c>
      <c r="D36" s="67">
        <f t="shared" si="28"/>
        <v>0</v>
      </c>
      <c r="E36" s="67">
        <f t="shared" si="28"/>
        <v>0</v>
      </c>
      <c r="F36" s="67">
        <f t="shared" si="28"/>
        <v>0</v>
      </c>
      <c r="G36" s="67">
        <f t="shared" si="28"/>
        <v>1</v>
      </c>
      <c r="H36" s="100">
        <f t="shared" si="28"/>
        <v>0</v>
      </c>
      <c r="I36" s="100">
        <f t="shared" si="28"/>
        <v>0</v>
      </c>
      <c r="J36" s="49">
        <f>ABS(B36-B31)</f>
        <v>0</v>
      </c>
      <c r="K36" s="48">
        <f>ABS(J36/B36)*100</f>
        <v>0</v>
      </c>
      <c r="L36" s="49" t="s">
        <v>24</v>
      </c>
      <c r="M36" s="48">
        <f>IF(M34&lt;0,M35,(B34-SQRT(M34))/2)</f>
        <v>-0.50000078279606042</v>
      </c>
      <c r="N36" s="104" t="s">
        <v>30</v>
      </c>
      <c r="O36" s="49">
        <f>IF(M34&lt;0,-O35,"")</f>
        <v>-1.3228771759476616</v>
      </c>
      <c r="P36" s="104" t="s">
        <v>25</v>
      </c>
    </row>
    <row r="37" spans="1:16" ht="15.6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91"/>
      <c r="M37" s="91"/>
      <c r="N37" s="91"/>
      <c r="O37" s="91"/>
      <c r="P37" s="91"/>
    </row>
    <row r="38" spans="1:16" ht="15.6">
      <c r="A38" s="47"/>
      <c r="B38" s="53" t="s">
        <v>31</v>
      </c>
      <c r="C38" s="92">
        <f t="shared" ref="C38:I38" si="29">C33</f>
        <v>0</v>
      </c>
      <c r="D38" s="75">
        <f t="shared" si="29"/>
        <v>0</v>
      </c>
      <c r="E38" s="93">
        <f t="shared" si="29"/>
        <v>0</v>
      </c>
      <c r="F38" s="93">
        <f t="shared" si="29"/>
        <v>0</v>
      </c>
      <c r="G38" s="93">
        <f t="shared" si="29"/>
        <v>1</v>
      </c>
      <c r="H38" s="93">
        <f t="shared" si="29"/>
        <v>1.0000015655921208</v>
      </c>
      <c r="I38" s="93">
        <f t="shared" si="29"/>
        <v>2.0000048054399335</v>
      </c>
      <c r="J38" s="47"/>
      <c r="K38" s="47"/>
      <c r="L38" s="91"/>
      <c r="M38" s="91"/>
      <c r="N38" s="91"/>
      <c r="O38" s="91"/>
      <c r="P38" s="91"/>
    </row>
    <row r="39" spans="1:16" ht="15.6">
      <c r="A39" s="48" t="s">
        <v>19</v>
      </c>
      <c r="B39" s="80">
        <f>-(H33+B40*F36)/G36</f>
        <v>-1.0000015655921208</v>
      </c>
      <c r="C39" s="47"/>
      <c r="D39" s="48">
        <f t="shared" ref="D39" si="30">$B39*C41</f>
        <v>0</v>
      </c>
      <c r="E39" s="49">
        <f t="shared" ref="E39" si="31">$B39*D41</f>
        <v>0</v>
      </c>
      <c r="F39" s="49">
        <f t="shared" ref="F39" si="32">$B39*E41</f>
        <v>0</v>
      </c>
      <c r="G39" s="49">
        <f t="shared" ref="G39" si="33">$B39*F41</f>
        <v>0</v>
      </c>
      <c r="H39" s="49">
        <f t="shared" ref="H39" si="34">$B39*G41</f>
        <v>-1.0000015655921208</v>
      </c>
      <c r="I39" s="49">
        <f t="shared" ref="I39" si="35">$B39*H41</f>
        <v>0</v>
      </c>
      <c r="J39" s="47"/>
      <c r="K39" s="47"/>
      <c r="L39" s="49" t="s">
        <v>20</v>
      </c>
      <c r="M39" s="64">
        <f>B39^2+4*B40</f>
        <v>-7.0000160905730411</v>
      </c>
      <c r="N39" s="91"/>
      <c r="O39" s="91"/>
      <c r="P39" s="91"/>
    </row>
    <row r="40" spans="1:16" ht="16.149999999999999" thickBot="1">
      <c r="A40" s="48" t="s">
        <v>21</v>
      </c>
      <c r="B40" s="75">
        <f>-I33/G36</f>
        <v>-2.0000048054399335</v>
      </c>
      <c r="C40" s="103"/>
      <c r="D40" s="97"/>
      <c r="E40" s="98">
        <f>$B40*C41</f>
        <v>0</v>
      </c>
      <c r="F40" s="98">
        <f>$B40*D41</f>
        <v>0</v>
      </c>
      <c r="G40" s="98">
        <f>$B40*E41</f>
        <v>0</v>
      </c>
      <c r="H40" s="98">
        <f>$B40*F41</f>
        <v>0</v>
      </c>
      <c r="I40" s="98">
        <f>$B40*G41</f>
        <v>-2.0000048054399335</v>
      </c>
      <c r="J40" s="47"/>
      <c r="K40" s="47"/>
      <c r="L40" s="49" t="s">
        <v>22</v>
      </c>
      <c r="M40" s="48">
        <f>IF(M39&lt;0,B39/2,(B39+SQRT(M39))/2)</f>
        <v>-0.50000078279606042</v>
      </c>
      <c r="N40" s="49" t="s">
        <v>30</v>
      </c>
      <c r="O40" s="49">
        <f>IF(M39&lt;0,SQRT(ABS(M39))/2,"")</f>
        <v>1.3228771759476616</v>
      </c>
      <c r="P40" s="49" t="str">
        <f>IF(M39&lt;0,"i","")</f>
        <v>i</v>
      </c>
    </row>
    <row r="41" spans="1:16" ht="15.6">
      <c r="A41" s="48" t="s">
        <v>23</v>
      </c>
      <c r="B41" s="67">
        <f>SQRT(SUMSQ(B39:B40))</f>
        <v>2.2360729757701381</v>
      </c>
      <c r="C41" s="67">
        <f t="shared" ref="C41:I41" si="36">SUM(C38:C40)</f>
        <v>0</v>
      </c>
      <c r="D41" s="84">
        <f t="shared" si="36"/>
        <v>0</v>
      </c>
      <c r="E41" s="67">
        <f t="shared" si="36"/>
        <v>0</v>
      </c>
      <c r="F41" s="67">
        <f t="shared" si="36"/>
        <v>0</v>
      </c>
      <c r="G41" s="67">
        <f t="shared" si="36"/>
        <v>1</v>
      </c>
      <c r="H41" s="100">
        <f t="shared" si="36"/>
        <v>0</v>
      </c>
      <c r="I41" s="100">
        <f t="shared" si="36"/>
        <v>0</v>
      </c>
      <c r="J41" s="105">
        <f>ABS(B41-B36)</f>
        <v>0</v>
      </c>
      <c r="K41" s="48">
        <f>ABS(J41/B41)*100</f>
        <v>0</v>
      </c>
      <c r="L41" s="49" t="s">
        <v>24</v>
      </c>
      <c r="M41" s="48">
        <f>IF(M39&lt;0,M40,(B39-SQRT(M39))/2)</f>
        <v>-0.50000078279606042</v>
      </c>
      <c r="N41" s="104" t="s">
        <v>30</v>
      </c>
      <c r="O41" s="49">
        <f>IF(M39&lt;0,-O40,"")</f>
        <v>-1.3228771759476616</v>
      </c>
      <c r="P41" s="104" t="s">
        <v>25</v>
      </c>
    </row>
    <row r="42" spans="1:16" ht="15.6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91"/>
      <c r="M42" s="91"/>
      <c r="N42" s="91"/>
      <c r="O42" s="91"/>
      <c r="P42" s="91"/>
    </row>
    <row r="43" spans="1:16" ht="15.6">
      <c r="A43" s="47"/>
      <c r="B43" s="53" t="s">
        <v>32</v>
      </c>
      <c r="C43" s="92">
        <f t="shared" ref="C43:I43" si="37">C38</f>
        <v>0</v>
      </c>
      <c r="D43" s="106">
        <f t="shared" si="37"/>
        <v>0</v>
      </c>
      <c r="E43" s="106">
        <f t="shared" si="37"/>
        <v>0</v>
      </c>
      <c r="F43" s="106">
        <f t="shared" si="37"/>
        <v>0</v>
      </c>
      <c r="G43" s="106">
        <f t="shared" si="37"/>
        <v>1</v>
      </c>
      <c r="H43" s="106">
        <f t="shared" si="37"/>
        <v>1.0000015655921208</v>
      </c>
      <c r="I43" s="106">
        <f t="shared" si="37"/>
        <v>2.0000048054399335</v>
      </c>
      <c r="J43" s="47"/>
      <c r="K43" s="47"/>
      <c r="L43" s="91"/>
      <c r="M43" s="91"/>
      <c r="N43" s="91"/>
      <c r="O43" s="91"/>
      <c r="P43" s="91"/>
    </row>
    <row r="44" spans="1:16" ht="15.6">
      <c r="A44" s="49" t="s">
        <v>28</v>
      </c>
      <c r="B44" s="74">
        <f>-(H38+B45*F41)/G41</f>
        <v>-1.0000015655921208</v>
      </c>
      <c r="C44" s="47"/>
      <c r="D44" s="49">
        <f t="shared" ref="D44" si="38">$B44*C46</f>
        <v>0</v>
      </c>
      <c r="E44" s="96">
        <f t="shared" ref="E44" si="39">$B44*D46</f>
        <v>0</v>
      </c>
      <c r="F44" s="96">
        <f t="shared" ref="F44" si="40">$B44*E46</f>
        <v>0</v>
      </c>
      <c r="G44" s="96">
        <f t="shared" ref="G44" si="41">$B44*F46</f>
        <v>0</v>
      </c>
      <c r="H44" s="96">
        <f t="shared" ref="H44" si="42">$B44*G46</f>
        <v>-1.0000015655921208</v>
      </c>
      <c r="I44" s="96">
        <f t="shared" ref="I44" si="43">$B44*H46</f>
        <v>0</v>
      </c>
      <c r="J44" s="47"/>
      <c r="K44" s="47"/>
      <c r="L44" s="49" t="s">
        <v>20</v>
      </c>
      <c r="M44" s="64">
        <f>B44^2+4*B45</f>
        <v>-7.0000160905730411</v>
      </c>
      <c r="N44" s="91"/>
      <c r="O44" s="91"/>
      <c r="P44" s="91"/>
    </row>
    <row r="45" spans="1:16" ht="16.149999999999999" thickBot="1">
      <c r="A45" s="49" t="s">
        <v>29</v>
      </c>
      <c r="B45" s="75">
        <f>-I38/G41</f>
        <v>-2.0000048054399335</v>
      </c>
      <c r="C45" s="103"/>
      <c r="D45" s="97"/>
      <c r="E45" s="98">
        <f>$B45*C46</f>
        <v>0</v>
      </c>
      <c r="F45" s="98">
        <f>$B45*D46</f>
        <v>0</v>
      </c>
      <c r="G45" s="98">
        <f>$B45*E46</f>
        <v>0</v>
      </c>
      <c r="H45" s="98">
        <f>$B45*F46</f>
        <v>0</v>
      </c>
      <c r="I45" s="98">
        <f>$B45*G46</f>
        <v>-2.0000048054399335</v>
      </c>
      <c r="J45" s="47"/>
      <c r="K45" s="47"/>
      <c r="L45" s="49" t="s">
        <v>22</v>
      </c>
      <c r="M45" s="48">
        <f>IF(M44&lt;0,B44/2,(B44+SQRT(M44))/2)</f>
        <v>-0.50000078279606042</v>
      </c>
      <c r="N45" s="49" t="s">
        <v>30</v>
      </c>
      <c r="O45" s="49">
        <f>IF(M44&lt;0,SQRT(ABS(M44))/2,"")</f>
        <v>1.3228771759476616</v>
      </c>
      <c r="P45" s="49" t="str">
        <f>IF(M44&lt;0,"i","")</f>
        <v>i</v>
      </c>
    </row>
    <row r="46" spans="1:16" ht="15.6">
      <c r="A46" s="49" t="s">
        <v>23</v>
      </c>
      <c r="B46" s="84">
        <f>SQRT(SUMSQ(B44:B45))</f>
        <v>2.2360729757701381</v>
      </c>
      <c r="C46" s="67">
        <f t="shared" ref="C46:I46" si="44">SUM(C43:C45)</f>
        <v>0</v>
      </c>
      <c r="D46" s="67">
        <f t="shared" si="44"/>
        <v>0</v>
      </c>
      <c r="E46" s="99">
        <f t="shared" si="44"/>
        <v>0</v>
      </c>
      <c r="F46" s="67">
        <f t="shared" si="44"/>
        <v>0</v>
      </c>
      <c r="G46" s="67">
        <f t="shared" si="44"/>
        <v>1</v>
      </c>
      <c r="H46" s="100">
        <f t="shared" si="44"/>
        <v>0</v>
      </c>
      <c r="I46" s="107">
        <f t="shared" si="44"/>
        <v>0</v>
      </c>
      <c r="J46" s="49">
        <f>ABS(B46-B41)</f>
        <v>0</v>
      </c>
      <c r="K46" s="49">
        <f>ABS(J46/B46)*100</f>
        <v>0</v>
      </c>
      <c r="L46" s="105" t="s">
        <v>24</v>
      </c>
      <c r="M46" s="48">
        <f>IF(M44&lt;0,M45,(B44-SQRT(M44))/2)</f>
        <v>-0.50000078279606042</v>
      </c>
      <c r="N46" s="104" t="s">
        <v>30</v>
      </c>
      <c r="O46" s="49">
        <f>IF(M44&lt;0,-O45,"")</f>
        <v>-1.3228771759476616</v>
      </c>
      <c r="P46" s="104" t="s">
        <v>25</v>
      </c>
    </row>
    <row r="47" spans="1:16" ht="15.6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91"/>
      <c r="M47" s="91"/>
      <c r="N47" s="91"/>
      <c r="O47" s="91"/>
      <c r="P47" s="91"/>
    </row>
    <row r="48" spans="1:16" ht="15.6">
      <c r="A48" s="47"/>
      <c r="B48" s="109" t="s">
        <v>33</v>
      </c>
      <c r="C48" s="92">
        <f t="shared" ref="C48:I48" si="45">C43</f>
        <v>0</v>
      </c>
      <c r="D48" s="106">
        <f t="shared" si="45"/>
        <v>0</v>
      </c>
      <c r="E48" s="106">
        <f t="shared" si="45"/>
        <v>0</v>
      </c>
      <c r="F48" s="106">
        <f t="shared" si="45"/>
        <v>0</v>
      </c>
      <c r="G48" s="106">
        <f t="shared" si="45"/>
        <v>1</v>
      </c>
      <c r="H48" s="106">
        <f t="shared" si="45"/>
        <v>1.0000015655921208</v>
      </c>
      <c r="I48" s="106">
        <f t="shared" si="45"/>
        <v>2.0000048054399335</v>
      </c>
      <c r="J48" s="47"/>
      <c r="K48" s="47"/>
      <c r="L48" s="91"/>
      <c r="M48" s="91"/>
      <c r="N48" s="91"/>
      <c r="O48" s="91"/>
      <c r="P48" s="91"/>
    </row>
    <row r="49" spans="1:16" ht="15.6">
      <c r="A49" s="49" t="s">
        <v>28</v>
      </c>
      <c r="B49" s="93">
        <f>-(H43+B50*F46)/G46</f>
        <v>-1.0000015655921208</v>
      </c>
      <c r="C49" s="47"/>
      <c r="D49" s="49">
        <f t="shared" ref="D49" si="46">$B49*C51</f>
        <v>0</v>
      </c>
      <c r="E49" s="96">
        <f t="shared" ref="E49" si="47">$B49*D51</f>
        <v>0</v>
      </c>
      <c r="F49" s="96">
        <f t="shared" ref="F49" si="48">$B49*E51</f>
        <v>0</v>
      </c>
      <c r="G49" s="96">
        <f t="shared" ref="G49" si="49">$B49*F51</f>
        <v>0</v>
      </c>
      <c r="H49" s="96">
        <f t="shared" ref="H49" si="50">$B49*G51</f>
        <v>-1.0000015655921208</v>
      </c>
      <c r="I49" s="96">
        <f t="shared" ref="I49" si="51">$B49*H51</f>
        <v>0</v>
      </c>
      <c r="J49" s="47"/>
      <c r="K49" s="47"/>
      <c r="L49" s="48" t="s">
        <v>20</v>
      </c>
      <c r="M49" s="64">
        <f>B49^2+4*B50</f>
        <v>-7.0000160905730411</v>
      </c>
      <c r="N49" s="91"/>
      <c r="O49" s="91"/>
      <c r="P49" s="91"/>
    </row>
    <row r="50" spans="1:16" ht="16.149999999999999" thickBot="1">
      <c r="A50" s="49" t="s">
        <v>29</v>
      </c>
      <c r="B50" s="93">
        <f>-I43/G46</f>
        <v>-2.0000048054399335</v>
      </c>
      <c r="C50" s="97"/>
      <c r="D50" s="97"/>
      <c r="E50" s="98">
        <f>$B50*C51</f>
        <v>0</v>
      </c>
      <c r="F50" s="98">
        <f>$B50*D51</f>
        <v>0</v>
      </c>
      <c r="G50" s="98">
        <f>$B50*E51</f>
        <v>0</v>
      </c>
      <c r="H50" s="98">
        <f>$B50*F51</f>
        <v>0</v>
      </c>
      <c r="I50" s="98">
        <f>$B50*G51</f>
        <v>-2.0000048054399335</v>
      </c>
      <c r="J50" s="47"/>
      <c r="K50" s="47"/>
      <c r="L50" s="49" t="s">
        <v>22</v>
      </c>
      <c r="M50" s="84">
        <f>IF(M49&lt;0,B49/2,(B49+SQRT(M49))/2)</f>
        <v>-0.50000078279606042</v>
      </c>
      <c r="N50" s="49" t="s">
        <v>30</v>
      </c>
      <c r="O50" s="49">
        <f>IF(M49&lt;0,SQRT(ABS(M49))/2,"")</f>
        <v>1.3228771759476616</v>
      </c>
      <c r="P50" s="49" t="str">
        <f>IF(M49&lt;0,"i","")</f>
        <v>i</v>
      </c>
    </row>
    <row r="51" spans="1:16" ht="15.6">
      <c r="A51" s="49" t="s">
        <v>23</v>
      </c>
      <c r="B51" s="49">
        <f>SQRT(SUMSQ(B49:B50))</f>
        <v>2.2360729757701381</v>
      </c>
      <c r="C51" s="99">
        <f t="shared" ref="C51:I51" si="52">SUM(C48:C50)</f>
        <v>0</v>
      </c>
      <c r="D51" s="67">
        <f t="shared" si="52"/>
        <v>0</v>
      </c>
      <c r="E51" s="67">
        <f t="shared" si="52"/>
        <v>0</v>
      </c>
      <c r="F51" s="67">
        <f t="shared" si="52"/>
        <v>0</v>
      </c>
      <c r="G51" s="67">
        <f t="shared" si="52"/>
        <v>1</v>
      </c>
      <c r="H51" s="100">
        <f t="shared" si="52"/>
        <v>0</v>
      </c>
      <c r="I51" s="100">
        <f t="shared" si="52"/>
        <v>0</v>
      </c>
      <c r="J51" s="49">
        <f>ABS(B51-B46)</f>
        <v>0</v>
      </c>
      <c r="K51" s="49">
        <f>ABS(J51/B51)*100</f>
        <v>0</v>
      </c>
      <c r="L51" s="105" t="s">
        <v>24</v>
      </c>
      <c r="M51" s="49">
        <f>IF(M49&lt;0,M50,(B49-SQRT(M49))/2)</f>
        <v>-0.50000078279606042</v>
      </c>
      <c r="N51" s="108" t="s">
        <v>30</v>
      </c>
      <c r="O51" s="67">
        <f>IF(M49&lt;0,-O50,"")</f>
        <v>-1.3228771759476616</v>
      </c>
      <c r="P51" s="108" t="s">
        <v>25</v>
      </c>
    </row>
  </sheetData>
  <conditionalFormatting sqref="B10">
    <cfRule type="expression" dxfId="41" priority="13">
      <formula>K10&lt;$K$2</formula>
    </cfRule>
  </conditionalFormatting>
  <conditionalFormatting sqref="B15">
    <cfRule type="expression" dxfId="40" priority="18">
      <formula>K15&lt;$K$2</formula>
    </cfRule>
    <cfRule type="expression" dxfId="39" priority="19">
      <formula>J15&lt;$J$2</formula>
    </cfRule>
  </conditionalFormatting>
  <conditionalFormatting sqref="B20">
    <cfRule type="expression" dxfId="38" priority="16">
      <formula>K20&lt;$K$2</formula>
    </cfRule>
    <cfRule type="expression" dxfId="37" priority="17">
      <formula>J20&lt;$J$2</formula>
    </cfRule>
  </conditionalFormatting>
  <conditionalFormatting sqref="B25">
    <cfRule type="expression" dxfId="36" priority="14">
      <formula>K25&lt;$K$2</formula>
    </cfRule>
  </conditionalFormatting>
  <conditionalFormatting sqref="B36">
    <cfRule type="expression" dxfId="35" priority="1">
      <formula>K36&lt;$K$2</formula>
    </cfRule>
  </conditionalFormatting>
  <conditionalFormatting sqref="B41">
    <cfRule type="expression" dxfId="34" priority="5">
      <formula>K41&lt;$K$2</formula>
    </cfRule>
    <cfRule type="expression" dxfId="33" priority="6">
      <formula>J41&lt;$J$2</formula>
    </cfRule>
  </conditionalFormatting>
  <conditionalFormatting sqref="B46">
    <cfRule type="expression" dxfId="32" priority="3">
      <formula>K46&lt;$K$2</formula>
    </cfRule>
    <cfRule type="expression" dxfId="31" priority="4">
      <formula>J46&lt;$J$2</formula>
    </cfRule>
  </conditionalFormatting>
  <conditionalFormatting sqref="B51">
    <cfRule type="expression" dxfId="30" priority="2">
      <formula>K51&lt;$K$2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06A18-5E14-4E84-BA32-014310DEA0FD}">
  <dimension ref="A1:K30"/>
  <sheetViews>
    <sheetView zoomScaleNormal="100" workbookViewId="0">
      <selection activeCell="M5" sqref="M5"/>
    </sheetView>
  </sheetViews>
  <sheetFormatPr defaultColWidth="11.42578125" defaultRowHeight="14.45"/>
  <cols>
    <col min="1" max="1" width="19.140625" bestFit="1" customWidth="1"/>
    <col min="2" max="2" width="8.5703125" bestFit="1" customWidth="1"/>
    <col min="3" max="3" width="7.7109375" bestFit="1" customWidth="1"/>
    <col min="4" max="4" width="8.5703125" bestFit="1" customWidth="1"/>
    <col min="5" max="5" width="7.7109375" bestFit="1" customWidth="1"/>
    <col min="6" max="6" width="9.7109375" bestFit="1" customWidth="1"/>
    <col min="7" max="7" width="10.28515625" bestFit="1" customWidth="1"/>
    <col min="8" max="8" width="12.28515625" bestFit="1" customWidth="1"/>
    <col min="9" max="9" width="11.42578125" bestFit="1" customWidth="1"/>
    <col min="10" max="10" width="7.7109375" bestFit="1" customWidth="1"/>
    <col min="11" max="11" width="9" bestFit="1" customWidth="1"/>
    <col min="13" max="13" width="19.140625" bestFit="1" customWidth="1"/>
    <col min="14" max="14" width="11" bestFit="1" customWidth="1"/>
    <col min="15" max="15" width="7.7109375" bestFit="1" customWidth="1"/>
    <col min="16" max="16" width="8.5703125" bestFit="1" customWidth="1"/>
    <col min="17" max="17" width="7.7109375" bestFit="1" customWidth="1"/>
    <col min="18" max="18" width="9.7109375" bestFit="1" customWidth="1"/>
    <col min="19" max="19" width="10.28515625" bestFit="1" customWidth="1"/>
    <col min="20" max="20" width="12.28515625" bestFit="1" customWidth="1"/>
    <col min="21" max="21" width="11.42578125" bestFit="1" customWidth="1"/>
    <col min="22" max="22" width="7.7109375" bestFit="1" customWidth="1"/>
  </cols>
  <sheetData>
    <row r="1" spans="1:11" ht="15.6">
      <c r="A1" s="16" t="s">
        <v>0</v>
      </c>
      <c r="B1" s="29"/>
      <c r="C1" s="30" t="s">
        <v>1</v>
      </c>
      <c r="D1" s="30" t="s">
        <v>2</v>
      </c>
      <c r="E1" s="30" t="s">
        <v>3</v>
      </c>
      <c r="F1" s="30" t="s">
        <v>4</v>
      </c>
      <c r="G1" s="30" t="s">
        <v>5</v>
      </c>
      <c r="H1" s="30" t="s">
        <v>6</v>
      </c>
      <c r="I1" s="30" t="s">
        <v>7</v>
      </c>
      <c r="J1" s="32">
        <v>0.05</v>
      </c>
      <c r="K1" s="33"/>
    </row>
    <row r="2" spans="1:11" ht="15.6">
      <c r="A2" s="17"/>
      <c r="B2" s="25" t="s">
        <v>42</v>
      </c>
      <c r="C2" s="36">
        <v>0</v>
      </c>
      <c r="D2" s="31">
        <v>0</v>
      </c>
      <c r="E2" s="31">
        <v>0</v>
      </c>
      <c r="F2" s="31">
        <v>0</v>
      </c>
      <c r="G2" s="31">
        <v>0</v>
      </c>
      <c r="H2" s="31">
        <v>1</v>
      </c>
      <c r="I2" s="31">
        <v>-1.8</v>
      </c>
      <c r="J2" s="18" t="s">
        <v>9</v>
      </c>
      <c r="K2" s="19" t="s">
        <v>10</v>
      </c>
    </row>
    <row r="3" spans="1:11" ht="15.6">
      <c r="A3" s="17"/>
      <c r="B3" s="37">
        <v>1.5</v>
      </c>
      <c r="C3" s="34"/>
      <c r="D3" s="2">
        <f t="shared" ref="D3:I3" si="0">$B3*C4</f>
        <v>0</v>
      </c>
      <c r="E3" s="2">
        <f t="shared" si="0"/>
        <v>0</v>
      </c>
      <c r="F3" s="2">
        <f t="shared" si="0"/>
        <v>0</v>
      </c>
      <c r="G3" s="2">
        <f t="shared" si="0"/>
        <v>0</v>
      </c>
      <c r="H3" s="2">
        <f t="shared" si="0"/>
        <v>0</v>
      </c>
      <c r="I3" s="2">
        <f t="shared" si="0"/>
        <v>1.5</v>
      </c>
      <c r="J3" s="5"/>
      <c r="K3" s="6"/>
    </row>
    <row r="4" spans="1:11" ht="15.6">
      <c r="B4" s="4"/>
      <c r="C4" s="20">
        <f>SUM(C2:C3)</f>
        <v>0</v>
      </c>
      <c r="D4" s="5">
        <f t="shared" ref="D4:I4" si="1">SUM(D2:D3)</f>
        <v>0</v>
      </c>
      <c r="E4" s="6">
        <f t="shared" si="1"/>
        <v>0</v>
      </c>
      <c r="F4" s="6">
        <f t="shared" si="1"/>
        <v>0</v>
      </c>
      <c r="G4" s="6">
        <f t="shared" si="1"/>
        <v>0</v>
      </c>
      <c r="H4" s="6">
        <f t="shared" si="1"/>
        <v>1</v>
      </c>
      <c r="I4" s="7">
        <f t="shared" si="1"/>
        <v>-0.30000000000000004</v>
      </c>
      <c r="J4" s="5"/>
      <c r="K4" s="6"/>
    </row>
    <row r="5" spans="1:11" ht="15.6" thickBot="1">
      <c r="C5" s="21"/>
      <c r="D5" s="22">
        <f>$B3*C6</f>
        <v>0</v>
      </c>
      <c r="E5" s="23">
        <f>$B3*D6</f>
        <v>0</v>
      </c>
      <c r="F5" s="23">
        <f>$B3*E6</f>
        <v>0</v>
      </c>
      <c r="G5" s="23">
        <f>$B3*F6</f>
        <v>0</v>
      </c>
      <c r="H5" s="24">
        <f>$B3*G6</f>
        <v>0</v>
      </c>
      <c r="I5" s="1"/>
      <c r="J5" s="6"/>
      <c r="K5" s="6"/>
    </row>
    <row r="6" spans="1:11" ht="15.6">
      <c r="C6" s="13">
        <f>SUM(C4:C5)</f>
        <v>0</v>
      </c>
      <c r="D6" s="13">
        <f t="shared" ref="D6:H6" si="2">SUM(D4:D5)</f>
        <v>0</v>
      </c>
      <c r="E6" s="13">
        <f t="shared" si="2"/>
        <v>0</v>
      </c>
      <c r="F6" s="13">
        <f t="shared" si="2"/>
        <v>0</v>
      </c>
      <c r="G6" s="13">
        <f t="shared" si="2"/>
        <v>0</v>
      </c>
      <c r="H6" s="8">
        <f t="shared" si="2"/>
        <v>1</v>
      </c>
      <c r="I6" s="9"/>
      <c r="J6" s="6"/>
      <c r="K6" s="5"/>
    </row>
    <row r="7" spans="1:11" ht="15">
      <c r="C7" s="9"/>
      <c r="D7" s="9"/>
      <c r="E7" s="9"/>
      <c r="F7" s="9"/>
      <c r="G7" s="9"/>
      <c r="H7" s="9"/>
      <c r="I7" s="9"/>
      <c r="J7" s="6"/>
      <c r="K7" s="5"/>
    </row>
    <row r="8" spans="1:11" ht="15">
      <c r="B8" s="25" t="s">
        <v>43</v>
      </c>
      <c r="C8" s="10">
        <f t="shared" ref="C8:I8" si="3">C2</f>
        <v>0</v>
      </c>
      <c r="D8" s="11">
        <f t="shared" si="3"/>
        <v>0</v>
      </c>
      <c r="E8" s="11">
        <f t="shared" si="3"/>
        <v>0</v>
      </c>
      <c r="F8" s="11">
        <f t="shared" si="3"/>
        <v>0</v>
      </c>
      <c r="G8" s="11">
        <f t="shared" si="3"/>
        <v>0</v>
      </c>
      <c r="H8" s="11">
        <f t="shared" si="3"/>
        <v>1</v>
      </c>
      <c r="I8" s="12">
        <f t="shared" si="3"/>
        <v>-1.8</v>
      </c>
      <c r="J8" s="6"/>
      <c r="K8" s="5"/>
    </row>
    <row r="9" spans="1:11" ht="15">
      <c r="B9" s="12">
        <f>B3-I4/H6</f>
        <v>1.8</v>
      </c>
      <c r="C9" s="40"/>
      <c r="D9" s="6">
        <f t="shared" ref="D9:I9" si="4">$B9*C10</f>
        <v>0</v>
      </c>
      <c r="E9" s="6">
        <f>$B9*D10</f>
        <v>0</v>
      </c>
      <c r="F9" s="6">
        <f t="shared" si="4"/>
        <v>0</v>
      </c>
      <c r="G9" s="6">
        <f t="shared" si="4"/>
        <v>0</v>
      </c>
      <c r="H9" s="6">
        <f t="shared" si="4"/>
        <v>0</v>
      </c>
      <c r="I9" s="6">
        <f t="shared" si="4"/>
        <v>1.8</v>
      </c>
      <c r="J9" s="26">
        <f>ABS(B9-B3)</f>
        <v>0.30000000000000004</v>
      </c>
      <c r="K9" s="6">
        <f xml:space="preserve"> ABS(J9/B9)*100</f>
        <v>16.666666666666668</v>
      </c>
    </row>
    <row r="10" spans="1:11" ht="15.6">
      <c r="B10" s="35"/>
      <c r="C10" s="26">
        <f t="shared" ref="C10:I10" si="5">SUM(C8:C9)</f>
        <v>0</v>
      </c>
      <c r="D10" s="13">
        <f t="shared" si="5"/>
        <v>0</v>
      </c>
      <c r="E10" s="13">
        <f t="shared" si="5"/>
        <v>0</v>
      </c>
      <c r="F10" s="13">
        <f>SUM(F8:F9)</f>
        <v>0</v>
      </c>
      <c r="G10" s="13">
        <f t="shared" si="5"/>
        <v>0</v>
      </c>
      <c r="H10" s="13">
        <f t="shared" si="5"/>
        <v>1</v>
      </c>
      <c r="I10" s="14">
        <f t="shared" si="5"/>
        <v>0</v>
      </c>
    </row>
    <row r="11" spans="1:11" ht="15.6" thickBot="1">
      <c r="B11" s="38"/>
      <c r="C11" s="42"/>
      <c r="D11" s="23">
        <f>$B9*C12</f>
        <v>0</v>
      </c>
      <c r="E11" s="23">
        <f>$B9*D12</f>
        <v>0</v>
      </c>
      <c r="F11" s="23">
        <f>$B9*E12</f>
        <v>0</v>
      </c>
      <c r="G11" s="23">
        <f>$B9*F12</f>
        <v>0</v>
      </c>
      <c r="H11" s="23">
        <f>$B9*G12</f>
        <v>0</v>
      </c>
      <c r="I11" s="39"/>
    </row>
    <row r="12" spans="1:11" ht="15.6">
      <c r="C12" s="13">
        <f t="shared" ref="C12:H12" si="6">SUM(C10:C11)</f>
        <v>0</v>
      </c>
      <c r="D12" s="13">
        <f t="shared" si="6"/>
        <v>0</v>
      </c>
      <c r="E12" s="13">
        <f t="shared" si="6"/>
        <v>0</v>
      </c>
      <c r="F12" s="13">
        <f t="shared" si="6"/>
        <v>0</v>
      </c>
      <c r="G12" s="13">
        <f t="shared" si="6"/>
        <v>0</v>
      </c>
      <c r="H12" s="8">
        <f t="shared" si="6"/>
        <v>1</v>
      </c>
    </row>
    <row r="14" spans="1:11" ht="15">
      <c r="B14" s="25" t="s">
        <v>44</v>
      </c>
      <c r="C14" s="27">
        <f t="shared" ref="C14:I14" si="7">C8</f>
        <v>0</v>
      </c>
      <c r="D14" s="28">
        <f t="shared" si="7"/>
        <v>0</v>
      </c>
      <c r="E14" s="28">
        <f t="shared" si="7"/>
        <v>0</v>
      </c>
      <c r="F14" s="28">
        <f t="shared" si="7"/>
        <v>0</v>
      </c>
      <c r="G14" s="28">
        <f t="shared" si="7"/>
        <v>0</v>
      </c>
      <c r="H14" s="28">
        <f t="shared" si="7"/>
        <v>1</v>
      </c>
      <c r="I14" s="28">
        <f t="shared" si="7"/>
        <v>-1.8</v>
      </c>
    </row>
    <row r="15" spans="1:11" ht="15">
      <c r="B15" s="41">
        <f>B9-I10/H12</f>
        <v>1.8</v>
      </c>
      <c r="C15" s="5"/>
      <c r="D15" s="6">
        <f t="shared" ref="D15:I15" si="8">$B15*C16</f>
        <v>0</v>
      </c>
      <c r="E15" s="6">
        <f t="shared" si="8"/>
        <v>0</v>
      </c>
      <c r="F15" s="6">
        <f t="shared" si="8"/>
        <v>0</v>
      </c>
      <c r="G15" s="6">
        <f t="shared" si="8"/>
        <v>0</v>
      </c>
      <c r="H15" s="6">
        <f t="shared" si="8"/>
        <v>0</v>
      </c>
      <c r="I15" s="6">
        <f t="shared" si="8"/>
        <v>1.8</v>
      </c>
      <c r="J15" s="5">
        <f>ABS(B15-B9)</f>
        <v>0</v>
      </c>
      <c r="K15" s="6">
        <f xml:space="preserve"> ABS(J15/B15)*100</f>
        <v>0</v>
      </c>
    </row>
    <row r="16" spans="1:11" ht="15.6">
      <c r="B16" s="35"/>
      <c r="C16" s="26">
        <f t="shared" ref="C16:I16" si="9">SUM(C14:C15)</f>
        <v>0</v>
      </c>
      <c r="D16" s="13">
        <f t="shared" si="9"/>
        <v>0</v>
      </c>
      <c r="E16" s="13">
        <f t="shared" si="9"/>
        <v>0</v>
      </c>
      <c r="F16" s="13">
        <f t="shared" si="9"/>
        <v>0</v>
      </c>
      <c r="G16" s="13">
        <f t="shared" si="9"/>
        <v>0</v>
      </c>
      <c r="H16" s="13">
        <f t="shared" si="9"/>
        <v>1</v>
      </c>
      <c r="I16" s="14">
        <f t="shared" si="9"/>
        <v>0</v>
      </c>
    </row>
    <row r="17" spans="2:11" ht="15.6" thickBot="1">
      <c r="B17" s="38"/>
      <c r="C17" s="22"/>
      <c r="D17" s="23">
        <f>$B15*C18</f>
        <v>0</v>
      </c>
      <c r="E17" s="23">
        <f>$B15*D18</f>
        <v>0</v>
      </c>
      <c r="F17" s="23">
        <f>$B15*E18</f>
        <v>0</v>
      </c>
      <c r="G17" s="23">
        <f>$B15*F18</f>
        <v>0</v>
      </c>
      <c r="H17" s="23">
        <f>$B15*G18</f>
        <v>0</v>
      </c>
      <c r="I17" s="24"/>
    </row>
    <row r="18" spans="2:11" ht="15.6">
      <c r="C18" s="13">
        <f t="shared" ref="C18:H18" si="10">SUM(C16:C17)</f>
        <v>0</v>
      </c>
      <c r="D18" s="13">
        <f t="shared" si="10"/>
        <v>0</v>
      </c>
      <c r="E18" s="13">
        <f t="shared" si="10"/>
        <v>0</v>
      </c>
      <c r="F18" s="13">
        <f t="shared" si="10"/>
        <v>0</v>
      </c>
      <c r="G18" s="13">
        <f t="shared" si="10"/>
        <v>0</v>
      </c>
      <c r="H18" s="8">
        <f t="shared" si="10"/>
        <v>1</v>
      </c>
      <c r="I18" s="15"/>
    </row>
    <row r="20" spans="2:11" ht="15">
      <c r="B20" s="25" t="s">
        <v>45</v>
      </c>
      <c r="C20" s="27">
        <f t="shared" ref="C20:I20" si="11">C14</f>
        <v>0</v>
      </c>
      <c r="D20" s="28">
        <f t="shared" si="11"/>
        <v>0</v>
      </c>
      <c r="E20" s="28">
        <f t="shared" si="11"/>
        <v>0</v>
      </c>
      <c r="F20" s="28">
        <f t="shared" si="11"/>
        <v>0</v>
      </c>
      <c r="G20" s="28">
        <f t="shared" si="11"/>
        <v>0</v>
      </c>
      <c r="H20" s="28">
        <f t="shared" si="11"/>
        <v>1</v>
      </c>
      <c r="I20" s="28">
        <f t="shared" si="11"/>
        <v>-1.8</v>
      </c>
      <c r="J20" s="15"/>
      <c r="K20" s="15"/>
    </row>
    <row r="21" spans="2:11" ht="15">
      <c r="B21" s="12">
        <f>B15-I16/H18</f>
        <v>1.8</v>
      </c>
      <c r="C21" s="20"/>
      <c r="D21" s="6">
        <f t="shared" ref="D21:I21" si="12">$B21*C22</f>
        <v>0</v>
      </c>
      <c r="E21" s="6">
        <f t="shared" si="12"/>
        <v>0</v>
      </c>
      <c r="F21" s="6">
        <f t="shared" si="12"/>
        <v>0</v>
      </c>
      <c r="G21" s="6">
        <f t="shared" si="12"/>
        <v>0</v>
      </c>
      <c r="H21" s="6">
        <f t="shared" si="12"/>
        <v>0</v>
      </c>
      <c r="I21" s="6">
        <f t="shared" si="12"/>
        <v>1.8</v>
      </c>
      <c r="J21" s="5">
        <f>ABS(B21-B15)</f>
        <v>0</v>
      </c>
      <c r="K21" s="6">
        <f xml:space="preserve"> ABS(J21/B21)*100</f>
        <v>0</v>
      </c>
    </row>
    <row r="22" spans="2:11" ht="15.6">
      <c r="B22" s="35"/>
      <c r="C22" s="26">
        <f t="shared" ref="C22:I22" si="13">SUM(C20:C21)</f>
        <v>0</v>
      </c>
      <c r="D22" s="13">
        <f t="shared" si="13"/>
        <v>0</v>
      </c>
      <c r="E22" s="13">
        <f t="shared" si="13"/>
        <v>0</v>
      </c>
      <c r="F22" s="13">
        <f t="shared" si="13"/>
        <v>0</v>
      </c>
      <c r="G22" s="13">
        <f t="shared" si="13"/>
        <v>0</v>
      </c>
      <c r="H22" s="13">
        <f t="shared" si="13"/>
        <v>1</v>
      </c>
      <c r="I22" s="14">
        <f t="shared" si="13"/>
        <v>0</v>
      </c>
      <c r="J22" s="15"/>
      <c r="K22" s="15"/>
    </row>
    <row r="23" spans="2:11" ht="15.6" thickBot="1">
      <c r="B23" s="38"/>
      <c r="C23" s="22"/>
      <c r="D23" s="23">
        <f>$B21*C24</f>
        <v>0</v>
      </c>
      <c r="E23" s="23">
        <f>$B21*D24</f>
        <v>0</v>
      </c>
      <c r="F23" s="23">
        <f>$B21*E24</f>
        <v>0</v>
      </c>
      <c r="G23" s="23">
        <f>$B21*F24</f>
        <v>0</v>
      </c>
      <c r="H23" s="23">
        <f>$B21*G24</f>
        <v>0</v>
      </c>
      <c r="I23" s="24"/>
      <c r="J23" s="15"/>
      <c r="K23" s="15"/>
    </row>
    <row r="24" spans="2:11" ht="15.6">
      <c r="C24" s="13">
        <f t="shared" ref="C24:H24" si="14">SUM(C22:C23)</f>
        <v>0</v>
      </c>
      <c r="D24" s="13">
        <f t="shared" si="14"/>
        <v>0</v>
      </c>
      <c r="E24" s="13">
        <f t="shared" si="14"/>
        <v>0</v>
      </c>
      <c r="F24" s="13">
        <f t="shared" si="14"/>
        <v>0</v>
      </c>
      <c r="G24" s="13">
        <f t="shared" si="14"/>
        <v>0</v>
      </c>
      <c r="H24" s="8">
        <f t="shared" si="14"/>
        <v>1</v>
      </c>
      <c r="I24" s="15"/>
      <c r="J24" s="15"/>
      <c r="K24" s="15"/>
    </row>
    <row r="26" spans="2:11" ht="15">
      <c r="B26" s="25" t="s">
        <v>46</v>
      </c>
      <c r="C26" s="27">
        <f t="shared" ref="C26:I26" si="15">C20</f>
        <v>0</v>
      </c>
      <c r="D26" s="28">
        <f t="shared" si="15"/>
        <v>0</v>
      </c>
      <c r="E26" s="28">
        <f t="shared" si="15"/>
        <v>0</v>
      </c>
      <c r="F26" s="28">
        <f t="shared" si="15"/>
        <v>0</v>
      </c>
      <c r="G26" s="28">
        <f t="shared" si="15"/>
        <v>0</v>
      </c>
      <c r="H26" s="28">
        <f t="shared" si="15"/>
        <v>1</v>
      </c>
      <c r="I26" s="28">
        <f t="shared" si="15"/>
        <v>-1.8</v>
      </c>
      <c r="J26" s="15"/>
      <c r="K26" s="15"/>
    </row>
    <row r="27" spans="2:11" ht="15">
      <c r="B27" s="12">
        <f>B21-I22/H24</f>
        <v>1.8</v>
      </c>
      <c r="C27" s="20"/>
      <c r="D27" s="6">
        <f t="shared" ref="D27:I27" si="16">$B27*C28</f>
        <v>0</v>
      </c>
      <c r="E27" s="6">
        <f t="shared" si="16"/>
        <v>0</v>
      </c>
      <c r="F27" s="6">
        <f t="shared" si="16"/>
        <v>0</v>
      </c>
      <c r="G27" s="6">
        <f t="shared" si="16"/>
        <v>0</v>
      </c>
      <c r="H27" s="6">
        <f t="shared" si="16"/>
        <v>0</v>
      </c>
      <c r="I27" s="6">
        <f t="shared" si="16"/>
        <v>1.8</v>
      </c>
      <c r="J27" s="5">
        <f>ABS(B27-B21)</f>
        <v>0</v>
      </c>
      <c r="K27" s="6">
        <f xml:space="preserve"> ABS(J27/B27)*100</f>
        <v>0</v>
      </c>
    </row>
    <row r="28" spans="2:11" ht="15.6">
      <c r="B28" s="35"/>
      <c r="C28" s="26">
        <f t="shared" ref="C28:I28" si="17">SUM(C26:C27)</f>
        <v>0</v>
      </c>
      <c r="D28" s="13">
        <f t="shared" si="17"/>
        <v>0</v>
      </c>
      <c r="E28" s="13">
        <f t="shared" si="17"/>
        <v>0</v>
      </c>
      <c r="F28" s="13">
        <f t="shared" si="17"/>
        <v>0</v>
      </c>
      <c r="G28" s="13">
        <f t="shared" si="17"/>
        <v>0</v>
      </c>
      <c r="H28" s="13">
        <f t="shared" si="17"/>
        <v>1</v>
      </c>
      <c r="I28" s="14">
        <f t="shared" si="17"/>
        <v>0</v>
      </c>
      <c r="J28" s="15"/>
      <c r="K28" s="15"/>
    </row>
    <row r="29" spans="2:11" ht="15.6" thickBot="1">
      <c r="B29" s="38"/>
      <c r="C29" s="22"/>
      <c r="D29" s="23">
        <f>$B27*C30</f>
        <v>0</v>
      </c>
      <c r="E29" s="23">
        <f>$B27*D30</f>
        <v>0</v>
      </c>
      <c r="F29" s="23">
        <f>$B27*E30</f>
        <v>0</v>
      </c>
      <c r="G29" s="23">
        <f>$B27*F30</f>
        <v>0</v>
      </c>
      <c r="H29" s="23">
        <f>$B27*G30</f>
        <v>0</v>
      </c>
      <c r="I29" s="24"/>
      <c r="J29" s="15"/>
      <c r="K29" s="15"/>
    </row>
    <row r="30" spans="2:11" ht="15.6">
      <c r="C30" s="13">
        <f t="shared" ref="C30:H30" si="18">SUM(C28:C29)</f>
        <v>0</v>
      </c>
      <c r="D30" s="13">
        <f t="shared" si="18"/>
        <v>0</v>
      </c>
      <c r="E30" s="13">
        <f t="shared" si="18"/>
        <v>0</v>
      </c>
      <c r="F30" s="13">
        <f t="shared" si="18"/>
        <v>0</v>
      </c>
      <c r="G30" s="13">
        <f t="shared" si="18"/>
        <v>0</v>
      </c>
      <c r="H30" s="8">
        <f t="shared" si="18"/>
        <v>1</v>
      </c>
      <c r="I30" s="15"/>
      <c r="J30" s="15"/>
      <c r="K30" s="15"/>
    </row>
  </sheetData>
  <conditionalFormatting sqref="B9">
    <cfRule type="expression" dxfId="29" priority="4">
      <formula xml:space="preserve"> J9 &lt; $J$1</formula>
    </cfRule>
  </conditionalFormatting>
  <conditionalFormatting sqref="B15">
    <cfRule type="expression" dxfId="28" priority="3">
      <formula>J15&lt;$J$1</formula>
    </cfRule>
  </conditionalFormatting>
  <conditionalFormatting sqref="B21">
    <cfRule type="expression" dxfId="27" priority="2">
      <formula>J21&lt;$J$1</formula>
    </cfRule>
  </conditionalFormatting>
  <conditionalFormatting sqref="B27">
    <cfRule type="expression" dxfId="26" priority="1">
      <formula>J27&lt;$J$1</formula>
    </cfRule>
  </conditionalFormatting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1AD05-A4F1-4494-A8A9-2B683A4BB603}">
  <dimension ref="A1:P25"/>
  <sheetViews>
    <sheetView workbookViewId="0">
      <selection activeCell="M28" sqref="M28"/>
    </sheetView>
  </sheetViews>
  <sheetFormatPr defaultColWidth="11.42578125" defaultRowHeight="14.45"/>
  <cols>
    <col min="1" max="1" width="7.7109375" bestFit="1" customWidth="1"/>
    <col min="2" max="2" width="10" bestFit="1" customWidth="1"/>
    <col min="3" max="6" width="9.140625" bestFit="1" customWidth="1"/>
    <col min="7" max="7" width="10" bestFit="1" customWidth="1"/>
    <col min="8" max="8" width="9.140625" bestFit="1" customWidth="1"/>
    <col min="9" max="9" width="10" bestFit="1" customWidth="1"/>
    <col min="10" max="11" width="8.28515625" bestFit="1" customWidth="1"/>
    <col min="12" max="12" width="11.28515625" bestFit="1" customWidth="1"/>
    <col min="13" max="13" width="15.140625" bestFit="1" customWidth="1"/>
    <col min="14" max="14" width="2.5703125" bestFit="1" customWidth="1"/>
    <col min="15" max="15" width="9" bestFit="1" customWidth="1"/>
    <col min="16" max="16" width="1.5703125" bestFit="1" customWidth="1"/>
  </cols>
  <sheetData>
    <row r="1" spans="1:16" ht="15.6">
      <c r="A1" s="46" t="s">
        <v>34</v>
      </c>
      <c r="B1" s="47"/>
      <c r="C1" s="48" t="s">
        <v>1</v>
      </c>
      <c r="D1" s="49" t="s">
        <v>2</v>
      </c>
      <c r="E1" s="49" t="s">
        <v>3</v>
      </c>
      <c r="F1" s="49" t="s">
        <v>4</v>
      </c>
      <c r="G1" s="49" t="s">
        <v>5</v>
      </c>
      <c r="H1" s="49" t="s">
        <v>6</v>
      </c>
      <c r="I1" s="49" t="s">
        <v>7</v>
      </c>
      <c r="J1" s="50" t="s">
        <v>9</v>
      </c>
      <c r="K1" s="51" t="s">
        <v>10</v>
      </c>
      <c r="L1" s="91"/>
      <c r="M1" s="91"/>
      <c r="N1" s="91"/>
      <c r="O1" s="91"/>
      <c r="P1" s="91"/>
    </row>
    <row r="2" spans="1:16" ht="15.6">
      <c r="A2" s="47"/>
      <c r="B2" s="53" t="s">
        <v>18</v>
      </c>
      <c r="C2" s="92">
        <v>0</v>
      </c>
      <c r="D2" s="93">
        <v>0</v>
      </c>
      <c r="E2" s="57">
        <v>0</v>
      </c>
      <c r="F2" s="57">
        <v>1</v>
      </c>
      <c r="G2" s="57">
        <v>-0.8</v>
      </c>
      <c r="H2" s="57">
        <v>0.2</v>
      </c>
      <c r="I2" s="57">
        <v>-3.6</v>
      </c>
      <c r="J2" s="94">
        <v>0.05</v>
      </c>
      <c r="K2" s="95"/>
      <c r="L2" s="47"/>
      <c r="M2" s="47"/>
      <c r="N2" s="91"/>
      <c r="O2" s="91"/>
      <c r="P2" s="91"/>
    </row>
    <row r="3" spans="1:16" ht="15.6">
      <c r="A3" s="48" t="s">
        <v>19</v>
      </c>
      <c r="B3" s="90">
        <v>-1</v>
      </c>
      <c r="C3" s="47"/>
      <c r="D3" s="49">
        <f t="shared" ref="D3:I3" si="0">$B3*C5</f>
        <v>0</v>
      </c>
      <c r="E3" s="96">
        <f t="shared" si="0"/>
        <v>0</v>
      </c>
      <c r="F3" s="96">
        <f t="shared" si="0"/>
        <v>0</v>
      </c>
      <c r="G3" s="96">
        <f t="shared" si="0"/>
        <v>-1</v>
      </c>
      <c r="H3" s="96">
        <f t="shared" si="0"/>
        <v>1.8</v>
      </c>
      <c r="I3" s="96">
        <f t="shared" si="0"/>
        <v>-2</v>
      </c>
      <c r="J3" s="47"/>
      <c r="K3" s="47"/>
      <c r="L3" s="49" t="s">
        <v>20</v>
      </c>
      <c r="M3" s="64">
        <f>B3^2+4*B4</f>
        <v>1</v>
      </c>
      <c r="N3" s="91"/>
      <c r="O3" s="91"/>
      <c r="P3" s="91"/>
    </row>
    <row r="4" spans="1:16" ht="16.149999999999999" thickBot="1">
      <c r="A4" s="48" t="s">
        <v>21</v>
      </c>
      <c r="B4" s="74">
        <v>0</v>
      </c>
      <c r="C4" s="97"/>
      <c r="D4" s="97"/>
      <c r="E4" s="98">
        <f>$B4*C5</f>
        <v>0</v>
      </c>
      <c r="F4" s="98">
        <f>$B4*D5</f>
        <v>0</v>
      </c>
      <c r="G4" s="98">
        <f>$B4*E5</f>
        <v>0</v>
      </c>
      <c r="H4" s="98">
        <f>$B4*F5</f>
        <v>0</v>
      </c>
      <c r="I4" s="98">
        <f>$B4*G5</f>
        <v>0</v>
      </c>
      <c r="J4" s="47"/>
      <c r="K4" s="47"/>
      <c r="L4" s="49" t="s">
        <v>22</v>
      </c>
      <c r="M4" s="49">
        <f>IF(M3&lt;0,B3/2,(B3+SQRT(M3))/2)</f>
        <v>0</v>
      </c>
      <c r="N4" s="47" t="str">
        <f>IF(M3&lt;0,"+","")</f>
        <v/>
      </c>
      <c r="O4" s="47" t="str">
        <f>IF(M3&lt;0,SQRT(ABS(M3))/2,"")</f>
        <v/>
      </c>
      <c r="P4" s="47" t="str">
        <f>IF(M3&lt;0,"i","")</f>
        <v/>
      </c>
    </row>
    <row r="5" spans="1:16" ht="15.6">
      <c r="A5" s="48" t="s">
        <v>23</v>
      </c>
      <c r="B5" s="67">
        <f>SQRT(SUMSQ(B3:B4))</f>
        <v>1</v>
      </c>
      <c r="C5" s="99">
        <f t="shared" ref="C5:I5" si="1">SUM(C2:C4)</f>
        <v>0</v>
      </c>
      <c r="D5" s="67">
        <f t="shared" si="1"/>
        <v>0</v>
      </c>
      <c r="E5" s="99">
        <f t="shared" si="1"/>
        <v>0</v>
      </c>
      <c r="F5" s="67">
        <f t="shared" si="1"/>
        <v>1</v>
      </c>
      <c r="G5" s="67">
        <f t="shared" si="1"/>
        <v>-1.8</v>
      </c>
      <c r="H5" s="100">
        <f t="shared" si="1"/>
        <v>2</v>
      </c>
      <c r="I5" s="100">
        <f t="shared" si="1"/>
        <v>-5.6</v>
      </c>
      <c r="J5" s="47"/>
      <c r="K5" s="47"/>
      <c r="L5" s="49" t="s">
        <v>24</v>
      </c>
      <c r="M5" s="49">
        <f>IF(M3&lt;0,M4,(B3-SQRT(M3))/2)</f>
        <v>-1</v>
      </c>
      <c r="N5" s="101" t="str">
        <f>IF(M3&lt;0,"+","")</f>
        <v/>
      </c>
      <c r="O5" s="47" t="str">
        <f>IF(M3&lt;0,-O4,"")</f>
        <v/>
      </c>
      <c r="P5" s="101"/>
    </row>
    <row r="6" spans="1:16" ht="15.6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91"/>
      <c r="M6" s="91"/>
      <c r="N6" s="91"/>
      <c r="O6" s="91"/>
      <c r="P6" s="91"/>
    </row>
    <row r="7" spans="1:16" ht="15.6">
      <c r="A7" s="47"/>
      <c r="B7" s="53" t="s">
        <v>26</v>
      </c>
      <c r="C7" s="102">
        <f t="shared" ref="C7:I7" si="2">C2</f>
        <v>0</v>
      </c>
      <c r="D7" s="93">
        <f t="shared" si="2"/>
        <v>0</v>
      </c>
      <c r="E7" s="93">
        <f t="shared" si="2"/>
        <v>0</v>
      </c>
      <c r="F7" s="93">
        <f t="shared" si="2"/>
        <v>1</v>
      </c>
      <c r="G7" s="93">
        <f t="shared" si="2"/>
        <v>-0.8</v>
      </c>
      <c r="H7" s="93">
        <f t="shared" si="2"/>
        <v>0.2</v>
      </c>
      <c r="I7" s="93">
        <f t="shared" si="2"/>
        <v>-3.6</v>
      </c>
      <c r="J7" s="47"/>
      <c r="K7" s="47"/>
      <c r="L7" s="47"/>
      <c r="M7" s="49" t="s">
        <v>27</v>
      </c>
      <c r="N7" s="91"/>
      <c r="O7" s="91"/>
      <c r="P7" s="91"/>
    </row>
    <row r="8" spans="1:16" ht="15.6">
      <c r="A8" s="48" t="s">
        <v>28</v>
      </c>
      <c r="B8" s="74">
        <f>-(H2+B9*F5)/G5</f>
        <v>-1</v>
      </c>
      <c r="C8" s="47"/>
      <c r="D8" s="49">
        <f t="shared" ref="D8:I8" si="3">$B8*C10</f>
        <v>0</v>
      </c>
      <c r="E8" s="49">
        <f t="shared" si="3"/>
        <v>0</v>
      </c>
      <c r="F8" s="49">
        <f t="shared" si="3"/>
        <v>0</v>
      </c>
      <c r="G8" s="49">
        <f t="shared" si="3"/>
        <v>-1</v>
      </c>
      <c r="H8" s="49">
        <f t="shared" si="3"/>
        <v>1.8</v>
      </c>
      <c r="I8" s="49">
        <f t="shared" si="3"/>
        <v>0</v>
      </c>
      <c r="J8" s="47"/>
      <c r="K8" s="47"/>
      <c r="L8" s="49" t="s">
        <v>20</v>
      </c>
      <c r="M8" s="64">
        <f>B8^2+4*B9</f>
        <v>-7</v>
      </c>
      <c r="N8" s="91"/>
      <c r="O8" s="91"/>
      <c r="P8" s="91"/>
    </row>
    <row r="9" spans="1:16" ht="16.149999999999999" thickBot="1">
      <c r="A9" s="48" t="s">
        <v>29</v>
      </c>
      <c r="B9" s="75">
        <f>-I2/G5</f>
        <v>-2</v>
      </c>
      <c r="C9" s="103"/>
      <c r="D9" s="97"/>
      <c r="E9" s="98">
        <f>$B9*C10</f>
        <v>0</v>
      </c>
      <c r="F9" s="98">
        <f>$B9*D10</f>
        <v>0</v>
      </c>
      <c r="G9" s="98">
        <f>$B9*E10</f>
        <v>0</v>
      </c>
      <c r="H9" s="98">
        <f>$B9*F10</f>
        <v>-2</v>
      </c>
      <c r="I9" s="98">
        <f>$B9*G10</f>
        <v>3.6</v>
      </c>
      <c r="J9" s="47"/>
      <c r="K9" s="47"/>
      <c r="L9" s="49" t="s">
        <v>22</v>
      </c>
      <c r="M9" s="48">
        <f>IF(M8&lt;0,B8/2,(B8+SQRT(M8))/2)</f>
        <v>-0.5</v>
      </c>
      <c r="N9" s="49" t="s">
        <v>30</v>
      </c>
      <c r="O9" s="49">
        <f>IF(M8&lt;0,SQRT(ABS(M8))/2,"")</f>
        <v>1.3228756555322954</v>
      </c>
      <c r="P9" s="49" t="str">
        <f>IF(M8&lt;0,"i","")</f>
        <v>i</v>
      </c>
    </row>
    <row r="10" spans="1:16" ht="15.6">
      <c r="A10" s="49" t="s">
        <v>23</v>
      </c>
      <c r="B10" s="67">
        <f>SQRT(SUMSQ(B8:B9))</f>
        <v>2.2360679774997898</v>
      </c>
      <c r="C10" s="67">
        <f t="shared" ref="C10:I10" si="4">SUM(C7:C9)</f>
        <v>0</v>
      </c>
      <c r="D10" s="67">
        <f t="shared" si="4"/>
        <v>0</v>
      </c>
      <c r="E10" s="67">
        <f t="shared" si="4"/>
        <v>0</v>
      </c>
      <c r="F10" s="67">
        <f t="shared" si="4"/>
        <v>1</v>
      </c>
      <c r="G10" s="67">
        <f t="shared" si="4"/>
        <v>-1.8</v>
      </c>
      <c r="H10" s="100">
        <f t="shared" si="4"/>
        <v>0</v>
      </c>
      <c r="I10" s="100">
        <f t="shared" si="4"/>
        <v>0</v>
      </c>
      <c r="J10" s="49">
        <f>ABS(B10-B5)</f>
        <v>1.2360679774997898</v>
      </c>
      <c r="K10" s="48">
        <f>ABS(J10/B10)*100</f>
        <v>55.278640450004211</v>
      </c>
      <c r="L10" s="49" t="s">
        <v>24</v>
      </c>
      <c r="M10" s="48">
        <f>IF(M8&lt;0,M9,(B8-SQRT(M8))/2)</f>
        <v>-0.5</v>
      </c>
      <c r="N10" s="104" t="s">
        <v>30</v>
      </c>
      <c r="O10" s="49">
        <f>IF(M8&lt;0,-O9,"")</f>
        <v>-1.3228756555322954</v>
      </c>
      <c r="P10" s="104" t="s">
        <v>25</v>
      </c>
    </row>
    <row r="11" spans="1:16" ht="15.6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91"/>
      <c r="M11" s="91"/>
      <c r="N11" s="91"/>
      <c r="O11" s="91"/>
      <c r="P11" s="91"/>
    </row>
    <row r="12" spans="1:16" ht="15.6">
      <c r="A12" s="47"/>
      <c r="B12" s="53" t="s">
        <v>31</v>
      </c>
      <c r="C12" s="92">
        <f t="shared" ref="C12:I12" si="5">C7</f>
        <v>0</v>
      </c>
      <c r="D12" s="75">
        <f t="shared" si="5"/>
        <v>0</v>
      </c>
      <c r="E12" s="93">
        <f t="shared" si="5"/>
        <v>0</v>
      </c>
      <c r="F12" s="93">
        <f t="shared" si="5"/>
        <v>1</v>
      </c>
      <c r="G12" s="93">
        <f t="shared" si="5"/>
        <v>-0.8</v>
      </c>
      <c r="H12" s="93">
        <f t="shared" si="5"/>
        <v>0.2</v>
      </c>
      <c r="I12" s="93">
        <f t="shared" si="5"/>
        <v>-3.6</v>
      </c>
      <c r="J12" s="47"/>
      <c r="K12" s="47"/>
      <c r="L12" s="91"/>
      <c r="M12" s="91"/>
      <c r="N12" s="91"/>
      <c r="O12" s="91"/>
      <c r="P12" s="91"/>
    </row>
    <row r="13" spans="1:16" ht="15.6">
      <c r="A13" s="48" t="s">
        <v>19</v>
      </c>
      <c r="B13" s="80">
        <f>-(H7+B14*F10)/G10</f>
        <v>-1</v>
      </c>
      <c r="C13" s="47"/>
      <c r="D13" s="48">
        <f t="shared" ref="D13:I13" si="6">$B13*C15</f>
        <v>0</v>
      </c>
      <c r="E13" s="49">
        <f t="shared" si="6"/>
        <v>0</v>
      </c>
      <c r="F13" s="49">
        <f t="shared" si="6"/>
        <v>0</v>
      </c>
      <c r="G13" s="49">
        <f t="shared" si="6"/>
        <v>-1</v>
      </c>
      <c r="H13" s="49">
        <f t="shared" si="6"/>
        <v>1.8</v>
      </c>
      <c r="I13" s="49">
        <f t="shared" si="6"/>
        <v>0</v>
      </c>
      <c r="J13" s="47"/>
      <c r="K13" s="47"/>
      <c r="L13" s="49" t="s">
        <v>20</v>
      </c>
      <c r="M13" s="64">
        <f>B13^2+4*B14</f>
        <v>-7</v>
      </c>
      <c r="N13" s="91"/>
      <c r="O13" s="91"/>
      <c r="P13" s="91"/>
    </row>
    <row r="14" spans="1:16" ht="16.149999999999999" thickBot="1">
      <c r="A14" s="48" t="s">
        <v>21</v>
      </c>
      <c r="B14" s="75">
        <f>-I7/G10</f>
        <v>-2</v>
      </c>
      <c r="C14" s="103"/>
      <c r="D14" s="97"/>
      <c r="E14" s="98">
        <f>$B14*C15</f>
        <v>0</v>
      </c>
      <c r="F14" s="98">
        <f>$B14*D15</f>
        <v>0</v>
      </c>
      <c r="G14" s="98">
        <f>$B14*E15</f>
        <v>0</v>
      </c>
      <c r="H14" s="98">
        <f>$B14*F15</f>
        <v>-2</v>
      </c>
      <c r="I14" s="98">
        <f>$B14*G15</f>
        <v>3.6</v>
      </c>
      <c r="J14" s="47"/>
      <c r="K14" s="47"/>
      <c r="L14" s="49" t="s">
        <v>22</v>
      </c>
      <c r="M14" s="48">
        <f>IF(M13&lt;0,B13/2,(B13+SQRT(M13))/2)</f>
        <v>-0.5</v>
      </c>
      <c r="N14" s="49" t="s">
        <v>30</v>
      </c>
      <c r="O14" s="49">
        <f>IF(M13&lt;0,SQRT(ABS(M13))/2,"")</f>
        <v>1.3228756555322954</v>
      </c>
      <c r="P14" s="49" t="str">
        <f>IF(M13&lt;0,"i","")</f>
        <v>i</v>
      </c>
    </row>
    <row r="15" spans="1:16" ht="15.6">
      <c r="A15" s="48" t="s">
        <v>23</v>
      </c>
      <c r="B15" s="67">
        <f>SQRT(SUMSQ(B13:B14))</f>
        <v>2.2360679774997898</v>
      </c>
      <c r="C15" s="67">
        <f t="shared" ref="C15:I15" si="7">SUM(C12:C14)</f>
        <v>0</v>
      </c>
      <c r="D15" s="84">
        <f t="shared" si="7"/>
        <v>0</v>
      </c>
      <c r="E15" s="67">
        <f t="shared" si="7"/>
        <v>0</v>
      </c>
      <c r="F15" s="67">
        <f t="shared" si="7"/>
        <v>1</v>
      </c>
      <c r="G15" s="67">
        <f t="shared" si="7"/>
        <v>-1.8</v>
      </c>
      <c r="H15" s="100">
        <f t="shared" si="7"/>
        <v>0</v>
      </c>
      <c r="I15" s="100">
        <f t="shared" si="7"/>
        <v>0</v>
      </c>
      <c r="J15" s="105">
        <f>ABS(B15-B10)</f>
        <v>0</v>
      </c>
      <c r="K15" s="48">
        <f>ABS(J15/B15)*100</f>
        <v>0</v>
      </c>
      <c r="L15" s="49" t="s">
        <v>24</v>
      </c>
      <c r="M15" s="48">
        <f>IF(M13&lt;0,M14,(B13-SQRT(M13))/2)</f>
        <v>-0.5</v>
      </c>
      <c r="N15" s="104" t="s">
        <v>30</v>
      </c>
      <c r="O15" s="49">
        <f>IF(M13&lt;0,-O14,"")</f>
        <v>-1.3228756555322954</v>
      </c>
      <c r="P15" s="104" t="s">
        <v>25</v>
      </c>
    </row>
    <row r="16" spans="1:16" ht="15.6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91"/>
      <c r="M16" s="91"/>
      <c r="N16" s="91"/>
      <c r="O16" s="91"/>
      <c r="P16" s="91"/>
    </row>
    <row r="17" spans="1:16" ht="15.6">
      <c r="A17" s="47"/>
      <c r="B17" s="53" t="s">
        <v>32</v>
      </c>
      <c r="C17" s="92">
        <f t="shared" ref="C17:I17" si="8">C12</f>
        <v>0</v>
      </c>
      <c r="D17" s="106">
        <f t="shared" si="8"/>
        <v>0</v>
      </c>
      <c r="E17" s="106">
        <f t="shared" si="8"/>
        <v>0</v>
      </c>
      <c r="F17" s="106">
        <f t="shared" si="8"/>
        <v>1</v>
      </c>
      <c r="G17" s="106">
        <f t="shared" si="8"/>
        <v>-0.8</v>
      </c>
      <c r="H17" s="106">
        <f t="shared" si="8"/>
        <v>0.2</v>
      </c>
      <c r="I17" s="106">
        <f t="shared" si="8"/>
        <v>-3.6</v>
      </c>
      <c r="J17" s="47"/>
      <c r="K17" s="47"/>
      <c r="L17" s="91"/>
      <c r="M17" s="91"/>
      <c r="N17" s="91"/>
      <c r="O17" s="91"/>
      <c r="P17" s="91"/>
    </row>
    <row r="18" spans="1:16" ht="15.6">
      <c r="A18" s="47" t="s">
        <v>28</v>
      </c>
      <c r="B18" s="74">
        <f>-(H12+B19*F15)/G15</f>
        <v>-1</v>
      </c>
      <c r="C18" s="47"/>
      <c r="D18" s="49">
        <f t="shared" ref="D18:I18" si="9">$B18*C20</f>
        <v>0</v>
      </c>
      <c r="E18" s="96">
        <f t="shared" si="9"/>
        <v>0</v>
      </c>
      <c r="F18" s="96">
        <f t="shared" si="9"/>
        <v>0</v>
      </c>
      <c r="G18" s="96">
        <f t="shared" si="9"/>
        <v>-1</v>
      </c>
      <c r="H18" s="96">
        <f t="shared" si="9"/>
        <v>1.8</v>
      </c>
      <c r="I18" s="96">
        <f t="shared" si="9"/>
        <v>0</v>
      </c>
      <c r="J18" s="47"/>
      <c r="K18" s="47"/>
      <c r="L18" s="49" t="s">
        <v>20</v>
      </c>
      <c r="M18" s="64">
        <f>B18^2+4*B19</f>
        <v>-7</v>
      </c>
      <c r="N18" s="91"/>
      <c r="O18" s="91"/>
      <c r="P18" s="91"/>
    </row>
    <row r="19" spans="1:16" ht="16.149999999999999" thickBot="1">
      <c r="A19" s="47" t="s">
        <v>29</v>
      </c>
      <c r="B19" s="75">
        <f>-I12/G15</f>
        <v>-2</v>
      </c>
      <c r="C19" s="103"/>
      <c r="D19" s="97"/>
      <c r="E19" s="98">
        <f>$B19*C20</f>
        <v>0</v>
      </c>
      <c r="F19" s="98">
        <f>$B19*D20</f>
        <v>0</v>
      </c>
      <c r="G19" s="98">
        <f>$B19*E20</f>
        <v>0</v>
      </c>
      <c r="H19" s="98">
        <f>$B19*F20</f>
        <v>-2</v>
      </c>
      <c r="I19" s="98">
        <f>$B19*G20</f>
        <v>3.6</v>
      </c>
      <c r="J19" s="47"/>
      <c r="K19" s="47"/>
      <c r="L19" s="49" t="s">
        <v>22</v>
      </c>
      <c r="M19" s="48">
        <f>IF(M18&lt;0,B18/2,(B18+SQRT(M18))/2)</f>
        <v>-0.5</v>
      </c>
      <c r="N19" s="49" t="s">
        <v>30</v>
      </c>
      <c r="O19" s="49">
        <f>IF(M18&lt;0,SQRT(ABS(M18))/2,"")</f>
        <v>1.3228756555322954</v>
      </c>
      <c r="P19" s="49" t="str">
        <f>IF(M18&lt;0,"i","")</f>
        <v>i</v>
      </c>
    </row>
    <row r="20" spans="1:16" ht="15.6">
      <c r="A20" s="47" t="s">
        <v>23</v>
      </c>
      <c r="B20" s="84">
        <f>SQRT(SUMSQ(B18:B19))</f>
        <v>2.2360679774997898</v>
      </c>
      <c r="C20" s="67">
        <f t="shared" ref="C20:I20" si="10">SUM(C17:C19)</f>
        <v>0</v>
      </c>
      <c r="D20" s="67">
        <f t="shared" si="10"/>
        <v>0</v>
      </c>
      <c r="E20" s="99">
        <f t="shared" si="10"/>
        <v>0</v>
      </c>
      <c r="F20" s="67">
        <f t="shared" si="10"/>
        <v>1</v>
      </c>
      <c r="G20" s="67">
        <f t="shared" si="10"/>
        <v>-1.8</v>
      </c>
      <c r="H20" s="100">
        <f t="shared" si="10"/>
        <v>0</v>
      </c>
      <c r="I20" s="107">
        <f t="shared" si="10"/>
        <v>0</v>
      </c>
      <c r="J20" s="49">
        <f>ABS(B20-B15)</f>
        <v>0</v>
      </c>
      <c r="K20" s="49">
        <f>ABS(J20/B20)*100</f>
        <v>0</v>
      </c>
      <c r="L20" s="105" t="s">
        <v>24</v>
      </c>
      <c r="M20" s="48">
        <f>IF(M18&lt;0,M19,(B18-SQRT(M18))/2)</f>
        <v>-0.5</v>
      </c>
      <c r="N20" s="104" t="s">
        <v>30</v>
      </c>
      <c r="O20" s="49">
        <f>IF(M18&lt;0,-O19,"")</f>
        <v>-1.3228756555322954</v>
      </c>
      <c r="P20" s="104" t="s">
        <v>25</v>
      </c>
    </row>
    <row r="21" spans="1:16" ht="15.6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91"/>
      <c r="M21" s="91"/>
      <c r="N21" s="91"/>
      <c r="O21" s="91"/>
      <c r="P21" s="91"/>
    </row>
    <row r="22" spans="1:16" ht="15.6">
      <c r="A22" s="47"/>
      <c r="B22" s="53" t="s">
        <v>33</v>
      </c>
      <c r="C22" s="92">
        <f t="shared" ref="C22:I22" si="11">C17</f>
        <v>0</v>
      </c>
      <c r="D22" s="106">
        <f t="shared" si="11"/>
        <v>0</v>
      </c>
      <c r="E22" s="106">
        <f t="shared" si="11"/>
        <v>0</v>
      </c>
      <c r="F22" s="106">
        <f t="shared" si="11"/>
        <v>1</v>
      </c>
      <c r="G22" s="106">
        <f t="shared" si="11"/>
        <v>-0.8</v>
      </c>
      <c r="H22" s="106">
        <f t="shared" si="11"/>
        <v>0.2</v>
      </c>
      <c r="I22" s="106">
        <f t="shared" si="11"/>
        <v>-3.6</v>
      </c>
      <c r="J22" s="47"/>
      <c r="K22" s="47"/>
      <c r="L22" s="91"/>
      <c r="M22" s="91"/>
      <c r="N22" s="91"/>
      <c r="O22" s="91"/>
      <c r="P22" s="91"/>
    </row>
    <row r="23" spans="1:16" ht="15.6">
      <c r="A23" s="47" t="s">
        <v>28</v>
      </c>
      <c r="B23" s="74">
        <f>-(H17+B24*F20)/G20</f>
        <v>-1</v>
      </c>
      <c r="C23" s="47"/>
      <c r="D23" s="49">
        <f t="shared" ref="D23:I23" si="12">$B23*C25</f>
        <v>0</v>
      </c>
      <c r="E23" s="96">
        <f t="shared" si="12"/>
        <v>0</v>
      </c>
      <c r="F23" s="96">
        <f t="shared" si="12"/>
        <v>0</v>
      </c>
      <c r="G23" s="96">
        <f t="shared" si="12"/>
        <v>-1</v>
      </c>
      <c r="H23" s="96">
        <f t="shared" si="12"/>
        <v>1.8</v>
      </c>
      <c r="I23" s="96">
        <f t="shared" si="12"/>
        <v>0</v>
      </c>
      <c r="J23" s="47"/>
      <c r="K23" s="47"/>
      <c r="L23" s="48" t="s">
        <v>20</v>
      </c>
      <c r="M23" s="64">
        <f>B23^2+4*B24</f>
        <v>-7</v>
      </c>
      <c r="N23" s="91"/>
      <c r="O23" s="91"/>
      <c r="P23" s="91"/>
    </row>
    <row r="24" spans="1:16" ht="16.149999999999999" thickBot="1">
      <c r="A24" s="47" t="s">
        <v>29</v>
      </c>
      <c r="B24" s="75">
        <f>-I17/G20</f>
        <v>-2</v>
      </c>
      <c r="C24" s="103"/>
      <c r="D24" s="97"/>
      <c r="E24" s="98">
        <f>$B24*C25</f>
        <v>0</v>
      </c>
      <c r="F24" s="98">
        <f>$B24*D25</f>
        <v>0</v>
      </c>
      <c r="G24" s="98">
        <f>$B24*E25</f>
        <v>0</v>
      </c>
      <c r="H24" s="98">
        <f>$B24*F25</f>
        <v>-2</v>
      </c>
      <c r="I24" s="98">
        <f>$B24*G25</f>
        <v>3.6</v>
      </c>
      <c r="J24" s="47"/>
      <c r="K24" s="47"/>
      <c r="L24" s="49" t="s">
        <v>22</v>
      </c>
      <c r="M24" s="84">
        <f>IF(M23&lt;0,B23/2,(B23+SQRT(M23))/2)</f>
        <v>-0.5</v>
      </c>
      <c r="N24" s="49" t="s">
        <v>30</v>
      </c>
      <c r="O24" s="49">
        <f>IF(M23&lt;0,SQRT(ABS(M23))/2,"")</f>
        <v>1.3228756555322954</v>
      </c>
      <c r="P24" s="49" t="str">
        <f>IF(M23&lt;0,"i","")</f>
        <v>i</v>
      </c>
    </row>
    <row r="25" spans="1:16" ht="15.6">
      <c r="A25" s="47" t="s">
        <v>23</v>
      </c>
      <c r="B25" s="84">
        <f>SQRT(SUMSQ(B23:B24))</f>
        <v>2.2360679774997898</v>
      </c>
      <c r="C25" s="67">
        <f t="shared" ref="C25:I25" si="13">SUM(C22:C24)</f>
        <v>0</v>
      </c>
      <c r="D25" s="67">
        <f t="shared" si="13"/>
        <v>0</v>
      </c>
      <c r="E25" s="67">
        <f t="shared" si="13"/>
        <v>0</v>
      </c>
      <c r="F25" s="67">
        <f t="shared" si="13"/>
        <v>1</v>
      </c>
      <c r="G25" s="67">
        <f t="shared" si="13"/>
        <v>-1.8</v>
      </c>
      <c r="H25" s="100">
        <f t="shared" si="13"/>
        <v>0</v>
      </c>
      <c r="I25" s="100">
        <f t="shared" si="13"/>
        <v>0</v>
      </c>
      <c r="J25" s="49">
        <f>ABS(B25-B20)</f>
        <v>0</v>
      </c>
      <c r="K25" s="49">
        <f>ABS(J25/B25)*100</f>
        <v>0</v>
      </c>
      <c r="L25" s="105" t="s">
        <v>24</v>
      </c>
      <c r="M25" s="49">
        <f>IF(M23&lt;0,M24,(B23-SQRT(M23))/2)</f>
        <v>-0.5</v>
      </c>
      <c r="N25" s="108" t="s">
        <v>30</v>
      </c>
      <c r="O25" s="67">
        <f>IF(M23&lt;0,-O24,"")</f>
        <v>-1.3228756555322954</v>
      </c>
      <c r="P25" s="108" t="s">
        <v>25</v>
      </c>
    </row>
  </sheetData>
  <conditionalFormatting sqref="B10">
    <cfRule type="expression" dxfId="25" priority="1">
      <formula>J10&lt;$J$2</formula>
    </cfRule>
  </conditionalFormatting>
  <conditionalFormatting sqref="B15">
    <cfRule type="expression" dxfId="24" priority="6">
      <formula>K15&lt;$K$2</formula>
    </cfRule>
    <cfRule type="expression" dxfId="23" priority="7">
      <formula>J15&lt;$J$2</formula>
    </cfRule>
  </conditionalFormatting>
  <conditionalFormatting sqref="B20">
    <cfRule type="expression" dxfId="22" priority="4">
      <formula>K20&lt;$K$2</formula>
    </cfRule>
    <cfRule type="expression" dxfId="21" priority="5">
      <formula>J20&lt;$J$2</formula>
    </cfRule>
  </conditionalFormatting>
  <conditionalFormatting sqref="B25">
    <cfRule type="expression" dxfId="20" priority="2">
      <formula>K25&lt;$K$2</formula>
    </cfRule>
    <cfRule type="expression" dxfId="19" priority="3">
      <formula>J25&lt;$J$2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3DD39-E2F2-4D25-974B-27A23663FE7A}">
  <dimension ref="A1:K36"/>
  <sheetViews>
    <sheetView topLeftCell="A25" zoomScaleNormal="100" workbookViewId="0">
      <selection activeCell="C34" sqref="C34:H34"/>
    </sheetView>
  </sheetViews>
  <sheetFormatPr defaultColWidth="11.42578125" defaultRowHeight="14.45"/>
  <cols>
    <col min="1" max="1" width="19.140625" bestFit="1" customWidth="1"/>
    <col min="2" max="2" width="9.28515625" bestFit="1" customWidth="1"/>
    <col min="3" max="3" width="7.7109375" bestFit="1" customWidth="1"/>
    <col min="4" max="5" width="8.5703125" bestFit="1" customWidth="1"/>
    <col min="6" max="6" width="9.7109375" bestFit="1" customWidth="1"/>
    <col min="7" max="7" width="10.28515625" bestFit="1" customWidth="1"/>
    <col min="8" max="8" width="12.28515625" bestFit="1" customWidth="1"/>
    <col min="9" max="9" width="11.42578125" bestFit="1" customWidth="1"/>
    <col min="10" max="10" width="7.7109375" bestFit="1" customWidth="1"/>
    <col min="11" max="11" width="9" bestFit="1" customWidth="1"/>
    <col min="13" max="13" width="19.140625" bestFit="1" customWidth="1"/>
    <col min="14" max="14" width="11" bestFit="1" customWidth="1"/>
    <col min="15" max="15" width="7.7109375" bestFit="1" customWidth="1"/>
    <col min="16" max="16" width="8.5703125" bestFit="1" customWidth="1"/>
    <col min="17" max="17" width="7.7109375" bestFit="1" customWidth="1"/>
    <col min="18" max="18" width="9.7109375" bestFit="1" customWidth="1"/>
    <col min="19" max="19" width="10.28515625" bestFit="1" customWidth="1"/>
    <col min="20" max="20" width="12.28515625" bestFit="1" customWidth="1"/>
    <col min="21" max="21" width="11.42578125" bestFit="1" customWidth="1"/>
    <col min="22" max="22" width="7.7109375" bestFit="1" customWidth="1"/>
  </cols>
  <sheetData>
    <row r="1" spans="1:11" ht="15.6">
      <c r="A1" s="16" t="s">
        <v>0</v>
      </c>
      <c r="B1" s="29"/>
      <c r="C1" s="30" t="s">
        <v>1</v>
      </c>
      <c r="D1" s="30" t="s">
        <v>2</v>
      </c>
      <c r="E1" s="30" t="s">
        <v>3</v>
      </c>
      <c r="F1" s="30" t="s">
        <v>4</v>
      </c>
      <c r="G1" s="30" t="s">
        <v>5</v>
      </c>
      <c r="H1" s="30" t="s">
        <v>6</v>
      </c>
      <c r="I1" s="30" t="s">
        <v>7</v>
      </c>
      <c r="J1" s="32"/>
      <c r="K1" s="33">
        <v>0.1</v>
      </c>
    </row>
    <row r="2" spans="1:11" ht="15.6">
      <c r="A2" s="17"/>
      <c r="B2" s="25" t="s">
        <v>8</v>
      </c>
      <c r="C2" s="36">
        <v>0</v>
      </c>
      <c r="D2" s="31">
        <v>1</v>
      </c>
      <c r="E2" s="31">
        <v>0</v>
      </c>
      <c r="F2" s="31">
        <v>0</v>
      </c>
      <c r="G2" s="31">
        <v>0</v>
      </c>
      <c r="H2" s="31">
        <v>1</v>
      </c>
      <c r="I2" s="31">
        <v>1</v>
      </c>
      <c r="J2" s="18" t="s">
        <v>9</v>
      </c>
      <c r="K2" s="19" t="s">
        <v>10</v>
      </c>
    </row>
    <row r="3" spans="1:11" ht="15.6">
      <c r="A3" s="17"/>
      <c r="B3" s="37">
        <v>-1.2</v>
      </c>
      <c r="C3" s="34"/>
      <c r="D3" s="2">
        <f t="shared" ref="D3:I3" si="0">$B3*C4</f>
        <v>0</v>
      </c>
      <c r="E3" s="2">
        <f t="shared" si="0"/>
        <v>-1.2</v>
      </c>
      <c r="F3" s="2">
        <f t="shared" si="0"/>
        <v>1.44</v>
      </c>
      <c r="G3" s="2">
        <f t="shared" si="0"/>
        <v>-1.728</v>
      </c>
      <c r="H3" s="2">
        <f t="shared" si="0"/>
        <v>2.0735999999999999</v>
      </c>
      <c r="I3" s="2">
        <f t="shared" si="0"/>
        <v>-3.6883199999999996</v>
      </c>
      <c r="J3" s="5"/>
      <c r="K3" s="6"/>
    </row>
    <row r="4" spans="1:11" ht="15.6">
      <c r="B4" s="4"/>
      <c r="C4" s="20">
        <f>SUM(C2:C3)</f>
        <v>0</v>
      </c>
      <c r="D4" s="5">
        <f t="shared" ref="D4:I4" si="1">SUM(D2:D3)</f>
        <v>1</v>
      </c>
      <c r="E4" s="6">
        <f t="shared" si="1"/>
        <v>-1.2</v>
      </c>
      <c r="F4" s="6">
        <f t="shared" si="1"/>
        <v>1.44</v>
      </c>
      <c r="G4" s="6">
        <f t="shared" si="1"/>
        <v>-1.728</v>
      </c>
      <c r="H4" s="6">
        <f t="shared" si="1"/>
        <v>3.0735999999999999</v>
      </c>
      <c r="I4" s="7">
        <f t="shared" si="1"/>
        <v>-2.6883199999999996</v>
      </c>
      <c r="J4" s="5"/>
      <c r="K4" s="6"/>
    </row>
    <row r="5" spans="1:11" ht="15.6" thickBot="1">
      <c r="C5" s="21"/>
      <c r="D5" s="22">
        <f>$B3*C6</f>
        <v>0</v>
      </c>
      <c r="E5" s="23">
        <f>$B3*D6</f>
        <v>-1.2</v>
      </c>
      <c r="F5" s="23">
        <f>$B3*E6</f>
        <v>2.88</v>
      </c>
      <c r="G5" s="23">
        <f>$B3*F6</f>
        <v>-5.1840000000000002</v>
      </c>
      <c r="H5" s="24">
        <f>$B3*G6</f>
        <v>8.2943999999999996</v>
      </c>
      <c r="I5" s="1"/>
      <c r="J5" s="6"/>
      <c r="K5" s="6"/>
    </row>
    <row r="6" spans="1:11" ht="15.6">
      <c r="C6" s="13">
        <f>SUM(C4:C5)</f>
        <v>0</v>
      </c>
      <c r="D6" s="13">
        <f t="shared" ref="D6:H6" si="2">SUM(D4:D5)</f>
        <v>1</v>
      </c>
      <c r="E6" s="13">
        <f t="shared" si="2"/>
        <v>-2.4</v>
      </c>
      <c r="F6" s="13">
        <f t="shared" si="2"/>
        <v>4.32</v>
      </c>
      <c r="G6" s="13">
        <f t="shared" si="2"/>
        <v>-6.9119999999999999</v>
      </c>
      <c r="H6" s="8">
        <f t="shared" si="2"/>
        <v>11.367999999999999</v>
      </c>
      <c r="I6" s="9"/>
      <c r="J6" s="6"/>
      <c r="K6" s="5"/>
    </row>
    <row r="7" spans="1:11" ht="15">
      <c r="C7" s="9"/>
      <c r="D7" s="9"/>
      <c r="E7" s="9"/>
      <c r="F7" s="9"/>
      <c r="G7" s="9"/>
      <c r="H7" s="9"/>
      <c r="I7" s="9"/>
      <c r="J7" s="6"/>
      <c r="K7" s="5"/>
    </row>
    <row r="8" spans="1:11" ht="15">
      <c r="B8" s="25" t="s">
        <v>11</v>
      </c>
      <c r="C8" s="10">
        <f t="shared" ref="C8:I8" si="3">C2</f>
        <v>0</v>
      </c>
      <c r="D8" s="11">
        <f t="shared" si="3"/>
        <v>1</v>
      </c>
      <c r="E8" s="11">
        <f t="shared" si="3"/>
        <v>0</v>
      </c>
      <c r="F8" s="11">
        <f t="shared" si="3"/>
        <v>0</v>
      </c>
      <c r="G8" s="11">
        <f t="shared" si="3"/>
        <v>0</v>
      </c>
      <c r="H8" s="11">
        <f t="shared" si="3"/>
        <v>1</v>
      </c>
      <c r="I8" s="12">
        <f t="shared" si="3"/>
        <v>1</v>
      </c>
      <c r="J8" s="6"/>
      <c r="K8" s="5"/>
    </row>
    <row r="9" spans="1:11" ht="15">
      <c r="B9" s="12">
        <f>B3-I4/H6</f>
        <v>-0.96351864883884586</v>
      </c>
      <c r="C9" s="40"/>
      <c r="D9" s="6">
        <f t="shared" ref="D9:I9" si="4">$B9*C10</f>
        <v>0</v>
      </c>
      <c r="E9" s="6">
        <f>$B9*D10</f>
        <v>-0.96351864883884586</v>
      </c>
      <c r="F9" s="6">
        <f t="shared" si="4"/>
        <v>0.92836818666023513</v>
      </c>
      <c r="G9" s="6">
        <f t="shared" si="4"/>
        <v>-0.89450006083583922</v>
      </c>
      <c r="H9" s="6">
        <f t="shared" si="4"/>
        <v>0.86186749000281326</v>
      </c>
      <c r="I9" s="6">
        <f t="shared" si="4"/>
        <v>-1.7939440482844839</v>
      </c>
      <c r="J9" s="26">
        <f>ABS(B9-B3)</f>
        <v>0.2364813511611541</v>
      </c>
      <c r="K9" s="6">
        <f xml:space="preserve"> ABS(J9/B9)*100</f>
        <v>24.543515732273804</v>
      </c>
    </row>
    <row r="10" spans="1:11" ht="15.6">
      <c r="B10" s="35"/>
      <c r="C10" s="26">
        <f t="shared" ref="C10:I10" si="5">SUM(C8:C9)</f>
        <v>0</v>
      </c>
      <c r="D10" s="13">
        <f t="shared" si="5"/>
        <v>1</v>
      </c>
      <c r="E10" s="13">
        <f t="shared" si="5"/>
        <v>-0.96351864883884586</v>
      </c>
      <c r="F10" s="13">
        <f>SUM(F8:F9)</f>
        <v>0.92836818666023513</v>
      </c>
      <c r="G10" s="13">
        <f t="shared" si="5"/>
        <v>-0.89450006083583922</v>
      </c>
      <c r="H10" s="13">
        <f t="shared" si="5"/>
        <v>1.8618674900028132</v>
      </c>
      <c r="I10" s="14">
        <f t="shared" si="5"/>
        <v>-0.79394404828448395</v>
      </c>
    </row>
    <row r="11" spans="1:11" ht="15.6" thickBot="1">
      <c r="B11" s="38"/>
      <c r="C11" s="42"/>
      <c r="D11" s="23">
        <f>$B9*C12</f>
        <v>0</v>
      </c>
      <c r="E11" s="23">
        <f>$B9*D12</f>
        <v>-0.96351864883884586</v>
      </c>
      <c r="F11" s="23">
        <f>$B9*E12</f>
        <v>1.8567363733204703</v>
      </c>
      <c r="G11" s="23">
        <f>$B9*F12</f>
        <v>-2.6835001825075175</v>
      </c>
      <c r="H11" s="23">
        <f>$B9*G12</f>
        <v>3.4474699600112531</v>
      </c>
      <c r="I11" s="39"/>
    </row>
    <row r="12" spans="1:11" ht="15.6">
      <c r="C12" s="13">
        <f t="shared" ref="C12:H12" si="6">SUM(C10:C11)</f>
        <v>0</v>
      </c>
      <c r="D12" s="13">
        <f t="shared" si="6"/>
        <v>1</v>
      </c>
      <c r="E12" s="13">
        <f t="shared" si="6"/>
        <v>-1.9270372976776917</v>
      </c>
      <c r="F12" s="13">
        <f t="shared" si="6"/>
        <v>2.7851045599807054</v>
      </c>
      <c r="G12" s="13">
        <f t="shared" si="6"/>
        <v>-3.5780002433433569</v>
      </c>
      <c r="H12" s="8">
        <f t="shared" si="6"/>
        <v>5.3093374500140662</v>
      </c>
    </row>
    <row r="14" spans="1:11" ht="15">
      <c r="B14" s="25" t="s">
        <v>12</v>
      </c>
      <c r="C14" s="27">
        <f t="shared" ref="C14:I14" si="7">C8</f>
        <v>0</v>
      </c>
      <c r="D14" s="28">
        <f t="shared" si="7"/>
        <v>1</v>
      </c>
      <c r="E14" s="28">
        <f t="shared" si="7"/>
        <v>0</v>
      </c>
      <c r="F14" s="28">
        <f t="shared" si="7"/>
        <v>0</v>
      </c>
      <c r="G14" s="28">
        <f t="shared" si="7"/>
        <v>0</v>
      </c>
      <c r="H14" s="28">
        <f t="shared" si="7"/>
        <v>1</v>
      </c>
      <c r="I14" s="28">
        <f t="shared" si="7"/>
        <v>1</v>
      </c>
    </row>
    <row r="15" spans="1:11" ht="15">
      <c r="B15" s="41">
        <f>B9-I10/H12</f>
        <v>-0.81398133730812361</v>
      </c>
      <c r="C15" s="5"/>
      <c r="D15" s="6">
        <f t="shared" ref="D15:I15" si="8">$B15*C16</f>
        <v>0</v>
      </c>
      <c r="E15" s="6">
        <f t="shared" si="8"/>
        <v>-0.81398133730812361</v>
      </c>
      <c r="F15" s="6">
        <f t="shared" si="8"/>
        <v>0.66256561748592135</v>
      </c>
      <c r="G15" s="6">
        <f t="shared" si="8"/>
        <v>-0.53931604737557293</v>
      </c>
      <c r="H15" s="6">
        <f t="shared" si="8"/>
        <v>0.43899319747450022</v>
      </c>
      <c r="I15" s="6">
        <f t="shared" si="8"/>
        <v>-1.1713136072575865</v>
      </c>
      <c r="J15" s="5">
        <f>ABS(B15-B9)</f>
        <v>0.14953731153072225</v>
      </c>
      <c r="K15" s="6">
        <f xml:space="preserve"> ABS(J15/B15)*100</f>
        <v>18.371098288966859</v>
      </c>
    </row>
    <row r="16" spans="1:11" ht="15.6">
      <c r="B16" s="35"/>
      <c r="C16" s="26">
        <f t="shared" ref="C16:I16" si="9">SUM(C14:C15)</f>
        <v>0</v>
      </c>
      <c r="D16" s="13">
        <f t="shared" si="9"/>
        <v>1</v>
      </c>
      <c r="E16" s="13">
        <f t="shared" si="9"/>
        <v>-0.81398133730812361</v>
      </c>
      <c r="F16" s="13">
        <f t="shared" si="9"/>
        <v>0.66256561748592135</v>
      </c>
      <c r="G16" s="13">
        <f t="shared" si="9"/>
        <v>-0.53931604737557293</v>
      </c>
      <c r="H16" s="13">
        <f t="shared" si="9"/>
        <v>1.4389931974745003</v>
      </c>
      <c r="I16" s="14">
        <f t="shared" si="9"/>
        <v>-0.17131360725758649</v>
      </c>
    </row>
    <row r="17" spans="2:11" ht="15.6" thickBot="1">
      <c r="B17" s="38"/>
      <c r="C17" s="22"/>
      <c r="D17" s="23">
        <f>$B15*C18</f>
        <v>0</v>
      </c>
      <c r="E17" s="23">
        <f>$B15*D18</f>
        <v>-0.81398133730812361</v>
      </c>
      <c r="F17" s="23">
        <f>$B15*E18</f>
        <v>1.3251312349718427</v>
      </c>
      <c r="G17" s="23">
        <f>$B15*F18</f>
        <v>-1.6179481421267188</v>
      </c>
      <c r="H17" s="23">
        <f>$B15*G18</f>
        <v>1.7559727898980009</v>
      </c>
      <c r="I17" s="24"/>
    </row>
    <row r="18" spans="2:11" ht="15.6">
      <c r="C18" s="13">
        <f t="shared" ref="C18:H18" si="10">SUM(C16:C17)</f>
        <v>0</v>
      </c>
      <c r="D18" s="13">
        <f t="shared" si="10"/>
        <v>1</v>
      </c>
      <c r="E18" s="13">
        <f t="shared" si="10"/>
        <v>-1.6279626746162472</v>
      </c>
      <c r="F18" s="13">
        <f t="shared" si="10"/>
        <v>1.9876968524577641</v>
      </c>
      <c r="G18" s="13">
        <f t="shared" si="10"/>
        <v>-2.1572641895022917</v>
      </c>
      <c r="H18" s="8">
        <f t="shared" si="10"/>
        <v>3.1949659873725009</v>
      </c>
      <c r="I18" s="15"/>
    </row>
    <row r="20" spans="2:11" ht="15">
      <c r="B20" s="25" t="s">
        <v>13</v>
      </c>
      <c r="C20" s="27">
        <f t="shared" ref="C20:I20" si="11">C14</f>
        <v>0</v>
      </c>
      <c r="D20" s="28">
        <f t="shared" si="11"/>
        <v>1</v>
      </c>
      <c r="E20" s="28">
        <f t="shared" si="11"/>
        <v>0</v>
      </c>
      <c r="F20" s="28">
        <f t="shared" si="11"/>
        <v>0</v>
      </c>
      <c r="G20" s="28">
        <f t="shared" si="11"/>
        <v>0</v>
      </c>
      <c r="H20" s="28">
        <f t="shared" si="11"/>
        <v>1</v>
      </c>
      <c r="I20" s="28">
        <f t="shared" si="11"/>
        <v>1</v>
      </c>
      <c r="J20" s="15"/>
      <c r="K20" s="15"/>
    </row>
    <row r="21" spans="2:11" ht="15">
      <c r="B21" s="12">
        <f>B15-I16/H18</f>
        <v>-0.76036148409695603</v>
      </c>
      <c r="C21" s="20"/>
      <c r="D21" s="6">
        <f t="shared" ref="D21:I21" si="12">$B21*C22</f>
        <v>0</v>
      </c>
      <c r="E21" s="6">
        <f t="shared" si="12"/>
        <v>-0.76036148409695603</v>
      </c>
      <c r="F21" s="6">
        <f t="shared" si="12"/>
        <v>0.57814958649812553</v>
      </c>
      <c r="G21" s="6">
        <f t="shared" si="12"/>
        <v>-0.43960267761975619</v>
      </c>
      <c r="H21" s="6">
        <f t="shared" si="12"/>
        <v>0.33425694436795356</v>
      </c>
      <c r="I21" s="6">
        <f t="shared" si="12"/>
        <v>-1.0145175903862869</v>
      </c>
      <c r="J21" s="5">
        <f>ABS(B21-B15)</f>
        <v>5.3619853211167579E-2</v>
      </c>
      <c r="K21" s="6">
        <f xml:space="preserve"> ABS(J21/B21)*100</f>
        <v>7.0518897041253013</v>
      </c>
    </row>
    <row r="22" spans="2:11" ht="15.6">
      <c r="B22" s="35"/>
      <c r="C22" s="26">
        <f t="shared" ref="C22:I22" si="13">SUM(C20:C21)</f>
        <v>0</v>
      </c>
      <c r="D22" s="13">
        <f t="shared" si="13"/>
        <v>1</v>
      </c>
      <c r="E22" s="13">
        <f t="shared" si="13"/>
        <v>-0.76036148409695603</v>
      </c>
      <c r="F22" s="13">
        <f t="shared" si="13"/>
        <v>0.57814958649812553</v>
      </c>
      <c r="G22" s="13">
        <f t="shared" si="13"/>
        <v>-0.43960267761975619</v>
      </c>
      <c r="H22" s="13">
        <f t="shared" si="13"/>
        <v>1.3342569443679535</v>
      </c>
      <c r="I22" s="14">
        <f t="shared" si="13"/>
        <v>-1.451759038628686E-2</v>
      </c>
      <c r="J22" s="15"/>
      <c r="K22" s="15"/>
    </row>
    <row r="23" spans="2:11" ht="15.6" thickBot="1">
      <c r="B23" s="38"/>
      <c r="C23" s="22"/>
      <c r="D23" s="23">
        <f>$B21*C24</f>
        <v>0</v>
      </c>
      <c r="E23" s="23">
        <f>$B21*D24</f>
        <v>-0.76036148409695603</v>
      </c>
      <c r="F23" s="23">
        <f>$B21*E24</f>
        <v>1.1562991729962511</v>
      </c>
      <c r="G23" s="23">
        <f>$B21*F24</f>
        <v>-1.3188080328592686</v>
      </c>
      <c r="H23" s="23">
        <f>$B21*G24</f>
        <v>1.3370277774718142</v>
      </c>
      <c r="I23" s="24"/>
      <c r="J23" s="15"/>
      <c r="K23" s="15"/>
    </row>
    <row r="24" spans="2:11" ht="15.6">
      <c r="C24" s="13">
        <f t="shared" ref="C24:H24" si="14">SUM(C22:C23)</f>
        <v>0</v>
      </c>
      <c r="D24" s="13">
        <f t="shared" si="14"/>
        <v>1</v>
      </c>
      <c r="E24" s="13">
        <f t="shared" si="14"/>
        <v>-1.5207229681939121</v>
      </c>
      <c r="F24" s="13">
        <f t="shared" si="14"/>
        <v>1.7344487594943767</v>
      </c>
      <c r="G24" s="13">
        <f t="shared" si="14"/>
        <v>-1.7584107104790248</v>
      </c>
      <c r="H24" s="8">
        <f t="shared" si="14"/>
        <v>2.6712847218397675</v>
      </c>
      <c r="I24" s="15"/>
      <c r="J24" s="15"/>
      <c r="K24" s="15"/>
    </row>
    <row r="26" spans="2:11" ht="15">
      <c r="B26" s="25" t="s">
        <v>14</v>
      </c>
      <c r="C26" s="27">
        <f t="shared" ref="C26:I26" si="15">C20</f>
        <v>0</v>
      </c>
      <c r="D26" s="28">
        <f t="shared" si="15"/>
        <v>1</v>
      </c>
      <c r="E26" s="28">
        <f t="shared" si="15"/>
        <v>0</v>
      </c>
      <c r="F26" s="28">
        <f t="shared" si="15"/>
        <v>0</v>
      </c>
      <c r="G26" s="28">
        <f t="shared" si="15"/>
        <v>0</v>
      </c>
      <c r="H26" s="28">
        <f t="shared" si="15"/>
        <v>1</v>
      </c>
      <c r="I26" s="28">
        <f t="shared" si="15"/>
        <v>1</v>
      </c>
      <c r="J26" s="15"/>
      <c r="K26" s="15"/>
    </row>
    <row r="27" spans="2:11" ht="15">
      <c r="B27" s="12">
        <f>B21-I22/H24</f>
        <v>-0.75492679932988693</v>
      </c>
      <c r="C27" s="20"/>
      <c r="D27" s="6">
        <f t="shared" ref="D27:I27" si="16">$B27*C28</f>
        <v>0</v>
      </c>
      <c r="E27" s="6">
        <f t="shared" si="16"/>
        <v>-0.75492679932988693</v>
      </c>
      <c r="F27" s="6">
        <f t="shared" si="16"/>
        <v>0.56991447234646742</v>
      </c>
      <c r="G27" s="6">
        <f t="shared" si="16"/>
        <v>-0.43024370850030003</v>
      </c>
      <c r="H27" s="6">
        <f t="shared" si="16"/>
        <v>0.32480250578995234</v>
      </c>
      <c r="I27" s="6">
        <f t="shared" si="16"/>
        <v>-1.0001289154402229</v>
      </c>
      <c r="J27" s="5">
        <f>ABS(B27-B21)</f>
        <v>5.4346847670690979E-3</v>
      </c>
      <c r="K27" s="6">
        <f xml:space="preserve"> ABS(J27/B27)*100</f>
        <v>0.71989559410173443</v>
      </c>
    </row>
    <row r="28" spans="2:11" ht="15.6">
      <c r="B28" s="35"/>
      <c r="C28" s="26">
        <f t="shared" ref="C28:I28" si="17">SUM(C26:C27)</f>
        <v>0</v>
      </c>
      <c r="D28" s="13">
        <f t="shared" si="17"/>
        <v>1</v>
      </c>
      <c r="E28" s="13">
        <f t="shared" si="17"/>
        <v>-0.75492679932988693</v>
      </c>
      <c r="F28" s="13">
        <f t="shared" si="17"/>
        <v>0.56991447234646742</v>
      </c>
      <c r="G28" s="13">
        <f t="shared" si="17"/>
        <v>-0.43024370850030003</v>
      </c>
      <c r="H28" s="13">
        <f t="shared" si="17"/>
        <v>1.3248025057899524</v>
      </c>
      <c r="I28" s="14">
        <f t="shared" si="17"/>
        <v>-1.2891544022286539E-4</v>
      </c>
      <c r="J28" s="15"/>
      <c r="K28" s="15"/>
    </row>
    <row r="29" spans="2:11" ht="15.6" thickBot="1">
      <c r="B29" s="38"/>
      <c r="C29" s="22"/>
      <c r="D29" s="23">
        <f>$B27*C30</f>
        <v>0</v>
      </c>
      <c r="E29" s="23">
        <f>$B27*D30</f>
        <v>-0.75492679932988693</v>
      </c>
      <c r="F29" s="23">
        <f>$B27*E30</f>
        <v>1.1398289446929348</v>
      </c>
      <c r="G29" s="23">
        <f>$B27*F30</f>
        <v>-1.2907311255009</v>
      </c>
      <c r="H29" s="23">
        <f>$B27*G30</f>
        <v>1.2992100231598094</v>
      </c>
      <c r="I29" s="24"/>
      <c r="J29" s="15"/>
      <c r="K29" s="15"/>
    </row>
    <row r="30" spans="2:11" ht="15.6">
      <c r="C30" s="13">
        <f t="shared" ref="C30:H30" si="18">SUM(C28:C29)</f>
        <v>0</v>
      </c>
      <c r="D30" s="13">
        <f t="shared" si="18"/>
        <v>1</v>
      </c>
      <c r="E30" s="13">
        <f t="shared" si="18"/>
        <v>-1.5098535986597739</v>
      </c>
      <c r="F30" s="13">
        <f t="shared" si="18"/>
        <v>1.7097434170394021</v>
      </c>
      <c r="G30" s="13">
        <f t="shared" si="18"/>
        <v>-1.7209748340012001</v>
      </c>
      <c r="H30" s="8">
        <f t="shared" si="18"/>
        <v>2.6240125289497618</v>
      </c>
      <c r="I30" s="15"/>
      <c r="J30" s="15"/>
      <c r="K30" s="15"/>
    </row>
    <row r="32" spans="2:11" ht="15">
      <c r="B32" s="25" t="s">
        <v>14</v>
      </c>
      <c r="C32" s="27">
        <f t="shared" ref="C32:I32" si="19">C26</f>
        <v>0</v>
      </c>
      <c r="D32" s="28">
        <f t="shared" si="19"/>
        <v>1</v>
      </c>
      <c r="E32" s="28">
        <f t="shared" si="19"/>
        <v>0</v>
      </c>
      <c r="F32" s="28">
        <f t="shared" si="19"/>
        <v>0</v>
      </c>
      <c r="G32" s="28">
        <f t="shared" si="19"/>
        <v>0</v>
      </c>
      <c r="H32" s="28">
        <f t="shared" si="19"/>
        <v>1</v>
      </c>
      <c r="I32" s="28">
        <f t="shared" si="19"/>
        <v>1</v>
      </c>
      <c r="J32" s="15"/>
      <c r="K32" s="15"/>
    </row>
    <row r="33" spans="2:11" ht="15">
      <c r="B33" s="12">
        <f>B27-I28/H30</f>
        <v>-0.75487767020462526</v>
      </c>
      <c r="C33" s="20"/>
      <c r="D33" s="6">
        <f t="shared" ref="D33" si="20">$B33*C34</f>
        <v>0</v>
      </c>
      <c r="E33" s="6">
        <f t="shared" ref="E33" si="21">$B33*D34</f>
        <v>-0.75487767020462526</v>
      </c>
      <c r="F33" s="6">
        <f t="shared" ref="F33" si="22">$B33*E34</f>
        <v>0.56984029697356298</v>
      </c>
      <c r="G33" s="6">
        <f t="shared" ref="G33" si="23">$B33*F34</f>
        <v>-0.43015971576811501</v>
      </c>
      <c r="H33" s="6">
        <f t="shared" ref="H33" si="24">$B33*G34</f>
        <v>0.32471796405491848</v>
      </c>
      <c r="I33" s="6">
        <f t="shared" ref="I33" si="25">$B33*H34</f>
        <v>-1.0000000103839914</v>
      </c>
      <c r="J33" s="5">
        <f>ABS(B33-B27)</f>
        <v>4.9129125261671014E-5</v>
      </c>
      <c r="K33" s="6">
        <f xml:space="preserve"> ABS(J33/B33)*100</f>
        <v>6.5082234116626524E-3</v>
      </c>
    </row>
    <row r="34" spans="2:11" ht="15.6">
      <c r="B34" s="35"/>
      <c r="C34" s="26">
        <f t="shared" ref="C34:I34" si="26">SUM(C32:C33)</f>
        <v>0</v>
      </c>
      <c r="D34" s="13">
        <f t="shared" si="26"/>
        <v>1</v>
      </c>
      <c r="E34" s="13">
        <f t="shared" si="26"/>
        <v>-0.75487767020462526</v>
      </c>
      <c r="F34" s="13">
        <f t="shared" si="26"/>
        <v>0.56984029697356298</v>
      </c>
      <c r="G34" s="13">
        <f t="shared" si="26"/>
        <v>-0.43015971576811501</v>
      </c>
      <c r="H34" s="13">
        <f t="shared" si="26"/>
        <v>1.3247179640549185</v>
      </c>
      <c r="I34" s="14">
        <f t="shared" si="26"/>
        <v>-1.0383991444484764E-8</v>
      </c>
      <c r="J34" s="15"/>
      <c r="K34" s="15"/>
    </row>
    <row r="35" spans="2:11" ht="15.6" thickBot="1">
      <c r="B35" s="38"/>
      <c r="C35" s="22"/>
      <c r="D35" s="23">
        <f>$B33*C36</f>
        <v>0</v>
      </c>
      <c r="E35" s="23">
        <f>$B33*D36</f>
        <v>-0.75487767020462526</v>
      </c>
      <c r="F35" s="23">
        <f>$B33*E36</f>
        <v>1.139680593947126</v>
      </c>
      <c r="G35" s="23">
        <f>$B33*F36</f>
        <v>-1.2904791473043449</v>
      </c>
      <c r="H35" s="23">
        <f>$B33*G36</f>
        <v>1.2988718562196737</v>
      </c>
      <c r="I35" s="24"/>
      <c r="J35" s="15"/>
      <c r="K35" s="15"/>
    </row>
    <row r="36" spans="2:11" ht="15.6">
      <c r="C36" s="13">
        <f t="shared" ref="C36:H36" si="27">SUM(C34:C35)</f>
        <v>0</v>
      </c>
      <c r="D36" s="13">
        <f t="shared" si="27"/>
        <v>1</v>
      </c>
      <c r="E36" s="13">
        <f t="shared" si="27"/>
        <v>-1.5097553404092505</v>
      </c>
      <c r="F36" s="13">
        <f t="shared" si="27"/>
        <v>1.7095208909206889</v>
      </c>
      <c r="G36" s="13">
        <f t="shared" si="27"/>
        <v>-1.7206388630724598</v>
      </c>
      <c r="H36" s="8">
        <f t="shared" si="27"/>
        <v>2.6235898202745922</v>
      </c>
      <c r="I36" s="15"/>
      <c r="J36" s="15"/>
      <c r="K36" s="15"/>
    </row>
  </sheetData>
  <conditionalFormatting sqref="B9">
    <cfRule type="expression" dxfId="18" priority="5">
      <formula xml:space="preserve"> K9 &lt; $K$1</formula>
    </cfRule>
  </conditionalFormatting>
  <conditionalFormatting sqref="B15">
    <cfRule type="expression" dxfId="17" priority="4">
      <formula>K15&lt;$K$1</formula>
    </cfRule>
  </conditionalFormatting>
  <conditionalFormatting sqref="B21">
    <cfRule type="expression" dxfId="16" priority="3">
      <formula>K21&lt;$K$1</formula>
    </cfRule>
  </conditionalFormatting>
  <conditionalFormatting sqref="B27">
    <cfRule type="expression" dxfId="15" priority="2">
      <formula>K27&lt;$K$1</formula>
    </cfRule>
  </conditionalFormatting>
  <conditionalFormatting sqref="B33">
    <cfRule type="expression" dxfId="14" priority="1">
      <formula>K33&lt;$K$1</formula>
    </cfRule>
  </conditionalFormatting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781A2-F130-4BF0-A485-DCD2DAC2AAB4}">
  <dimension ref="A1:P51"/>
  <sheetViews>
    <sheetView workbookViewId="0">
      <selection activeCell="T33" sqref="T33"/>
    </sheetView>
  </sheetViews>
  <sheetFormatPr defaultColWidth="11.42578125" defaultRowHeight="14.45"/>
  <cols>
    <col min="1" max="1" width="7.7109375" bestFit="1" customWidth="1"/>
    <col min="2" max="2" width="10" bestFit="1" customWidth="1"/>
    <col min="3" max="5" width="9.140625" bestFit="1" customWidth="1"/>
    <col min="6" max="6" width="10" bestFit="1" customWidth="1"/>
    <col min="7" max="7" width="9.140625" bestFit="1" customWidth="1"/>
    <col min="8" max="8" width="10" bestFit="1" customWidth="1"/>
    <col min="9" max="9" width="9.140625" bestFit="1" customWidth="1"/>
    <col min="10" max="10" width="10.28515625" bestFit="1" customWidth="1"/>
    <col min="11" max="11" width="8.28515625" bestFit="1" customWidth="1"/>
    <col min="12" max="12" width="11.28515625" bestFit="1" customWidth="1"/>
    <col min="13" max="13" width="15.140625" bestFit="1" customWidth="1"/>
    <col min="14" max="14" width="2.5703125" bestFit="1" customWidth="1"/>
    <col min="15" max="15" width="9" bestFit="1" customWidth="1"/>
    <col min="16" max="16" width="1.5703125" bestFit="1" customWidth="1"/>
  </cols>
  <sheetData>
    <row r="1" spans="1:16" ht="15.6">
      <c r="A1" s="46" t="s">
        <v>17</v>
      </c>
      <c r="B1" s="47"/>
      <c r="C1" s="48" t="s">
        <v>1</v>
      </c>
      <c r="D1" s="49" t="s">
        <v>2</v>
      </c>
      <c r="E1" s="49" t="s">
        <v>3</v>
      </c>
      <c r="F1" s="49" t="s">
        <v>4</v>
      </c>
      <c r="G1" s="49" t="s">
        <v>5</v>
      </c>
      <c r="H1" s="49" t="s">
        <v>6</v>
      </c>
      <c r="I1" s="49" t="s">
        <v>7</v>
      </c>
      <c r="J1" s="50" t="s">
        <v>9</v>
      </c>
      <c r="K1" s="51" t="s">
        <v>10</v>
      </c>
      <c r="L1" s="91"/>
      <c r="M1" s="91"/>
      <c r="N1" s="91"/>
      <c r="O1" s="91"/>
      <c r="P1" s="91"/>
    </row>
    <row r="2" spans="1:16" ht="15.6">
      <c r="A2" s="47"/>
      <c r="B2" s="53" t="s">
        <v>18</v>
      </c>
      <c r="C2" s="92">
        <v>0</v>
      </c>
      <c r="D2" s="93">
        <v>0</v>
      </c>
      <c r="E2" s="57">
        <v>1</v>
      </c>
      <c r="F2" s="57">
        <v>-0.75487767020462526</v>
      </c>
      <c r="G2" s="57">
        <v>0.56984029697356298</v>
      </c>
      <c r="H2" s="57">
        <v>-0.43015971576811501</v>
      </c>
      <c r="I2" s="57">
        <v>1.3247179640549185</v>
      </c>
      <c r="J2" s="94"/>
      <c r="K2" s="95">
        <v>0.1</v>
      </c>
      <c r="L2" s="47"/>
      <c r="M2" s="47"/>
      <c r="N2" s="91"/>
      <c r="O2" s="91"/>
      <c r="P2" s="91"/>
    </row>
    <row r="3" spans="1:16" ht="15.6">
      <c r="A3" s="48" t="s">
        <v>19</v>
      </c>
      <c r="B3" s="90">
        <v>-1</v>
      </c>
      <c r="C3" s="47"/>
      <c r="D3" s="49">
        <f t="shared" ref="D3:I3" si="0">$B3*C5</f>
        <v>0</v>
      </c>
      <c r="E3" s="96">
        <f t="shared" si="0"/>
        <v>0</v>
      </c>
      <c r="F3" s="96">
        <f t="shared" si="0"/>
        <v>-1</v>
      </c>
      <c r="G3" s="96">
        <f t="shared" si="0"/>
        <v>1.7548776702046252</v>
      </c>
      <c r="H3" s="96">
        <f t="shared" si="0"/>
        <v>-1.3247179671781879</v>
      </c>
      <c r="I3" s="96">
        <f t="shared" si="0"/>
        <v>1.2741677712924115E-8</v>
      </c>
      <c r="J3" s="47"/>
      <c r="K3" s="47"/>
      <c r="L3" s="49" t="s">
        <v>20</v>
      </c>
      <c r="M3" s="64">
        <f>B3^2+4*B4</f>
        <v>-3</v>
      </c>
      <c r="N3" s="91"/>
      <c r="O3" s="91"/>
      <c r="P3" s="91"/>
    </row>
    <row r="4" spans="1:16" ht="16.149999999999999" thickBot="1">
      <c r="A4" s="48" t="s">
        <v>21</v>
      </c>
      <c r="B4" s="74">
        <v>-1</v>
      </c>
      <c r="C4" s="97"/>
      <c r="D4" s="97"/>
      <c r="E4" s="98">
        <f>$B4*C5</f>
        <v>0</v>
      </c>
      <c r="F4" s="98">
        <f>$B4*D5</f>
        <v>0</v>
      </c>
      <c r="G4" s="98">
        <f>$B4*E5</f>
        <v>-1</v>
      </c>
      <c r="H4" s="98">
        <f>$B4*F5</f>
        <v>1.7548776702046252</v>
      </c>
      <c r="I4" s="98">
        <f>$B4*G5</f>
        <v>-1.3247179671781879</v>
      </c>
      <c r="J4" s="47"/>
      <c r="K4" s="47"/>
      <c r="L4" s="49" t="s">
        <v>22</v>
      </c>
      <c r="M4" s="49">
        <f>IF(M3&lt;0,B3/2,(B3+SQRT(M3))/2)</f>
        <v>-0.5</v>
      </c>
      <c r="N4" s="49" t="str">
        <f>IF(M3&lt;0,"+","")</f>
        <v>+</v>
      </c>
      <c r="O4" s="49">
        <f>IF(M3&lt;0,SQRT(ABS(M3))/2,"")</f>
        <v>0.8660254037844386</v>
      </c>
      <c r="P4" s="49" t="str">
        <f>IF(M3&lt;0,"i","")</f>
        <v>i</v>
      </c>
    </row>
    <row r="5" spans="1:16" ht="15.6">
      <c r="A5" s="48" t="s">
        <v>23</v>
      </c>
      <c r="B5" s="67">
        <f>SQRT(SUMSQ(B3:B4))</f>
        <v>1.4142135623730951</v>
      </c>
      <c r="C5" s="99">
        <f t="shared" ref="C5:I5" si="1">SUM(C2:C4)</f>
        <v>0</v>
      </c>
      <c r="D5" s="67">
        <f t="shared" si="1"/>
        <v>0</v>
      </c>
      <c r="E5" s="99">
        <f t="shared" si="1"/>
        <v>1</v>
      </c>
      <c r="F5" s="67">
        <f t="shared" si="1"/>
        <v>-1.7548776702046252</v>
      </c>
      <c r="G5" s="67">
        <f t="shared" si="1"/>
        <v>1.3247179671781879</v>
      </c>
      <c r="H5" s="100">
        <f t="shared" si="1"/>
        <v>-1.2741677712924115E-8</v>
      </c>
      <c r="I5" s="100">
        <f t="shared" si="1"/>
        <v>9.6184082920558467E-9</v>
      </c>
      <c r="J5" s="47"/>
      <c r="K5" s="47"/>
      <c r="L5" s="49" t="s">
        <v>24</v>
      </c>
      <c r="M5" s="49">
        <f>IF(M3&lt;0,M4,(B3-SQRT(M3))/2)</f>
        <v>-0.5</v>
      </c>
      <c r="N5" s="104" t="str">
        <f>IF(M3&lt;0,"+","")</f>
        <v>+</v>
      </c>
      <c r="O5" s="49">
        <f>IF(M3&lt;0,-O4,"")</f>
        <v>-0.8660254037844386</v>
      </c>
      <c r="P5" s="104"/>
    </row>
    <row r="6" spans="1:16" ht="15.6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91"/>
      <c r="M6" s="91"/>
      <c r="N6" s="91"/>
      <c r="O6" s="91"/>
      <c r="P6" s="91"/>
    </row>
    <row r="7" spans="1:16" ht="15.6">
      <c r="A7" s="47"/>
      <c r="B7" s="53" t="s">
        <v>26</v>
      </c>
      <c r="C7" s="102">
        <f t="shared" ref="C7:I7" si="2">C2</f>
        <v>0</v>
      </c>
      <c r="D7" s="93">
        <f t="shared" si="2"/>
        <v>0</v>
      </c>
      <c r="E7" s="93">
        <f t="shared" si="2"/>
        <v>1</v>
      </c>
      <c r="F7" s="93">
        <f t="shared" si="2"/>
        <v>-0.75487767020462526</v>
      </c>
      <c r="G7" s="93">
        <f t="shared" si="2"/>
        <v>0.56984029697356298</v>
      </c>
      <c r="H7" s="93">
        <f t="shared" si="2"/>
        <v>-0.43015971576811501</v>
      </c>
      <c r="I7" s="93">
        <f t="shared" si="2"/>
        <v>1.3247179640549185</v>
      </c>
      <c r="J7" s="47"/>
      <c r="K7" s="47"/>
      <c r="L7" s="47"/>
      <c r="M7" s="49" t="s">
        <v>27</v>
      </c>
      <c r="N7" s="91"/>
      <c r="O7" s="91"/>
      <c r="P7" s="91"/>
    </row>
    <row r="8" spans="1:16" ht="15.6">
      <c r="A8" s="48" t="s">
        <v>28</v>
      </c>
      <c r="B8" s="74">
        <f>-(H2+B9*F5)/G5</f>
        <v>-0.99999998725832273</v>
      </c>
      <c r="C8" s="47"/>
      <c r="D8" s="49">
        <f t="shared" ref="D8:I8" si="3">$B8*C10</f>
        <v>0</v>
      </c>
      <c r="E8" s="49">
        <f t="shared" si="3"/>
        <v>0</v>
      </c>
      <c r="F8" s="49">
        <f t="shared" si="3"/>
        <v>-0.99999998725832273</v>
      </c>
      <c r="G8" s="49">
        <f t="shared" si="3"/>
        <v>1.7548776351028634</v>
      </c>
      <c r="H8" s="49">
        <f t="shared" si="3"/>
        <v>-1.3247179175549844</v>
      </c>
      <c r="I8" s="49">
        <f t="shared" si="3"/>
        <v>-2.0002397483275068E-8</v>
      </c>
      <c r="J8" s="47"/>
      <c r="K8" s="47"/>
      <c r="L8" s="49" t="s">
        <v>20</v>
      </c>
      <c r="M8" s="64">
        <f>B8^2+4*B9</f>
        <v>-3.0000000160526095</v>
      </c>
      <c r="N8" s="91"/>
      <c r="O8" s="91"/>
      <c r="P8" s="91"/>
    </row>
    <row r="9" spans="1:16" ht="16.149999999999999" thickBot="1">
      <c r="A9" s="48" t="s">
        <v>29</v>
      </c>
      <c r="B9" s="75">
        <f>-I2/G5</f>
        <v>-0.99999999764231373</v>
      </c>
      <c r="C9" s="103"/>
      <c r="D9" s="97"/>
      <c r="E9" s="98">
        <f>$B9*C10</f>
        <v>0</v>
      </c>
      <c r="F9" s="98">
        <f>$B9*D10</f>
        <v>0</v>
      </c>
      <c r="G9" s="98">
        <f>$B9*E10</f>
        <v>-0.99999999764231373</v>
      </c>
      <c r="H9" s="98">
        <f>$B9*F10</f>
        <v>1.7548776533254971</v>
      </c>
      <c r="I9" s="98">
        <f>$B9*G10</f>
        <v>-1.3247179313108435</v>
      </c>
      <c r="J9" s="47"/>
      <c r="K9" s="47"/>
      <c r="L9" s="49" t="s">
        <v>22</v>
      </c>
      <c r="M9" s="48">
        <f>IF(M8&lt;0,B8/2,(B8+SQRT(M8))/2)</f>
        <v>-0.49999999362916137</v>
      </c>
      <c r="N9" s="49" t="s">
        <v>30</v>
      </c>
      <c r="O9" s="49">
        <f>IF(M8&lt;0,SQRT(ABS(M8))/2,"")</f>
        <v>0.86602540610143319</v>
      </c>
      <c r="P9" s="49" t="str">
        <f>IF(M8&lt;0,"i","")</f>
        <v>i</v>
      </c>
    </row>
    <row r="10" spans="1:16" ht="15.6">
      <c r="A10" s="49" t="s">
        <v>23</v>
      </c>
      <c r="B10" s="67">
        <f>SQRT(SUMSQ(B8:B9))</f>
        <v>1.4142135516962326</v>
      </c>
      <c r="C10" s="67">
        <f t="shared" ref="C10:I10" si="4">SUM(C7:C9)</f>
        <v>0</v>
      </c>
      <c r="D10" s="67">
        <f t="shared" si="4"/>
        <v>0</v>
      </c>
      <c r="E10" s="67">
        <f t="shared" si="4"/>
        <v>1</v>
      </c>
      <c r="F10" s="67">
        <f t="shared" si="4"/>
        <v>-1.7548776574629481</v>
      </c>
      <c r="G10" s="67">
        <f t="shared" si="4"/>
        <v>1.3247179344341127</v>
      </c>
      <c r="H10" s="100">
        <f t="shared" si="4"/>
        <v>2.0002397738139166E-8</v>
      </c>
      <c r="I10" s="100">
        <f t="shared" si="4"/>
        <v>1.2741677490879511E-8</v>
      </c>
      <c r="J10" s="49">
        <f>ABS(B10-B5)</f>
        <v>1.0676862505221152E-8</v>
      </c>
      <c r="K10" s="48">
        <f>ABS(J10/B10)*100</f>
        <v>7.5496819362359624E-7</v>
      </c>
      <c r="L10" s="49" t="s">
        <v>24</v>
      </c>
      <c r="M10" s="48">
        <f>IF(M8&lt;0,M9,(B8-SQRT(M8))/2)</f>
        <v>-0.49999999362916137</v>
      </c>
      <c r="N10" s="104" t="s">
        <v>30</v>
      </c>
      <c r="O10" s="49">
        <f>IF(M8&lt;0,-O9,"")</f>
        <v>-0.86602540610143319</v>
      </c>
      <c r="P10" s="104" t="s">
        <v>25</v>
      </c>
    </row>
    <row r="11" spans="1:16" ht="15.6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91"/>
      <c r="M11" s="91"/>
      <c r="N11" s="91"/>
      <c r="O11" s="91"/>
      <c r="P11" s="91"/>
    </row>
    <row r="12" spans="1:16" ht="15.6">
      <c r="A12" s="47"/>
      <c r="B12" s="53" t="s">
        <v>31</v>
      </c>
      <c r="C12" s="92">
        <f t="shared" ref="C12:I12" si="5">C7</f>
        <v>0</v>
      </c>
      <c r="D12" s="75">
        <f t="shared" si="5"/>
        <v>0</v>
      </c>
      <c r="E12" s="93">
        <f t="shared" si="5"/>
        <v>1</v>
      </c>
      <c r="F12" s="93">
        <f t="shared" si="5"/>
        <v>-0.75487767020462526</v>
      </c>
      <c r="G12" s="93">
        <f t="shared" si="5"/>
        <v>0.56984029697356298</v>
      </c>
      <c r="H12" s="93">
        <f t="shared" si="5"/>
        <v>-0.43015971576811501</v>
      </c>
      <c r="I12" s="93">
        <f t="shared" si="5"/>
        <v>1.3247179640549185</v>
      </c>
      <c r="J12" s="47"/>
      <c r="K12" s="47"/>
      <c r="L12" s="91"/>
      <c r="M12" s="91"/>
      <c r="N12" s="91"/>
      <c r="O12" s="91"/>
      <c r="P12" s="91"/>
    </row>
    <row r="13" spans="1:16" ht="15.6">
      <c r="A13" s="48" t="s">
        <v>19</v>
      </c>
      <c r="B13" s="80">
        <f>-(H7+B14*F10)/G10</f>
        <v>-1.0000000351017626</v>
      </c>
      <c r="C13" s="47"/>
      <c r="D13" s="48">
        <f t="shared" ref="D13:I13" si="6">$B13*C15</f>
        <v>0</v>
      </c>
      <c r="E13" s="49">
        <f t="shared" si="6"/>
        <v>0</v>
      </c>
      <c r="F13" s="49">
        <f t="shared" si="6"/>
        <v>-1.0000000351017626</v>
      </c>
      <c r="G13" s="49">
        <f t="shared" si="6"/>
        <v>1.7548777669056885</v>
      </c>
      <c r="H13" s="49">
        <f t="shared" si="6"/>
        <v>-1.3247180880191045</v>
      </c>
      <c r="I13" s="49">
        <f t="shared" si="6"/>
        <v>5.9241618802811898E-8</v>
      </c>
      <c r="J13" s="47"/>
      <c r="K13" s="47"/>
      <c r="L13" s="49" t="s">
        <v>20</v>
      </c>
      <c r="M13" s="64">
        <f>B13^2+4*B14</f>
        <v>-3.0000000192368139</v>
      </c>
      <c r="N13" s="91"/>
      <c r="O13" s="91"/>
      <c r="P13" s="91"/>
    </row>
    <row r="14" spans="1:16" ht="16.149999999999999" thickBot="1">
      <c r="A14" s="48" t="s">
        <v>21</v>
      </c>
      <c r="B14" s="75">
        <f>-I7/G10</f>
        <v>-1.0000000223600851</v>
      </c>
      <c r="C14" s="103"/>
      <c r="D14" s="97"/>
      <c r="E14" s="98">
        <f>$B14*C15</f>
        <v>0</v>
      </c>
      <c r="F14" s="98">
        <f>$B14*D15</f>
        <v>0</v>
      </c>
      <c r="G14" s="98">
        <f>$B14*E15</f>
        <v>-1.0000000223600851</v>
      </c>
      <c r="H14" s="98">
        <f>$B14*F15</f>
        <v>1.7548777445456027</v>
      </c>
      <c r="I14" s="98">
        <f>$B14*G15</f>
        <v>-1.3247180711399746</v>
      </c>
      <c r="J14" s="47"/>
      <c r="K14" s="47"/>
      <c r="L14" s="49" t="s">
        <v>22</v>
      </c>
      <c r="M14" s="48">
        <f>IF(M13&lt;0,B13/2,(B13+SQRT(M13))/2)</f>
        <v>-0.5000000175508813</v>
      </c>
      <c r="N14" s="49" t="s">
        <v>30</v>
      </c>
      <c r="O14" s="49">
        <f>IF(M13&lt;0,SQRT(ABS(M13))/2,"")</f>
        <v>0.86602540656103355</v>
      </c>
      <c r="P14" s="49" t="str">
        <f>IF(M13&lt;0,"i","")</f>
        <v>i</v>
      </c>
    </row>
    <row r="15" spans="1:16" ht="15.6">
      <c r="A15" s="48" t="s">
        <v>23</v>
      </c>
      <c r="B15" s="67">
        <f>SQRT(SUMSQ(B13:B14))</f>
        <v>1.4142136030047572</v>
      </c>
      <c r="C15" s="67">
        <f t="shared" ref="C15:I15" si="7">SUM(C12:C14)</f>
        <v>0</v>
      </c>
      <c r="D15" s="84">
        <f t="shared" si="7"/>
        <v>0</v>
      </c>
      <c r="E15" s="67">
        <f t="shared" si="7"/>
        <v>1</v>
      </c>
      <c r="F15" s="67">
        <f t="shared" si="7"/>
        <v>-1.754877705306388</v>
      </c>
      <c r="G15" s="67">
        <f t="shared" si="7"/>
        <v>1.3247180415191664</v>
      </c>
      <c r="H15" s="100">
        <f t="shared" si="7"/>
        <v>-5.9241616723326729E-8</v>
      </c>
      <c r="I15" s="100">
        <f t="shared" si="7"/>
        <v>-4.7843437434025304E-8</v>
      </c>
      <c r="J15" s="105">
        <f>ABS(B15-B10)</f>
        <v>5.1308524540161216E-8</v>
      </c>
      <c r="K15" s="48">
        <f>ABS(J15/B15)*100</f>
        <v>3.6280604592649094E-6</v>
      </c>
      <c r="L15" s="49" t="s">
        <v>24</v>
      </c>
      <c r="M15" s="48">
        <f>IF(M13&lt;0,M14,(B13-SQRT(M13))/2)</f>
        <v>-0.5000000175508813</v>
      </c>
      <c r="N15" s="104" t="s">
        <v>30</v>
      </c>
      <c r="O15" s="49">
        <f>IF(M13&lt;0,-O14,"")</f>
        <v>-0.86602540656103355</v>
      </c>
      <c r="P15" s="104" t="s">
        <v>25</v>
      </c>
    </row>
    <row r="16" spans="1:16" ht="15.6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91"/>
      <c r="M16" s="91"/>
      <c r="N16" s="91"/>
      <c r="O16" s="91"/>
      <c r="P16" s="91"/>
    </row>
    <row r="17" spans="1:16" ht="15.6">
      <c r="A17" s="47"/>
      <c r="B17" s="109" t="s">
        <v>32</v>
      </c>
      <c r="C17" s="92">
        <f t="shared" ref="C17:I17" si="8">C12</f>
        <v>0</v>
      </c>
      <c r="D17" s="106">
        <f t="shared" si="8"/>
        <v>0</v>
      </c>
      <c r="E17" s="106">
        <f t="shared" si="8"/>
        <v>1</v>
      </c>
      <c r="F17" s="106">
        <f t="shared" si="8"/>
        <v>-0.75487767020462526</v>
      </c>
      <c r="G17" s="106">
        <f t="shared" si="8"/>
        <v>0.56984029697356298</v>
      </c>
      <c r="H17" s="106">
        <f t="shared" si="8"/>
        <v>-0.43015971576811501</v>
      </c>
      <c r="I17" s="106">
        <f t="shared" si="8"/>
        <v>1.3247179640549185</v>
      </c>
      <c r="J17" s="47"/>
      <c r="K17" s="47"/>
      <c r="L17" s="91"/>
      <c r="M17" s="91"/>
      <c r="N17" s="91"/>
      <c r="O17" s="91"/>
      <c r="P17" s="91"/>
    </row>
    <row r="18" spans="1:16" ht="15.6">
      <c r="A18" s="49" t="s">
        <v>28</v>
      </c>
      <c r="B18" s="93">
        <f>-(H12+B19*F15)/G15</f>
        <v>-0.99999988329654732</v>
      </c>
      <c r="C18" s="47"/>
      <c r="D18" s="49">
        <f t="shared" ref="D18:I18" si="9">$B18*C20</f>
        <v>0</v>
      </c>
      <c r="E18" s="96">
        <f t="shared" si="9"/>
        <v>0</v>
      </c>
      <c r="F18" s="96">
        <f t="shared" si="9"/>
        <v>-0.99999988329654732</v>
      </c>
      <c r="G18" s="96">
        <f t="shared" si="9"/>
        <v>1.7548773487009028</v>
      </c>
      <c r="H18" s="96">
        <f t="shared" si="9"/>
        <v>-1.3247175495513626</v>
      </c>
      <c r="I18" s="96">
        <f t="shared" si="9"/>
        <v>-1.855634063009436E-7</v>
      </c>
      <c r="J18" s="47"/>
      <c r="K18" s="47"/>
      <c r="L18" s="49" t="s">
        <v>20</v>
      </c>
      <c r="M18" s="64">
        <f>B18^2+4*B19</f>
        <v>-2.999999999502784</v>
      </c>
      <c r="N18" s="91"/>
      <c r="O18" s="91"/>
      <c r="P18" s="91"/>
    </row>
    <row r="19" spans="1:16" ht="16.149999999999999" thickBot="1">
      <c r="A19" s="49" t="s">
        <v>29</v>
      </c>
      <c r="B19" s="93">
        <f>-I12/G15</f>
        <v>-0.99999994152397309</v>
      </c>
      <c r="C19" s="97"/>
      <c r="D19" s="97"/>
      <c r="E19" s="98">
        <f>$B19*C20</f>
        <v>0</v>
      </c>
      <c r="F19" s="98">
        <f>$B19*D20</f>
        <v>0</v>
      </c>
      <c r="G19" s="98">
        <f>$B19*E20</f>
        <v>-0.99999994152397309</v>
      </c>
      <c r="H19" s="98">
        <f>$B19*F20</f>
        <v>1.7548774508829055</v>
      </c>
      <c r="I19" s="98">
        <f>$B19*G20</f>
        <v>-1.3247176266862644</v>
      </c>
      <c r="J19" s="47"/>
      <c r="K19" s="47"/>
      <c r="L19" s="49" t="s">
        <v>22</v>
      </c>
      <c r="M19" s="48">
        <f>IF(M18&lt;0,B18/2,(B18+SQRT(M18))/2)</f>
        <v>-0.49999994164827366</v>
      </c>
      <c r="N19" s="49" t="s">
        <v>30</v>
      </c>
      <c r="O19" s="49">
        <f>IF(M18&lt;0,SQRT(ABS(M18))/2,"")</f>
        <v>0.86602540371267167</v>
      </c>
      <c r="P19" s="49" t="str">
        <f>IF(M18&lt;0,"i","")</f>
        <v>i</v>
      </c>
    </row>
    <row r="20" spans="1:16" ht="15.6">
      <c r="A20" s="49" t="s">
        <v>23</v>
      </c>
      <c r="B20" s="49">
        <f>SQRT(SUMSQ(B18:B19))</f>
        <v>1.4142134385024978</v>
      </c>
      <c r="C20" s="99">
        <f t="shared" ref="C20:I20" si="10">SUM(C17:C19)</f>
        <v>0</v>
      </c>
      <c r="D20" s="67">
        <f t="shared" si="10"/>
        <v>0</v>
      </c>
      <c r="E20" s="99">
        <f t="shared" si="10"/>
        <v>1</v>
      </c>
      <c r="F20" s="67">
        <f t="shared" si="10"/>
        <v>-1.7548775535011725</v>
      </c>
      <c r="G20" s="67">
        <f t="shared" si="10"/>
        <v>1.3247177041504925</v>
      </c>
      <c r="H20" s="100">
        <f t="shared" si="10"/>
        <v>1.8556342795683634E-7</v>
      </c>
      <c r="I20" s="107">
        <f t="shared" si="10"/>
        <v>1.5180524792768324E-7</v>
      </c>
      <c r="J20" s="49">
        <f>ABS(B20-B15)</f>
        <v>1.6450225936992524E-7</v>
      </c>
      <c r="K20" s="49">
        <f>ABS(J20/B20)*100</f>
        <v>1.1632067330947986E-5</v>
      </c>
      <c r="L20" s="105" t="s">
        <v>24</v>
      </c>
      <c r="M20" s="48">
        <f>IF(M18&lt;0,M19,(B18-SQRT(M18))/2)</f>
        <v>-0.49999994164827366</v>
      </c>
      <c r="N20" s="104" t="s">
        <v>30</v>
      </c>
      <c r="O20" s="49">
        <f>IF(M18&lt;0,-O19,"")</f>
        <v>-0.86602540371267167</v>
      </c>
      <c r="P20" s="104" t="s">
        <v>25</v>
      </c>
    </row>
    <row r="21" spans="1:16" ht="15.6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91"/>
      <c r="M21" s="91"/>
      <c r="N21" s="91"/>
      <c r="O21" s="91"/>
      <c r="P21" s="91"/>
    </row>
    <row r="22" spans="1:16" ht="15.6">
      <c r="A22" s="47"/>
      <c r="B22" s="109" t="s">
        <v>33</v>
      </c>
      <c r="C22" s="92">
        <f t="shared" ref="C22:I22" si="11">C17</f>
        <v>0</v>
      </c>
      <c r="D22" s="106">
        <f t="shared" si="11"/>
        <v>0</v>
      </c>
      <c r="E22" s="106">
        <f t="shared" si="11"/>
        <v>1</v>
      </c>
      <c r="F22" s="106">
        <f t="shared" si="11"/>
        <v>-0.75487767020462526</v>
      </c>
      <c r="G22" s="106">
        <f t="shared" si="11"/>
        <v>0.56984029697356298</v>
      </c>
      <c r="H22" s="106">
        <f t="shared" si="11"/>
        <v>-0.43015971576811501</v>
      </c>
      <c r="I22" s="106">
        <f t="shared" si="11"/>
        <v>1.3247179640549185</v>
      </c>
      <c r="J22" s="47"/>
      <c r="K22" s="47"/>
      <c r="L22" s="91"/>
      <c r="M22" s="91"/>
      <c r="N22" s="91"/>
      <c r="O22" s="91"/>
      <c r="P22" s="91"/>
    </row>
    <row r="23" spans="1:16" ht="15.6">
      <c r="A23" s="49" t="s">
        <v>28</v>
      </c>
      <c r="B23" s="93">
        <f>-(H17+B24*F20)/G20</f>
        <v>-1.0000003607430228</v>
      </c>
      <c r="C23" s="47"/>
      <c r="D23" s="49">
        <f t="shared" ref="D23:I23" si="12">$B23*C25</f>
        <v>0</v>
      </c>
      <c r="E23" s="96">
        <f t="shared" si="12"/>
        <v>0</v>
      </c>
      <c r="F23" s="96">
        <f t="shared" si="12"/>
        <v>-1.0000003607430228</v>
      </c>
      <c r="G23" s="96">
        <f t="shared" si="12"/>
        <v>1.7548786640076537</v>
      </c>
      <c r="H23" s="96">
        <f t="shared" si="12"/>
        <v>-1.3247192426681842</v>
      </c>
      <c r="I23" s="96">
        <f t="shared" si="12"/>
        <v>5.8318866368812527E-7</v>
      </c>
      <c r="J23" s="47"/>
      <c r="K23" s="47"/>
      <c r="L23" s="48" t="s">
        <v>20</v>
      </c>
      <c r="M23" s="64">
        <f>B23^2+4*B24</f>
        <v>-3.0000000632981605</v>
      </c>
      <c r="N23" s="91"/>
      <c r="O23" s="91"/>
      <c r="P23" s="91"/>
    </row>
    <row r="24" spans="1:16" ht="16.149999999999999" thickBot="1">
      <c r="A24" s="49" t="s">
        <v>29</v>
      </c>
      <c r="B24" s="93">
        <f>-I17/G20</f>
        <v>-1.000000196196084</v>
      </c>
      <c r="C24" s="97"/>
      <c r="D24" s="97"/>
      <c r="E24" s="98">
        <f>$B24*C25</f>
        <v>0</v>
      </c>
      <c r="F24" s="98">
        <f>$B24*D25</f>
        <v>0</v>
      </c>
      <c r="G24" s="98">
        <f>$B24*E25</f>
        <v>-1.000000196196084</v>
      </c>
      <c r="H24" s="98">
        <f>$B24*F25</f>
        <v>1.7548783752478458</v>
      </c>
      <c r="I24" s="98">
        <f>$B24*G25</f>
        <v>-1.3247190246897667</v>
      </c>
      <c r="J24" s="47"/>
      <c r="K24" s="47"/>
      <c r="L24" s="49" t="s">
        <v>22</v>
      </c>
      <c r="M24" s="84">
        <f>IF(M23&lt;0,B23/2,(B23+SQRT(M23))/2)</f>
        <v>-0.50000018037151139</v>
      </c>
      <c r="N24" s="49" t="s">
        <v>30</v>
      </c>
      <c r="O24" s="49">
        <f>IF(M23&lt;0,SQRT(ABS(M23))/2,"")</f>
        <v>0.86602541292074109</v>
      </c>
      <c r="P24" s="49" t="str">
        <f>IF(M23&lt;0,"i","")</f>
        <v>i</v>
      </c>
    </row>
    <row r="25" spans="1:16" ht="15.6">
      <c r="A25" s="49" t="s">
        <v>23</v>
      </c>
      <c r="B25" s="49">
        <f>SQRT(SUMSQ(B23:B24))</f>
        <v>1.414213956188519</v>
      </c>
      <c r="C25" s="99">
        <f t="shared" ref="C25:I25" si="13">SUM(C22:C24)</f>
        <v>0</v>
      </c>
      <c r="D25" s="67">
        <f t="shared" si="13"/>
        <v>0</v>
      </c>
      <c r="E25" s="67">
        <f t="shared" si="13"/>
        <v>1</v>
      </c>
      <c r="F25" s="67">
        <f t="shared" si="13"/>
        <v>-1.7548780309476482</v>
      </c>
      <c r="G25" s="67">
        <f t="shared" si="13"/>
        <v>1.3247187647851326</v>
      </c>
      <c r="H25" s="100">
        <f t="shared" si="13"/>
        <v>-5.8318845330695979E-7</v>
      </c>
      <c r="I25" s="100">
        <f t="shared" si="13"/>
        <v>-4.7744618458800403E-7</v>
      </c>
      <c r="J25" s="49">
        <f>ABS(B25-B20)</f>
        <v>5.1768602116197826E-7</v>
      </c>
      <c r="K25" s="49">
        <f>ABS(J25/B25)*100</f>
        <v>3.6605919415277581E-5</v>
      </c>
      <c r="L25" s="105" t="s">
        <v>24</v>
      </c>
      <c r="M25" s="49">
        <f>IF(M23&lt;0,M24,(B23-SQRT(M23))/2)</f>
        <v>-0.50000018037151139</v>
      </c>
      <c r="N25" s="108" t="s">
        <v>30</v>
      </c>
      <c r="O25" s="67">
        <f>IF(M23&lt;0,-O24,"")</f>
        <v>-0.86602541292074109</v>
      </c>
      <c r="P25" s="108" t="s">
        <v>25</v>
      </c>
    </row>
    <row r="26" spans="1:1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</row>
    <row r="27" spans="1:16" ht="15.6">
      <c r="A27" s="46" t="s">
        <v>41</v>
      </c>
      <c r="B27" s="47"/>
      <c r="C27" s="48" t="s">
        <v>1</v>
      </c>
      <c r="D27" s="49" t="s">
        <v>2</v>
      </c>
      <c r="E27" s="49" t="s">
        <v>3</v>
      </c>
      <c r="F27" s="49" t="s">
        <v>4</v>
      </c>
      <c r="G27" s="49" t="s">
        <v>5</v>
      </c>
      <c r="H27" s="49" t="s">
        <v>6</v>
      </c>
      <c r="I27" s="49" t="s">
        <v>7</v>
      </c>
      <c r="J27" s="50" t="s">
        <v>9</v>
      </c>
      <c r="K27" s="51" t="s">
        <v>10</v>
      </c>
      <c r="L27" s="91"/>
      <c r="M27" s="91"/>
      <c r="N27" s="91"/>
      <c r="O27" s="91"/>
      <c r="P27" s="91"/>
    </row>
    <row r="28" spans="1:16" ht="15.6">
      <c r="A28" s="47"/>
      <c r="B28" s="53" t="s">
        <v>18</v>
      </c>
      <c r="C28" s="92">
        <v>0</v>
      </c>
      <c r="D28" s="93">
        <v>0</v>
      </c>
      <c r="E28" s="57">
        <v>0</v>
      </c>
      <c r="F28" s="57">
        <v>0</v>
      </c>
      <c r="G28" s="57">
        <v>1</v>
      </c>
      <c r="H28" s="57">
        <v>-1.7548780309476482</v>
      </c>
      <c r="I28" s="57">
        <v>1.3247187647851326</v>
      </c>
      <c r="J28" s="94"/>
      <c r="K28" s="95">
        <v>0.1</v>
      </c>
      <c r="L28" s="47"/>
      <c r="M28" s="47"/>
      <c r="N28" s="91"/>
      <c r="O28" s="91"/>
      <c r="P28" s="91"/>
    </row>
    <row r="29" spans="1:16" ht="15.6">
      <c r="A29" s="48" t="s">
        <v>19</v>
      </c>
      <c r="B29" s="90">
        <v>1</v>
      </c>
      <c r="C29" s="47"/>
      <c r="D29" s="49">
        <f t="shared" ref="D29" si="14">$B29*C31</f>
        <v>0</v>
      </c>
      <c r="E29" s="96">
        <f t="shared" ref="E29" si="15">$B29*D31</f>
        <v>0</v>
      </c>
      <c r="F29" s="96">
        <f t="shared" ref="F29" si="16">$B29*E31</f>
        <v>0</v>
      </c>
      <c r="G29" s="96">
        <f t="shared" ref="G29" si="17">$B29*F31</f>
        <v>0</v>
      </c>
      <c r="H29" s="96">
        <f t="shared" ref="H29" si="18">$B29*G31</f>
        <v>1</v>
      </c>
      <c r="I29" s="96">
        <f t="shared" ref="I29" si="19">$B29*H31</f>
        <v>-0.75487803094764816</v>
      </c>
      <c r="J29" s="47"/>
      <c r="K29" s="47"/>
      <c r="L29" s="49" t="s">
        <v>20</v>
      </c>
      <c r="M29" s="64">
        <f>B29^2+4*B30</f>
        <v>5</v>
      </c>
      <c r="N29" s="91"/>
      <c r="O29" s="91"/>
      <c r="P29" s="91"/>
    </row>
    <row r="30" spans="1:16" ht="16.149999999999999" thickBot="1">
      <c r="A30" s="48" t="s">
        <v>21</v>
      </c>
      <c r="B30" s="74">
        <v>1</v>
      </c>
      <c r="C30" s="97"/>
      <c r="D30" s="97"/>
      <c r="E30" s="98">
        <f>$B30*C31</f>
        <v>0</v>
      </c>
      <c r="F30" s="98">
        <f>$B30*D31</f>
        <v>0</v>
      </c>
      <c r="G30" s="98">
        <f>$B30*E31</f>
        <v>0</v>
      </c>
      <c r="H30" s="98">
        <f>$B30*F31</f>
        <v>0</v>
      </c>
      <c r="I30" s="98">
        <f>$B30*G31</f>
        <v>1</v>
      </c>
      <c r="J30" s="47"/>
      <c r="K30" s="47"/>
      <c r="L30" s="49" t="s">
        <v>22</v>
      </c>
      <c r="M30" s="49">
        <f>IF(M29&lt;0,B29/2,(B29+SQRT(M29))/2)</f>
        <v>1.6180339887498949</v>
      </c>
      <c r="N30" s="49" t="str">
        <f>IF(M29&lt;0,"+","")</f>
        <v/>
      </c>
      <c r="O30" s="49" t="str">
        <f>IF(M29&lt;0,SQRT(ABS(M29))/2,"")</f>
        <v/>
      </c>
      <c r="P30" s="49" t="str">
        <f>IF(M29&lt;0,"i","")</f>
        <v/>
      </c>
    </row>
    <row r="31" spans="1:16" ht="15.6">
      <c r="A31" s="48" t="s">
        <v>23</v>
      </c>
      <c r="B31" s="67">
        <f>SQRT(SUMSQ(B29:B30))</f>
        <v>1.4142135623730951</v>
      </c>
      <c r="C31" s="99">
        <f t="shared" ref="C31:I31" si="20">SUM(C28:C30)</f>
        <v>0</v>
      </c>
      <c r="D31" s="67">
        <f t="shared" si="20"/>
        <v>0</v>
      </c>
      <c r="E31" s="99">
        <f t="shared" si="20"/>
        <v>0</v>
      </c>
      <c r="F31" s="67">
        <f t="shared" si="20"/>
        <v>0</v>
      </c>
      <c r="G31" s="67">
        <f t="shared" si="20"/>
        <v>1</v>
      </c>
      <c r="H31" s="100">
        <f t="shared" si="20"/>
        <v>-0.75487803094764816</v>
      </c>
      <c r="I31" s="100">
        <f t="shared" si="20"/>
        <v>1.5698407338374845</v>
      </c>
      <c r="J31" s="47"/>
      <c r="K31" s="47"/>
      <c r="L31" s="49" t="s">
        <v>24</v>
      </c>
      <c r="M31" s="49">
        <f>IF(M29&lt;0,M30,(B29-SQRT(M29))/2)</f>
        <v>-0.6180339887498949</v>
      </c>
      <c r="N31" s="104" t="str">
        <f>IF(M29&lt;0,"+","")</f>
        <v/>
      </c>
      <c r="O31" s="49" t="str">
        <f>IF(M29&lt;0,-O30,"")</f>
        <v/>
      </c>
      <c r="P31" s="104" t="s">
        <v>25</v>
      </c>
    </row>
    <row r="32" spans="1:16" ht="15.6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91"/>
      <c r="M32" s="91"/>
      <c r="N32" s="91"/>
      <c r="O32" s="91"/>
      <c r="P32" s="91"/>
    </row>
    <row r="33" spans="1:16" ht="15.6">
      <c r="A33" s="47"/>
      <c r="B33" s="53" t="s">
        <v>26</v>
      </c>
      <c r="C33" s="102">
        <f t="shared" ref="C33:I33" si="21">C28</f>
        <v>0</v>
      </c>
      <c r="D33" s="93">
        <f t="shared" si="21"/>
        <v>0</v>
      </c>
      <c r="E33" s="93">
        <f t="shared" si="21"/>
        <v>0</v>
      </c>
      <c r="F33" s="93">
        <f t="shared" si="21"/>
        <v>0</v>
      </c>
      <c r="G33" s="93">
        <f t="shared" si="21"/>
        <v>1</v>
      </c>
      <c r="H33" s="93">
        <f t="shared" si="21"/>
        <v>-1.7548780309476482</v>
      </c>
      <c r="I33" s="93">
        <f t="shared" si="21"/>
        <v>1.3247187647851326</v>
      </c>
      <c r="J33" s="47"/>
      <c r="K33" s="47"/>
      <c r="L33" s="47"/>
      <c r="M33" s="49" t="s">
        <v>27</v>
      </c>
      <c r="N33" s="91"/>
      <c r="O33" s="91"/>
      <c r="P33" s="91"/>
    </row>
    <row r="34" spans="1:16" ht="15.6">
      <c r="A34" s="48" t="s">
        <v>28</v>
      </c>
      <c r="B34" s="74">
        <f>-(H28+B35*F31)/G31</f>
        <v>1.7548780309476482</v>
      </c>
      <c r="C34" s="47"/>
      <c r="D34" s="49">
        <f t="shared" ref="D34" si="22">$B34*C36</f>
        <v>0</v>
      </c>
      <c r="E34" s="49">
        <f t="shared" ref="E34" si="23">$B34*D36</f>
        <v>0</v>
      </c>
      <c r="F34" s="49">
        <f t="shared" ref="F34" si="24">$B34*E36</f>
        <v>0</v>
      </c>
      <c r="G34" s="49">
        <f t="shared" ref="G34" si="25">$B34*F36</f>
        <v>0</v>
      </c>
      <c r="H34" s="49">
        <f t="shared" ref="H34" si="26">$B34*G36</f>
        <v>1.7548780309476482</v>
      </c>
      <c r="I34" s="49">
        <f t="shared" ref="I34" si="27">$B34*H36</f>
        <v>0</v>
      </c>
      <c r="J34" s="47"/>
      <c r="K34" s="47"/>
      <c r="L34" s="49" t="s">
        <v>20</v>
      </c>
      <c r="M34" s="64">
        <f>B34^2+4*B35</f>
        <v>-2.2192781556378356</v>
      </c>
      <c r="N34" s="91"/>
      <c r="O34" s="91"/>
      <c r="P34" s="91"/>
    </row>
    <row r="35" spans="1:16" ht="16.149999999999999" thickBot="1">
      <c r="A35" s="48" t="s">
        <v>29</v>
      </c>
      <c r="B35" s="75">
        <f>-I28/G31</f>
        <v>-1.3247187647851326</v>
      </c>
      <c r="C35" s="103"/>
      <c r="D35" s="97"/>
      <c r="E35" s="98">
        <f>$B35*C36</f>
        <v>0</v>
      </c>
      <c r="F35" s="98">
        <f>$B35*D36</f>
        <v>0</v>
      </c>
      <c r="G35" s="98">
        <f>$B35*E36</f>
        <v>0</v>
      </c>
      <c r="H35" s="98">
        <f>$B35*F36</f>
        <v>0</v>
      </c>
      <c r="I35" s="98">
        <f>$B35*G36</f>
        <v>-1.3247187647851326</v>
      </c>
      <c r="J35" s="47"/>
      <c r="K35" s="47"/>
      <c r="L35" s="49" t="s">
        <v>22</v>
      </c>
      <c r="M35" s="48">
        <f>IF(M34&lt;0,B34/2,(B34+SQRT(M34))/2)</f>
        <v>0.87743901547382408</v>
      </c>
      <c r="N35" s="49" t="s">
        <v>30</v>
      </c>
      <c r="O35" s="49">
        <f>IF(M34&lt;0,SQRT(ABS(M34))/2,"")</f>
        <v>0.74486209388682068</v>
      </c>
      <c r="P35" s="49" t="str">
        <f>IF(M34&lt;0,"i","")</f>
        <v>i</v>
      </c>
    </row>
    <row r="36" spans="1:16" ht="15.6">
      <c r="A36" s="49" t="s">
        <v>23</v>
      </c>
      <c r="B36" s="67">
        <f>SQRT(SUMSQ(B34:B35))</f>
        <v>2.1987443483216831</v>
      </c>
      <c r="C36" s="67">
        <f t="shared" ref="C36:I36" si="28">SUM(C33:C35)</f>
        <v>0</v>
      </c>
      <c r="D36" s="67">
        <f t="shared" si="28"/>
        <v>0</v>
      </c>
      <c r="E36" s="67">
        <f t="shared" si="28"/>
        <v>0</v>
      </c>
      <c r="F36" s="67">
        <f t="shared" si="28"/>
        <v>0</v>
      </c>
      <c r="G36" s="67">
        <f t="shared" si="28"/>
        <v>1</v>
      </c>
      <c r="H36" s="100">
        <f t="shared" si="28"/>
        <v>0</v>
      </c>
      <c r="I36" s="100">
        <f t="shared" si="28"/>
        <v>0</v>
      </c>
      <c r="J36" s="49">
        <f>ABS(B36-B31)</f>
        <v>0.78453078594858794</v>
      </c>
      <c r="K36" s="48">
        <f>ABS(J36/B36)*100</f>
        <v>35.68085514568466</v>
      </c>
      <c r="L36" s="49" t="s">
        <v>24</v>
      </c>
      <c r="M36" s="48">
        <f>IF(M34&lt;0,M35,(B34-SQRT(M34))/2)</f>
        <v>0.87743901547382408</v>
      </c>
      <c r="N36" s="104" t="s">
        <v>30</v>
      </c>
      <c r="O36" s="49">
        <f>IF(M34&lt;0,-O35,"")</f>
        <v>-0.74486209388682068</v>
      </c>
      <c r="P36" s="104" t="s">
        <v>25</v>
      </c>
    </row>
    <row r="37" spans="1:16" ht="15.6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91"/>
      <c r="M37" s="91"/>
      <c r="N37" s="91"/>
      <c r="O37" s="91"/>
      <c r="P37" s="91"/>
    </row>
    <row r="38" spans="1:16" ht="15.6">
      <c r="A38" s="47"/>
      <c r="B38" s="53" t="s">
        <v>31</v>
      </c>
      <c r="C38" s="92">
        <f t="shared" ref="C38:I38" si="29">C33</f>
        <v>0</v>
      </c>
      <c r="D38" s="75">
        <f t="shared" si="29"/>
        <v>0</v>
      </c>
      <c r="E38" s="93">
        <f t="shared" si="29"/>
        <v>0</v>
      </c>
      <c r="F38" s="93">
        <f t="shared" si="29"/>
        <v>0</v>
      </c>
      <c r="G38" s="93">
        <f t="shared" si="29"/>
        <v>1</v>
      </c>
      <c r="H38" s="93">
        <f t="shared" si="29"/>
        <v>-1.7548780309476482</v>
      </c>
      <c r="I38" s="93">
        <f t="shared" si="29"/>
        <v>1.3247187647851326</v>
      </c>
      <c r="J38" s="47"/>
      <c r="K38" s="47"/>
      <c r="L38" s="91"/>
      <c r="M38" s="91"/>
      <c r="N38" s="91"/>
      <c r="O38" s="91"/>
      <c r="P38" s="91"/>
    </row>
    <row r="39" spans="1:16" ht="15.6">
      <c r="A39" s="48" t="s">
        <v>19</v>
      </c>
      <c r="B39" s="80">
        <f>-(H33+B40*F36)/G36</f>
        <v>1.7548780309476482</v>
      </c>
      <c r="C39" s="47"/>
      <c r="D39" s="48">
        <f t="shared" ref="D39" si="30">$B39*C41</f>
        <v>0</v>
      </c>
      <c r="E39" s="49">
        <f t="shared" ref="E39" si="31">$B39*D41</f>
        <v>0</v>
      </c>
      <c r="F39" s="49">
        <f t="shared" ref="F39" si="32">$B39*E41</f>
        <v>0</v>
      </c>
      <c r="G39" s="49">
        <f t="shared" ref="G39" si="33">$B39*F41</f>
        <v>0</v>
      </c>
      <c r="H39" s="49">
        <f t="shared" ref="H39" si="34">$B39*G41</f>
        <v>1.7548780309476482</v>
      </c>
      <c r="I39" s="49">
        <f t="shared" ref="I39" si="35">$B39*H41</f>
        <v>0</v>
      </c>
      <c r="J39" s="47"/>
      <c r="K39" s="47"/>
      <c r="L39" s="49" t="s">
        <v>20</v>
      </c>
      <c r="M39" s="64">
        <f>B39^2+4*B40</f>
        <v>-2.2192781556378356</v>
      </c>
      <c r="N39" s="91"/>
      <c r="O39" s="91"/>
      <c r="P39" s="91"/>
    </row>
    <row r="40" spans="1:16" ht="16.149999999999999" thickBot="1">
      <c r="A40" s="48" t="s">
        <v>21</v>
      </c>
      <c r="B40" s="75">
        <f>-I33/G36</f>
        <v>-1.3247187647851326</v>
      </c>
      <c r="C40" s="103"/>
      <c r="D40" s="97"/>
      <c r="E40" s="98">
        <f>$B40*C41</f>
        <v>0</v>
      </c>
      <c r="F40" s="98">
        <f>$B40*D41</f>
        <v>0</v>
      </c>
      <c r="G40" s="98">
        <f>$B40*E41</f>
        <v>0</v>
      </c>
      <c r="H40" s="98">
        <f>$B40*F41</f>
        <v>0</v>
      </c>
      <c r="I40" s="98">
        <f>$B40*G41</f>
        <v>-1.3247187647851326</v>
      </c>
      <c r="J40" s="47"/>
      <c r="K40" s="47"/>
      <c r="L40" s="49" t="s">
        <v>22</v>
      </c>
      <c r="M40" s="48">
        <f>IF(M39&lt;0,B39/2,(B39+SQRT(M39))/2)</f>
        <v>0.87743901547382408</v>
      </c>
      <c r="N40" s="49" t="s">
        <v>30</v>
      </c>
      <c r="O40" s="49">
        <f>IF(M39&lt;0,SQRT(ABS(M39))/2,"")</f>
        <v>0.74486209388682068</v>
      </c>
      <c r="P40" s="49" t="str">
        <f>IF(M39&lt;0,"i","")</f>
        <v>i</v>
      </c>
    </row>
    <row r="41" spans="1:16" ht="15.6">
      <c r="A41" s="48" t="s">
        <v>23</v>
      </c>
      <c r="B41" s="67">
        <f>SQRT(SUMSQ(B39:B40))</f>
        <v>2.1987443483216831</v>
      </c>
      <c r="C41" s="67">
        <f t="shared" ref="C41:I41" si="36">SUM(C38:C40)</f>
        <v>0</v>
      </c>
      <c r="D41" s="84">
        <f t="shared" si="36"/>
        <v>0</v>
      </c>
      <c r="E41" s="67">
        <f t="shared" si="36"/>
        <v>0</v>
      </c>
      <c r="F41" s="67">
        <f t="shared" si="36"/>
        <v>0</v>
      </c>
      <c r="G41" s="67">
        <f t="shared" si="36"/>
        <v>1</v>
      </c>
      <c r="H41" s="100">
        <f t="shared" si="36"/>
        <v>0</v>
      </c>
      <c r="I41" s="100">
        <f t="shared" si="36"/>
        <v>0</v>
      </c>
      <c r="J41" s="105">
        <f>ABS(B41-B36)</f>
        <v>0</v>
      </c>
      <c r="K41" s="48">
        <f>ABS(J41/B41)*100</f>
        <v>0</v>
      </c>
      <c r="L41" s="49" t="s">
        <v>24</v>
      </c>
      <c r="M41" s="48">
        <f>IF(M39&lt;0,M40,(B39-SQRT(M39))/2)</f>
        <v>0.87743901547382408</v>
      </c>
      <c r="N41" s="104" t="s">
        <v>30</v>
      </c>
      <c r="O41" s="49">
        <f>IF(M39&lt;0,-O40,"")</f>
        <v>-0.74486209388682068</v>
      </c>
      <c r="P41" s="104" t="s">
        <v>25</v>
      </c>
    </row>
    <row r="42" spans="1:16" ht="15.6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91"/>
      <c r="M42" s="91"/>
      <c r="N42" s="91"/>
      <c r="O42" s="91"/>
      <c r="P42" s="91"/>
    </row>
    <row r="43" spans="1:16" ht="15.6">
      <c r="A43" s="47"/>
      <c r="B43" s="53" t="s">
        <v>32</v>
      </c>
      <c r="C43" s="92">
        <f t="shared" ref="C43:I43" si="37">C38</f>
        <v>0</v>
      </c>
      <c r="D43" s="106">
        <f t="shared" si="37"/>
        <v>0</v>
      </c>
      <c r="E43" s="106">
        <f t="shared" si="37"/>
        <v>0</v>
      </c>
      <c r="F43" s="106">
        <f t="shared" si="37"/>
        <v>0</v>
      </c>
      <c r="G43" s="106">
        <f t="shared" si="37"/>
        <v>1</v>
      </c>
      <c r="H43" s="106">
        <f t="shared" si="37"/>
        <v>-1.7548780309476482</v>
      </c>
      <c r="I43" s="106">
        <f t="shared" si="37"/>
        <v>1.3247187647851326</v>
      </c>
      <c r="J43" s="47"/>
      <c r="K43" s="47"/>
      <c r="L43" s="91"/>
      <c r="M43" s="91"/>
      <c r="N43" s="91"/>
      <c r="O43" s="91"/>
      <c r="P43" s="91"/>
    </row>
    <row r="44" spans="1:16" ht="15.6">
      <c r="A44" s="49" t="s">
        <v>28</v>
      </c>
      <c r="B44" s="74">
        <f>-(H38+B45*F41)/G41</f>
        <v>1.7548780309476482</v>
      </c>
      <c r="C44" s="47"/>
      <c r="D44" s="49">
        <f t="shared" ref="D44" si="38">$B44*C46</f>
        <v>0</v>
      </c>
      <c r="E44" s="96">
        <f t="shared" ref="E44" si="39">$B44*D46</f>
        <v>0</v>
      </c>
      <c r="F44" s="96">
        <f t="shared" ref="F44" si="40">$B44*E46</f>
        <v>0</v>
      </c>
      <c r="G44" s="96">
        <f t="shared" ref="G44" si="41">$B44*F46</f>
        <v>0</v>
      </c>
      <c r="H44" s="96">
        <f t="shared" ref="H44" si="42">$B44*G46</f>
        <v>1.7548780309476482</v>
      </c>
      <c r="I44" s="96">
        <f t="shared" ref="I44" si="43">$B44*H46</f>
        <v>0</v>
      </c>
      <c r="J44" s="47"/>
      <c r="K44" s="47"/>
      <c r="L44" s="49" t="s">
        <v>20</v>
      </c>
      <c r="M44" s="64">
        <f>B44^2+4*B45</f>
        <v>-2.2192781556378356</v>
      </c>
      <c r="N44" s="91"/>
      <c r="O44" s="91"/>
      <c r="P44" s="91"/>
    </row>
    <row r="45" spans="1:16" ht="16.149999999999999" thickBot="1">
      <c r="A45" s="49" t="s">
        <v>29</v>
      </c>
      <c r="B45" s="75">
        <f>-I38/G41</f>
        <v>-1.3247187647851326</v>
      </c>
      <c r="C45" s="103"/>
      <c r="D45" s="97"/>
      <c r="E45" s="98">
        <f>$B45*C46</f>
        <v>0</v>
      </c>
      <c r="F45" s="98">
        <f>$B45*D46</f>
        <v>0</v>
      </c>
      <c r="G45" s="98">
        <f>$B45*E46</f>
        <v>0</v>
      </c>
      <c r="H45" s="98">
        <f>$B45*F46</f>
        <v>0</v>
      </c>
      <c r="I45" s="98">
        <f>$B45*G46</f>
        <v>-1.3247187647851326</v>
      </c>
      <c r="J45" s="47"/>
      <c r="K45" s="47"/>
      <c r="L45" s="49" t="s">
        <v>22</v>
      </c>
      <c r="M45" s="48">
        <f>IF(M44&lt;0,B44/2,(B44+SQRT(M44))/2)</f>
        <v>0.87743901547382408</v>
      </c>
      <c r="N45" s="49" t="s">
        <v>30</v>
      </c>
      <c r="O45" s="49">
        <f>IF(M44&lt;0,SQRT(ABS(M44))/2,"")</f>
        <v>0.74486209388682068</v>
      </c>
      <c r="P45" s="49" t="str">
        <f>IF(M44&lt;0,"i","")</f>
        <v>i</v>
      </c>
    </row>
    <row r="46" spans="1:16" ht="15.6">
      <c r="A46" s="49" t="s">
        <v>23</v>
      </c>
      <c r="B46" s="84">
        <f>SQRT(SUMSQ(B44:B45))</f>
        <v>2.1987443483216831</v>
      </c>
      <c r="C46" s="67">
        <f t="shared" ref="C46:I46" si="44">SUM(C43:C45)</f>
        <v>0</v>
      </c>
      <c r="D46" s="67">
        <f t="shared" si="44"/>
        <v>0</v>
      </c>
      <c r="E46" s="99">
        <f t="shared" si="44"/>
        <v>0</v>
      </c>
      <c r="F46" s="67">
        <f t="shared" si="44"/>
        <v>0</v>
      </c>
      <c r="G46" s="67">
        <f t="shared" si="44"/>
        <v>1</v>
      </c>
      <c r="H46" s="100">
        <f t="shared" si="44"/>
        <v>0</v>
      </c>
      <c r="I46" s="107">
        <f t="shared" si="44"/>
        <v>0</v>
      </c>
      <c r="J46" s="49">
        <f>ABS(B46-B41)</f>
        <v>0</v>
      </c>
      <c r="K46" s="49">
        <f>ABS(J46/B46)*100</f>
        <v>0</v>
      </c>
      <c r="L46" s="105" t="s">
        <v>24</v>
      </c>
      <c r="M46" s="48">
        <f>IF(M44&lt;0,M45,(B44-SQRT(M44))/2)</f>
        <v>0.87743901547382408</v>
      </c>
      <c r="N46" s="104" t="s">
        <v>30</v>
      </c>
      <c r="O46" s="49">
        <f>IF(M44&lt;0,-O45,"")</f>
        <v>-0.74486209388682068</v>
      </c>
      <c r="P46" s="104" t="s">
        <v>25</v>
      </c>
    </row>
    <row r="47" spans="1:16" ht="15.6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91"/>
      <c r="M47" s="91"/>
      <c r="N47" s="91"/>
      <c r="O47" s="91"/>
      <c r="P47" s="91"/>
    </row>
    <row r="48" spans="1:16" ht="15.6">
      <c r="A48" s="47"/>
      <c r="B48" s="53" t="s">
        <v>33</v>
      </c>
      <c r="C48" s="92">
        <f t="shared" ref="C48:I48" si="45">C43</f>
        <v>0</v>
      </c>
      <c r="D48" s="106">
        <f t="shared" si="45"/>
        <v>0</v>
      </c>
      <c r="E48" s="106">
        <f t="shared" si="45"/>
        <v>0</v>
      </c>
      <c r="F48" s="106">
        <f t="shared" si="45"/>
        <v>0</v>
      </c>
      <c r="G48" s="106">
        <f t="shared" si="45"/>
        <v>1</v>
      </c>
      <c r="H48" s="106">
        <f t="shared" si="45"/>
        <v>-1.7548780309476482</v>
      </c>
      <c r="I48" s="106">
        <f t="shared" si="45"/>
        <v>1.3247187647851326</v>
      </c>
      <c r="J48" s="47"/>
      <c r="K48" s="47"/>
      <c r="L48" s="91"/>
      <c r="M48" s="91"/>
      <c r="N48" s="91"/>
      <c r="O48" s="91"/>
      <c r="P48" s="91"/>
    </row>
    <row r="49" spans="1:16" ht="15.6">
      <c r="A49" s="49" t="s">
        <v>28</v>
      </c>
      <c r="B49" s="74">
        <f>-(H43+B50*F46)/G46</f>
        <v>1.7548780309476482</v>
      </c>
      <c r="C49" s="47"/>
      <c r="D49" s="49">
        <f t="shared" ref="D49" si="46">$B49*C51</f>
        <v>0</v>
      </c>
      <c r="E49" s="96">
        <f t="shared" ref="E49" si="47">$B49*D51</f>
        <v>0</v>
      </c>
      <c r="F49" s="96">
        <f t="shared" ref="F49" si="48">$B49*E51</f>
        <v>0</v>
      </c>
      <c r="G49" s="96">
        <f t="shared" ref="G49" si="49">$B49*F51</f>
        <v>0</v>
      </c>
      <c r="H49" s="96">
        <f t="shared" ref="H49" si="50">$B49*G51</f>
        <v>1.7548780309476482</v>
      </c>
      <c r="I49" s="96">
        <f t="shared" ref="I49" si="51">$B49*H51</f>
        <v>0</v>
      </c>
      <c r="J49" s="47"/>
      <c r="K49" s="47"/>
      <c r="L49" s="48" t="s">
        <v>20</v>
      </c>
      <c r="M49" s="64">
        <f>B49^2+4*B50</f>
        <v>-2.2192781556378356</v>
      </c>
      <c r="N49" s="91"/>
      <c r="O49" s="91"/>
      <c r="P49" s="91"/>
    </row>
    <row r="50" spans="1:16" ht="16.149999999999999" thickBot="1">
      <c r="A50" s="49" t="s">
        <v>29</v>
      </c>
      <c r="B50" s="75">
        <f>-I43/G46</f>
        <v>-1.3247187647851326</v>
      </c>
      <c r="C50" s="103"/>
      <c r="D50" s="97"/>
      <c r="E50" s="98">
        <f>$B50*C51</f>
        <v>0</v>
      </c>
      <c r="F50" s="98">
        <f>$B50*D51</f>
        <v>0</v>
      </c>
      <c r="G50" s="98">
        <f>$B50*E51</f>
        <v>0</v>
      </c>
      <c r="H50" s="98">
        <f>$B50*F51</f>
        <v>0</v>
      </c>
      <c r="I50" s="98">
        <f>$B50*G51</f>
        <v>-1.3247187647851326</v>
      </c>
      <c r="J50" s="47"/>
      <c r="K50" s="47"/>
      <c r="L50" s="49" t="s">
        <v>22</v>
      </c>
      <c r="M50" s="84">
        <f>IF(M49&lt;0,B49/2,(B49+SQRT(M49))/2)</f>
        <v>0.87743901547382408</v>
      </c>
      <c r="N50" s="49" t="s">
        <v>30</v>
      </c>
      <c r="O50" s="49">
        <f>IF(M49&lt;0,SQRT(ABS(M49))/2,"")</f>
        <v>0.74486209388682068</v>
      </c>
      <c r="P50" s="49" t="str">
        <f>IF(M49&lt;0,"i","")</f>
        <v>i</v>
      </c>
    </row>
    <row r="51" spans="1:16" ht="15.6">
      <c r="A51" s="49" t="s">
        <v>23</v>
      </c>
      <c r="B51" s="84">
        <f>SQRT(SUMSQ(B49:B50))</f>
        <v>2.1987443483216831</v>
      </c>
      <c r="C51" s="67">
        <f t="shared" ref="C51:I51" si="52">SUM(C48:C50)</f>
        <v>0</v>
      </c>
      <c r="D51" s="67">
        <f t="shared" si="52"/>
        <v>0</v>
      </c>
      <c r="E51" s="67">
        <f t="shared" si="52"/>
        <v>0</v>
      </c>
      <c r="F51" s="67">
        <f t="shared" si="52"/>
        <v>0</v>
      </c>
      <c r="G51" s="67">
        <f t="shared" si="52"/>
        <v>1</v>
      </c>
      <c r="H51" s="100">
        <f t="shared" si="52"/>
        <v>0</v>
      </c>
      <c r="I51" s="100">
        <f t="shared" si="52"/>
        <v>0</v>
      </c>
      <c r="J51" s="49">
        <f>ABS(B51-B46)</f>
        <v>0</v>
      </c>
      <c r="K51" s="49">
        <f>ABS(J51/B51)*100</f>
        <v>0</v>
      </c>
      <c r="L51" s="105" t="s">
        <v>24</v>
      </c>
      <c r="M51" s="49">
        <f>IF(M49&lt;0,M50,(B49-SQRT(M49))/2)</f>
        <v>0.87743901547382408</v>
      </c>
      <c r="N51" s="108" t="s">
        <v>30</v>
      </c>
      <c r="O51" s="67">
        <f>IF(M49&lt;0,-O50,"")</f>
        <v>-0.74486209388682068</v>
      </c>
      <c r="P51" s="108" t="s">
        <v>25</v>
      </c>
    </row>
  </sheetData>
  <conditionalFormatting sqref="B10">
    <cfRule type="expression" dxfId="13" priority="8">
      <formula>K10&lt;$K$2</formula>
    </cfRule>
  </conditionalFormatting>
  <conditionalFormatting sqref="B15">
    <cfRule type="expression" dxfId="12" priority="13">
      <formula>K15&lt;$K$2</formula>
    </cfRule>
    <cfRule type="expression" dxfId="11" priority="14">
      <formula>J15&lt;$J$2</formula>
    </cfRule>
  </conditionalFormatting>
  <conditionalFormatting sqref="B20">
    <cfRule type="expression" dxfId="10" priority="11">
      <formula>K20&lt;$K$2</formula>
    </cfRule>
    <cfRule type="expression" dxfId="9" priority="12">
      <formula>J20&lt;$J$2</formula>
    </cfRule>
  </conditionalFormatting>
  <conditionalFormatting sqref="B25">
    <cfRule type="expression" dxfId="8" priority="9">
      <formula>K25&lt;$K$2</formula>
    </cfRule>
    <cfRule type="expression" dxfId="7" priority="10">
      <formula>J25&lt;$J$2</formula>
    </cfRule>
  </conditionalFormatting>
  <conditionalFormatting sqref="B36">
    <cfRule type="expression" dxfId="6" priority="1">
      <formula>K36&lt;$K$2</formula>
    </cfRule>
  </conditionalFormatting>
  <conditionalFormatting sqref="B41">
    <cfRule type="expression" dxfId="5" priority="6">
      <formula>K41&lt;$K$2</formula>
    </cfRule>
    <cfRule type="expression" dxfId="4" priority="7">
      <formula>J41&lt;$J$2</formula>
    </cfRule>
  </conditionalFormatting>
  <conditionalFormatting sqref="B46">
    <cfRule type="expression" dxfId="3" priority="4">
      <formula>K46&lt;$K$2</formula>
    </cfRule>
    <cfRule type="expression" dxfId="2" priority="5">
      <formula>J46&lt;$J$2</formula>
    </cfRule>
  </conditionalFormatting>
  <conditionalFormatting sqref="B51">
    <cfRule type="expression" dxfId="1" priority="2">
      <formula>K51&lt;$K$2</formula>
    </cfRule>
    <cfRule type="expression" dxfId="0" priority="3">
      <formula>J51&lt;$J$2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VICTORIA MONSERRAT MUÑOZ SAN AGUSTIN</dc:creator>
  <cp:keywords/>
  <dc:description/>
  <cp:lastModifiedBy>uriel ivan guerrero lopez</cp:lastModifiedBy>
  <cp:revision/>
  <dcterms:created xsi:type="dcterms:W3CDTF">2024-03-11T01:05:45Z</dcterms:created>
  <dcterms:modified xsi:type="dcterms:W3CDTF">2024-05-20T01:03:12Z</dcterms:modified>
  <cp:category/>
  <cp:contentStatus/>
</cp:coreProperties>
</file>