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1178" documentId="8_{2F14D2EB-2D9D-47DD-925E-E0095475C20D}" xr6:coauthVersionLast="47" xr6:coauthVersionMax="47" xr10:uidLastSave="{B04AE21F-0286-482E-AB97-87A495CB7270}"/>
  <bookViews>
    <workbookView xWindow="-108" yWindow="-108" windowWidth="23256" windowHeight="13176" firstSheet="2" activeTab="6" xr2:uid="{F7A4C93F-D8DF-46B5-8F68-8230AB57DCCB}"/>
  </bookViews>
  <sheets>
    <sheet name="Primer ejercicio" sheetId="1" r:id="rId1"/>
    <sheet name="Segundo ejercicio" sheetId="2" r:id="rId2"/>
    <sheet name="Tercer ejercicio" sheetId="4" r:id="rId3"/>
    <sheet name="T-E2" sheetId="5" r:id="rId4"/>
    <sheet name="Hoja4" sheetId="7" r:id="rId5"/>
    <sheet name="Hoja3" sheetId="6" r:id="rId6"/>
    <sheet name="Tarea 6-A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M3" i="8"/>
  <c r="E12" i="8"/>
  <c r="I7" i="8"/>
  <c r="H7" i="8"/>
  <c r="G7" i="8"/>
  <c r="F7" i="8"/>
  <c r="F12" i="8" s="1"/>
  <c r="E7" i="8"/>
  <c r="D7" i="8"/>
  <c r="D12" i="8" s="1"/>
  <c r="C7" i="8"/>
  <c r="C10" i="8" s="1"/>
  <c r="C5" i="8"/>
  <c r="D3" i="7"/>
  <c r="C7" i="7"/>
  <c r="C12" i="7"/>
  <c r="C17" i="7"/>
  <c r="C22" i="7"/>
  <c r="D7" i="7"/>
  <c r="D12" i="7"/>
  <c r="D17" i="7"/>
  <c r="D22" i="7"/>
  <c r="E7" i="7"/>
  <c r="E12" i="7"/>
  <c r="E17" i="7"/>
  <c r="E22" i="7"/>
  <c r="F7" i="7"/>
  <c r="F12" i="7"/>
  <c r="F17" i="7"/>
  <c r="F22" i="7"/>
  <c r="G7" i="7"/>
  <c r="G12" i="7"/>
  <c r="G17" i="7"/>
  <c r="G22" i="7"/>
  <c r="H7" i="7"/>
  <c r="H12" i="7"/>
  <c r="H17" i="7"/>
  <c r="H22" i="7"/>
  <c r="I7" i="7"/>
  <c r="I12" i="7"/>
  <c r="I17" i="7"/>
  <c r="I22" i="7"/>
  <c r="C5" i="7"/>
  <c r="D5" i="7"/>
  <c r="E3" i="7"/>
  <c r="E4" i="7"/>
  <c r="E5" i="7"/>
  <c r="F3" i="7"/>
  <c r="F4" i="7"/>
  <c r="F5" i="7"/>
  <c r="G3" i="7"/>
  <c r="G4" i="7"/>
  <c r="G5" i="7"/>
  <c r="B9" i="7"/>
  <c r="B8" i="7"/>
  <c r="C10" i="7"/>
  <c r="D8" i="7"/>
  <c r="D10" i="7"/>
  <c r="E8" i="7"/>
  <c r="E9" i="7"/>
  <c r="E10" i="7"/>
  <c r="F8" i="7"/>
  <c r="F9" i="7"/>
  <c r="F10" i="7"/>
  <c r="G8" i="7"/>
  <c r="G9" i="7"/>
  <c r="G10" i="7"/>
  <c r="B14" i="7"/>
  <c r="B13" i="7"/>
  <c r="C15" i="7"/>
  <c r="D13" i="7"/>
  <c r="D15" i="7"/>
  <c r="E13" i="7"/>
  <c r="E14" i="7"/>
  <c r="E15" i="7"/>
  <c r="F13" i="7"/>
  <c r="F14" i="7"/>
  <c r="F15" i="7"/>
  <c r="G13" i="7"/>
  <c r="G14" i="7"/>
  <c r="G15" i="7"/>
  <c r="B19" i="7"/>
  <c r="B18" i="7"/>
  <c r="C20" i="7"/>
  <c r="D18" i="7"/>
  <c r="D20" i="7"/>
  <c r="E18" i="7"/>
  <c r="E19" i="7"/>
  <c r="E20" i="7"/>
  <c r="F18" i="7"/>
  <c r="F19" i="7"/>
  <c r="F20" i="7"/>
  <c r="G18" i="7"/>
  <c r="G19" i="7"/>
  <c r="G20" i="7"/>
  <c r="B24" i="7"/>
  <c r="B23" i="7"/>
  <c r="C25" i="7"/>
  <c r="D23" i="7"/>
  <c r="D25" i="7"/>
  <c r="E23" i="7"/>
  <c r="E24" i="7"/>
  <c r="E25" i="7"/>
  <c r="F23" i="7"/>
  <c r="F24" i="7"/>
  <c r="F25" i="7"/>
  <c r="G23" i="7"/>
  <c r="G24" i="7"/>
  <c r="G25" i="7"/>
  <c r="H23" i="7"/>
  <c r="H24" i="7"/>
  <c r="H25" i="7"/>
  <c r="I23" i="7"/>
  <c r="M23" i="7"/>
  <c r="I24" i="7"/>
  <c r="M24" i="7"/>
  <c r="O24" i="7"/>
  <c r="P24" i="7"/>
  <c r="B25" i="7"/>
  <c r="I25" i="7"/>
  <c r="B20" i="7"/>
  <c r="J25" i="7"/>
  <c r="K25" i="7"/>
  <c r="M25" i="7"/>
  <c r="O25" i="7"/>
  <c r="H18" i="7"/>
  <c r="H19" i="7"/>
  <c r="H20" i="7"/>
  <c r="I18" i="7"/>
  <c r="M18" i="7"/>
  <c r="I19" i="7"/>
  <c r="M19" i="7"/>
  <c r="O19" i="7"/>
  <c r="P19" i="7"/>
  <c r="I20" i="7"/>
  <c r="B15" i="7"/>
  <c r="J20" i="7"/>
  <c r="K20" i="7"/>
  <c r="M20" i="7"/>
  <c r="O20" i="7"/>
  <c r="H13" i="7"/>
  <c r="H14" i="7"/>
  <c r="H15" i="7"/>
  <c r="I13" i="7"/>
  <c r="M13" i="7"/>
  <c r="I14" i="7"/>
  <c r="M14" i="7"/>
  <c r="O14" i="7"/>
  <c r="P14" i="7"/>
  <c r="I15" i="7"/>
  <c r="B10" i="7"/>
  <c r="J15" i="7"/>
  <c r="K15" i="7"/>
  <c r="M15" i="7"/>
  <c r="O15" i="7"/>
  <c r="H3" i="7"/>
  <c r="H4" i="7"/>
  <c r="H5" i="7"/>
  <c r="I3" i="7"/>
  <c r="M3" i="7"/>
  <c r="I4" i="7"/>
  <c r="M4" i="7"/>
  <c r="N4" i="7"/>
  <c r="O4" i="7"/>
  <c r="P4" i="7"/>
  <c r="B5" i="7"/>
  <c r="I5" i="7"/>
  <c r="M5" i="7"/>
  <c r="N5" i="7"/>
  <c r="O5" i="7"/>
  <c r="H8" i="7"/>
  <c r="H9" i="7"/>
  <c r="H10" i="7"/>
  <c r="I8" i="7"/>
  <c r="M8" i="7"/>
  <c r="I9" i="7"/>
  <c r="M9" i="7"/>
  <c r="O9" i="7"/>
  <c r="P9" i="7"/>
  <c r="I10" i="7"/>
  <c r="J10" i="7"/>
  <c r="K10" i="7"/>
  <c r="M10" i="7"/>
  <c r="O10" i="7"/>
  <c r="H7" i="6"/>
  <c r="H12" i="6"/>
  <c r="H17" i="6"/>
  <c r="I7" i="6"/>
  <c r="I12" i="6"/>
  <c r="I17" i="6"/>
  <c r="G7" i="6"/>
  <c r="G12" i="6"/>
  <c r="G17" i="6"/>
  <c r="C5" i="6"/>
  <c r="D3" i="6"/>
  <c r="D5" i="6"/>
  <c r="E3" i="6"/>
  <c r="E4" i="6"/>
  <c r="E5" i="6"/>
  <c r="F3" i="6"/>
  <c r="F4" i="6"/>
  <c r="F5" i="6"/>
  <c r="G3" i="6"/>
  <c r="G4" i="6"/>
  <c r="G5" i="6"/>
  <c r="B9" i="6"/>
  <c r="B8" i="6"/>
  <c r="F7" i="6"/>
  <c r="E7" i="6"/>
  <c r="D7" i="6"/>
  <c r="C7" i="6"/>
  <c r="C10" i="6"/>
  <c r="D8" i="6"/>
  <c r="D10" i="6"/>
  <c r="E8" i="6"/>
  <c r="E9" i="6"/>
  <c r="E10" i="6"/>
  <c r="F8" i="6"/>
  <c r="F9" i="6"/>
  <c r="F10" i="6"/>
  <c r="G8" i="6"/>
  <c r="G9" i="6"/>
  <c r="G10" i="6"/>
  <c r="B14" i="6"/>
  <c r="B13" i="6"/>
  <c r="F12" i="6"/>
  <c r="E12" i="6"/>
  <c r="D12" i="6"/>
  <c r="C12" i="6"/>
  <c r="C15" i="6"/>
  <c r="D13" i="6"/>
  <c r="D15" i="6"/>
  <c r="E13" i="6"/>
  <c r="E14" i="6"/>
  <c r="E15" i="6"/>
  <c r="F13" i="6"/>
  <c r="F14" i="6"/>
  <c r="F15" i="6"/>
  <c r="G13" i="6"/>
  <c r="G14" i="6"/>
  <c r="G15" i="6"/>
  <c r="B19" i="6"/>
  <c r="B18" i="6"/>
  <c r="F17" i="6"/>
  <c r="E17" i="6"/>
  <c r="D17" i="6"/>
  <c r="C17" i="6"/>
  <c r="C20" i="6"/>
  <c r="D18" i="6"/>
  <c r="D20" i="6"/>
  <c r="E18" i="6"/>
  <c r="E19" i="6"/>
  <c r="E20" i="6"/>
  <c r="F18" i="6"/>
  <c r="F19" i="6"/>
  <c r="F20" i="6"/>
  <c r="G18" i="6"/>
  <c r="G19" i="6"/>
  <c r="G20" i="6"/>
  <c r="B24" i="6"/>
  <c r="B23" i="6"/>
  <c r="M23" i="6"/>
  <c r="M24" i="6" a="1"/>
  <c r="M24" i="6" s="1"/>
  <c r="M25" i="6" a="1"/>
  <c r="M25" i="6" s="1"/>
  <c r="M18" i="6"/>
  <c r="M19" i="6" a="1"/>
  <c r="M19" i="6" s="1"/>
  <c r="M20" i="6" a="1"/>
  <c r="M20" i="6" s="1"/>
  <c r="M13" i="6"/>
  <c r="M14" i="6" a="1"/>
  <c r="M14" i="6" s="1"/>
  <c r="M15" i="6" a="1"/>
  <c r="M15" i="6" s="1"/>
  <c r="M8" i="6"/>
  <c r="M9" i="6" a="1"/>
  <c r="M9" i="6" s="1"/>
  <c r="M10" i="6" a="1"/>
  <c r="M10" i="6" s="1"/>
  <c r="C22" i="6"/>
  <c r="D22" i="6"/>
  <c r="E22" i="6"/>
  <c r="F22" i="6"/>
  <c r="G22" i="6"/>
  <c r="H22" i="6"/>
  <c r="I22" i="6"/>
  <c r="C25" i="6"/>
  <c r="D23" i="6"/>
  <c r="D25" i="6"/>
  <c r="E23" i="6"/>
  <c r="E24" i="6"/>
  <c r="E25" i="6"/>
  <c r="F23" i="6"/>
  <c r="F24" i="6"/>
  <c r="F25" i="6"/>
  <c r="G23" i="6"/>
  <c r="G24" i="6"/>
  <c r="G25" i="6"/>
  <c r="H23" i="6"/>
  <c r="H24" i="6"/>
  <c r="H25" i="6"/>
  <c r="I23" i="6"/>
  <c r="I24" i="6"/>
  <c r="N24" i="6"/>
  <c r="O24" i="6"/>
  <c r="P24" i="6"/>
  <c r="B25" i="6"/>
  <c r="I25" i="6"/>
  <c r="B20" i="6"/>
  <c r="J25" i="6"/>
  <c r="K25" i="6"/>
  <c r="N25" i="6"/>
  <c r="O25" i="6"/>
  <c r="H18" i="6"/>
  <c r="H19" i="6"/>
  <c r="H20" i="6"/>
  <c r="I18" i="6"/>
  <c r="I19" i="6"/>
  <c r="N19" i="6"/>
  <c r="O19" i="6"/>
  <c r="P19" i="6"/>
  <c r="I20" i="6"/>
  <c r="B15" i="6"/>
  <c r="J20" i="6"/>
  <c r="K20" i="6"/>
  <c r="N20" i="6"/>
  <c r="O20" i="6"/>
  <c r="H13" i="6"/>
  <c r="H14" i="6"/>
  <c r="H15" i="6"/>
  <c r="I13" i="6"/>
  <c r="I14" i="6"/>
  <c r="N14" i="6"/>
  <c r="O14" i="6"/>
  <c r="P14" i="6"/>
  <c r="I15" i="6"/>
  <c r="B10" i="6"/>
  <c r="J15" i="6"/>
  <c r="K15" i="6"/>
  <c r="N15" i="6"/>
  <c r="O15" i="6"/>
  <c r="H8" i="6"/>
  <c r="H9" i="6"/>
  <c r="H10" i="6"/>
  <c r="I8" i="6"/>
  <c r="I9" i="6"/>
  <c r="N9" i="6"/>
  <c r="O9" i="6"/>
  <c r="P9" i="6"/>
  <c r="I10" i="6"/>
  <c r="B5" i="6"/>
  <c r="J10" i="6"/>
  <c r="K10" i="6"/>
  <c r="N10" i="6"/>
  <c r="O10" i="6"/>
  <c r="H3" i="6"/>
  <c r="H4" i="6"/>
  <c r="H5" i="6"/>
  <c r="I3" i="6"/>
  <c r="M3" i="6"/>
  <c r="I4" i="6"/>
  <c r="M4" i="6"/>
  <c r="N4" i="6"/>
  <c r="O4" i="6"/>
  <c r="P4" i="6"/>
  <c r="I5" i="6"/>
  <c r="M5" i="6"/>
  <c r="N5" i="6"/>
  <c r="O5" i="6"/>
  <c r="B10" i="5"/>
  <c r="B5" i="5"/>
  <c r="C5" i="5"/>
  <c r="D3" i="5"/>
  <c r="D5" i="5"/>
  <c r="E3" i="5"/>
  <c r="E4" i="5"/>
  <c r="E5" i="5"/>
  <c r="F3" i="5"/>
  <c r="F4" i="5"/>
  <c r="F5" i="5"/>
  <c r="G3" i="5"/>
  <c r="G4" i="5"/>
  <c r="G5" i="5"/>
  <c r="I4" i="5"/>
  <c r="B9" i="5"/>
  <c r="B8" i="5"/>
  <c r="C7" i="5"/>
  <c r="C10" i="5"/>
  <c r="D8" i="5"/>
  <c r="D7" i="5"/>
  <c r="D10" i="5"/>
  <c r="E8" i="5"/>
  <c r="E9" i="5"/>
  <c r="E7" i="5"/>
  <c r="E10" i="5"/>
  <c r="F8" i="5"/>
  <c r="F9" i="5"/>
  <c r="F7" i="5"/>
  <c r="F10" i="5"/>
  <c r="G8" i="5"/>
  <c r="G9" i="5"/>
  <c r="G7" i="5"/>
  <c r="G10" i="5"/>
  <c r="I7" i="5"/>
  <c r="B14" i="5"/>
  <c r="H7" i="5"/>
  <c r="B13" i="5"/>
  <c r="C12" i="5"/>
  <c r="C15" i="5"/>
  <c r="D13" i="5"/>
  <c r="D12" i="5"/>
  <c r="D15" i="5"/>
  <c r="E13" i="5"/>
  <c r="E14" i="5"/>
  <c r="E12" i="5"/>
  <c r="E15" i="5"/>
  <c r="F13" i="5"/>
  <c r="F14" i="5"/>
  <c r="F12" i="5"/>
  <c r="F15" i="5"/>
  <c r="G13" i="5"/>
  <c r="G14" i="5"/>
  <c r="G12" i="5"/>
  <c r="G15" i="5"/>
  <c r="I12" i="5"/>
  <c r="B19" i="5"/>
  <c r="H12" i="5"/>
  <c r="B18" i="5"/>
  <c r="C17" i="5"/>
  <c r="C20" i="5"/>
  <c r="D18" i="5"/>
  <c r="D17" i="5"/>
  <c r="D20" i="5"/>
  <c r="E18" i="5"/>
  <c r="E19" i="5"/>
  <c r="E17" i="5"/>
  <c r="E20" i="5"/>
  <c r="F18" i="5"/>
  <c r="F19" i="5"/>
  <c r="F17" i="5"/>
  <c r="F20" i="5"/>
  <c r="G18" i="5"/>
  <c r="G19" i="5"/>
  <c r="G17" i="5"/>
  <c r="G20" i="5"/>
  <c r="I17" i="5"/>
  <c r="B24" i="5"/>
  <c r="H17" i="5"/>
  <c r="B23" i="5"/>
  <c r="M23" i="5"/>
  <c r="M25" i="5"/>
  <c r="M24" i="5"/>
  <c r="M18" i="5"/>
  <c r="M20" i="5"/>
  <c r="M19" i="5"/>
  <c r="M13" i="5"/>
  <c r="M15" i="5"/>
  <c r="M14" i="5"/>
  <c r="M8" i="5"/>
  <c r="M10" i="5"/>
  <c r="M9" i="5"/>
  <c r="M3" i="5"/>
  <c r="M4" i="5"/>
  <c r="B20" i="5"/>
  <c r="I22" i="5"/>
  <c r="H22" i="5"/>
  <c r="G22" i="5"/>
  <c r="F22" i="5"/>
  <c r="E22" i="5"/>
  <c r="D22" i="5"/>
  <c r="C22" i="5"/>
  <c r="C25" i="5"/>
  <c r="O19" i="5"/>
  <c r="O20" i="5"/>
  <c r="B15" i="5"/>
  <c r="J20" i="5"/>
  <c r="K20" i="5"/>
  <c r="H18" i="5"/>
  <c r="H19" i="5"/>
  <c r="H20" i="5"/>
  <c r="I18" i="5"/>
  <c r="I19" i="5"/>
  <c r="I20" i="5"/>
  <c r="P19" i="5"/>
  <c r="O14" i="5"/>
  <c r="O15" i="5"/>
  <c r="J15" i="5"/>
  <c r="K15" i="5"/>
  <c r="H13" i="5"/>
  <c r="H14" i="5"/>
  <c r="H15" i="5"/>
  <c r="I13" i="5"/>
  <c r="I14" i="5"/>
  <c r="I15" i="5"/>
  <c r="P14" i="5"/>
  <c r="O9" i="5"/>
  <c r="O10" i="5"/>
  <c r="J10" i="5"/>
  <c r="K10" i="5"/>
  <c r="H8" i="5"/>
  <c r="H9" i="5"/>
  <c r="H10" i="5"/>
  <c r="I8" i="5"/>
  <c r="I9" i="5"/>
  <c r="I10" i="5"/>
  <c r="P9" i="5"/>
  <c r="O4" i="5"/>
  <c r="O5" i="5"/>
  <c r="N5" i="5"/>
  <c r="M5" i="5"/>
  <c r="H3" i="5"/>
  <c r="H4" i="5"/>
  <c r="H5" i="5"/>
  <c r="I3" i="5"/>
  <c r="I5" i="5"/>
  <c r="P4" i="5"/>
  <c r="N4" i="5"/>
  <c r="C7" i="4"/>
  <c r="C10" i="4"/>
  <c r="H7" i="4"/>
  <c r="H12" i="4"/>
  <c r="H17" i="4"/>
  <c r="I7" i="4"/>
  <c r="I12" i="4"/>
  <c r="I17" i="4"/>
  <c r="G7" i="4"/>
  <c r="G12" i="4"/>
  <c r="G17" i="4"/>
  <c r="C5" i="4"/>
  <c r="D3" i="4"/>
  <c r="D5" i="4"/>
  <c r="F4" i="4" s="1"/>
  <c r="E3" i="4"/>
  <c r="E4" i="4"/>
  <c r="E5" i="4"/>
  <c r="F7" i="4"/>
  <c r="E7" i="4"/>
  <c r="D7" i="4"/>
  <c r="F12" i="4"/>
  <c r="E12" i="4"/>
  <c r="D12" i="4"/>
  <c r="C12" i="4"/>
  <c r="C15" i="4"/>
  <c r="F17" i="4"/>
  <c r="E17" i="4"/>
  <c r="D17" i="4"/>
  <c r="C17" i="4"/>
  <c r="C20" i="4"/>
  <c r="I22" i="4"/>
  <c r="H22" i="4"/>
  <c r="G22" i="4"/>
  <c r="F22" i="4"/>
  <c r="E22" i="4"/>
  <c r="D22" i="4"/>
  <c r="C22" i="4"/>
  <c r="C25" i="4"/>
  <c r="B5" i="4"/>
  <c r="M3" i="4"/>
  <c r="O4" i="4"/>
  <c r="O5" i="4"/>
  <c r="N5" i="4"/>
  <c r="M4" i="4"/>
  <c r="M5" i="4"/>
  <c r="P4" i="4"/>
  <c r="N4" i="4"/>
  <c r="C5" i="2"/>
  <c r="D3" i="2"/>
  <c r="D5" i="2"/>
  <c r="E3" i="2"/>
  <c r="E4" i="2"/>
  <c r="E5" i="2"/>
  <c r="F3" i="2"/>
  <c r="F4" i="2"/>
  <c r="F5" i="2"/>
  <c r="G3" i="2"/>
  <c r="G4" i="2"/>
  <c r="G5" i="2"/>
  <c r="B9" i="2"/>
  <c r="B8" i="2"/>
  <c r="M8" i="2"/>
  <c r="B10" i="2"/>
  <c r="B5" i="2"/>
  <c r="J10" i="2"/>
  <c r="K10" i="2"/>
  <c r="H7" i="2"/>
  <c r="H12" i="2"/>
  <c r="H17" i="2"/>
  <c r="I7" i="2"/>
  <c r="I12" i="2"/>
  <c r="I17" i="2"/>
  <c r="G7" i="2"/>
  <c r="G12" i="2"/>
  <c r="G17" i="2"/>
  <c r="F7" i="2"/>
  <c r="E7" i="2"/>
  <c r="D7" i="2"/>
  <c r="C7" i="2"/>
  <c r="C10" i="2"/>
  <c r="D8" i="2"/>
  <c r="D10" i="2"/>
  <c r="E8" i="2"/>
  <c r="E9" i="2"/>
  <c r="E10" i="2"/>
  <c r="F8" i="2"/>
  <c r="F9" i="2"/>
  <c r="F10" i="2"/>
  <c r="G8" i="2"/>
  <c r="G9" i="2"/>
  <c r="G10" i="2"/>
  <c r="B14" i="2"/>
  <c r="B13" i="2"/>
  <c r="F12" i="2"/>
  <c r="E12" i="2"/>
  <c r="D12" i="2"/>
  <c r="C12" i="2"/>
  <c r="C15" i="2"/>
  <c r="D13" i="2"/>
  <c r="D15" i="2"/>
  <c r="E13" i="2"/>
  <c r="E14" i="2"/>
  <c r="E15" i="2"/>
  <c r="F13" i="2"/>
  <c r="F14" i="2"/>
  <c r="F15" i="2"/>
  <c r="G13" i="2"/>
  <c r="G14" i="2"/>
  <c r="G15" i="2"/>
  <c r="B19" i="2"/>
  <c r="B18" i="2"/>
  <c r="F17" i="2"/>
  <c r="E17" i="2"/>
  <c r="D17" i="2"/>
  <c r="C17" i="2"/>
  <c r="C20" i="2"/>
  <c r="D18" i="2"/>
  <c r="D20" i="2"/>
  <c r="E18" i="2"/>
  <c r="E19" i="2"/>
  <c r="E20" i="2"/>
  <c r="F18" i="2"/>
  <c r="F19" i="2"/>
  <c r="F20" i="2"/>
  <c r="G18" i="2"/>
  <c r="G19" i="2"/>
  <c r="G20" i="2"/>
  <c r="B24" i="2"/>
  <c r="B23" i="2"/>
  <c r="M23" i="2"/>
  <c r="M24" i="2" a="1"/>
  <c r="M24" i="2" s="1"/>
  <c r="M25" i="2" s="1" a="1"/>
  <c r="M25" i="2" s="1"/>
  <c r="M18" i="2"/>
  <c r="M19" i="2" a="1"/>
  <c r="M19" i="2"/>
  <c r="M20" i="2" a="1"/>
  <c r="M20" i="2" s="1"/>
  <c r="M13" i="2"/>
  <c r="M14" i="2" a="1"/>
  <c r="M14" i="2"/>
  <c r="M15" i="2" s="1" a="1"/>
  <c r="M15" i="2" s="1"/>
  <c r="M9" i="2" a="1"/>
  <c r="M9" i="2"/>
  <c r="M10" i="2" s="1" a="1"/>
  <c r="M10" i="2" s="1"/>
  <c r="C22" i="2"/>
  <c r="D22" i="2"/>
  <c r="E22" i="2"/>
  <c r="F22" i="2"/>
  <c r="G22" i="2"/>
  <c r="H22" i="2"/>
  <c r="I22" i="2"/>
  <c r="C25" i="2"/>
  <c r="D23" i="2"/>
  <c r="D25" i="2"/>
  <c r="E23" i="2"/>
  <c r="E24" i="2"/>
  <c r="E25" i="2"/>
  <c r="F23" i="2"/>
  <c r="F24" i="2"/>
  <c r="F25" i="2"/>
  <c r="G23" i="2"/>
  <c r="G24" i="2"/>
  <c r="G25" i="2"/>
  <c r="H23" i="2"/>
  <c r="H24" i="2"/>
  <c r="H25" i="2"/>
  <c r="I23" i="2"/>
  <c r="I24" i="2"/>
  <c r="N24" i="2"/>
  <c r="O24" i="2"/>
  <c r="P24" i="2"/>
  <c r="B25" i="2"/>
  <c r="I25" i="2"/>
  <c r="B20" i="2"/>
  <c r="J25" i="2"/>
  <c r="K25" i="2"/>
  <c r="N25" i="2"/>
  <c r="O25" i="2"/>
  <c r="H18" i="2"/>
  <c r="H19" i="2"/>
  <c r="H20" i="2"/>
  <c r="I18" i="2"/>
  <c r="I19" i="2"/>
  <c r="N19" i="2"/>
  <c r="O19" i="2"/>
  <c r="P19" i="2"/>
  <c r="I20" i="2"/>
  <c r="B15" i="2"/>
  <c r="J20" i="2"/>
  <c r="K20" i="2"/>
  <c r="N20" i="2"/>
  <c r="O20" i="2"/>
  <c r="H13" i="2"/>
  <c r="H14" i="2"/>
  <c r="H15" i="2"/>
  <c r="I13" i="2"/>
  <c r="I14" i="2"/>
  <c r="N14" i="2"/>
  <c r="O14" i="2"/>
  <c r="P14" i="2"/>
  <c r="I15" i="2"/>
  <c r="J15" i="2"/>
  <c r="K15" i="2"/>
  <c r="N15" i="2"/>
  <c r="O15" i="2"/>
  <c r="H8" i="2"/>
  <c r="H9" i="2"/>
  <c r="H10" i="2"/>
  <c r="I8" i="2"/>
  <c r="I9" i="2"/>
  <c r="N9" i="2"/>
  <c r="O9" i="2"/>
  <c r="P9" i="2"/>
  <c r="I10" i="2"/>
  <c r="N10" i="2"/>
  <c r="O10" i="2"/>
  <c r="H3" i="2"/>
  <c r="H4" i="2"/>
  <c r="H5" i="2"/>
  <c r="I3" i="2"/>
  <c r="M3" i="2"/>
  <c r="I4" i="2"/>
  <c r="M4" i="2"/>
  <c r="N4" i="2"/>
  <c r="O4" i="2"/>
  <c r="P4" i="2"/>
  <c r="I5" i="2"/>
  <c r="M5" i="2"/>
  <c r="N5" i="2"/>
  <c r="O5" i="2"/>
  <c r="M3" i="1"/>
  <c r="M5" i="1"/>
  <c r="M4" i="1"/>
  <c r="N4" i="1"/>
  <c r="O4" i="1"/>
  <c r="P4" i="1"/>
  <c r="N5" i="1"/>
  <c r="O5" i="1"/>
  <c r="H7" i="1"/>
  <c r="H12" i="1"/>
  <c r="H17" i="1"/>
  <c r="I7" i="1"/>
  <c r="I12" i="1"/>
  <c r="I17" i="1"/>
  <c r="G7" i="1"/>
  <c r="G12" i="1"/>
  <c r="G17" i="1"/>
  <c r="C5" i="1"/>
  <c r="D3" i="1"/>
  <c r="D5" i="1"/>
  <c r="E3" i="1"/>
  <c r="E4" i="1"/>
  <c r="E5" i="1"/>
  <c r="F3" i="1"/>
  <c r="F4" i="1"/>
  <c r="F5" i="1"/>
  <c r="G3" i="1"/>
  <c r="G4" i="1"/>
  <c r="G5" i="1"/>
  <c r="B9" i="1"/>
  <c r="B8" i="1"/>
  <c r="F7" i="1"/>
  <c r="E7" i="1"/>
  <c r="D7" i="1"/>
  <c r="C7" i="1"/>
  <c r="C10" i="1"/>
  <c r="D8" i="1"/>
  <c r="D10" i="1"/>
  <c r="E8" i="1"/>
  <c r="E9" i="1"/>
  <c r="E10" i="1"/>
  <c r="F8" i="1"/>
  <c r="F9" i="1"/>
  <c r="F10" i="1"/>
  <c r="G8" i="1"/>
  <c r="G9" i="1"/>
  <c r="G10" i="1"/>
  <c r="B14" i="1"/>
  <c r="B13" i="1"/>
  <c r="F12" i="1"/>
  <c r="E12" i="1"/>
  <c r="D12" i="1"/>
  <c r="C12" i="1"/>
  <c r="C15" i="1"/>
  <c r="D13" i="1"/>
  <c r="D15" i="1"/>
  <c r="E13" i="1"/>
  <c r="E14" i="1"/>
  <c r="E15" i="1"/>
  <c r="F13" i="1"/>
  <c r="F14" i="1"/>
  <c r="F15" i="1"/>
  <c r="G13" i="1"/>
  <c r="G14" i="1"/>
  <c r="G15" i="1"/>
  <c r="B19" i="1"/>
  <c r="B18" i="1"/>
  <c r="F17" i="1"/>
  <c r="E17" i="1"/>
  <c r="D17" i="1"/>
  <c r="C17" i="1"/>
  <c r="C20" i="1"/>
  <c r="D18" i="1"/>
  <c r="D20" i="1"/>
  <c r="E18" i="1"/>
  <c r="E19" i="1"/>
  <c r="E20" i="1"/>
  <c r="F18" i="1"/>
  <c r="F19" i="1"/>
  <c r="F20" i="1"/>
  <c r="G18" i="1"/>
  <c r="G19" i="1"/>
  <c r="G20" i="1"/>
  <c r="B24" i="1"/>
  <c r="B23" i="1"/>
  <c r="M23" i="1"/>
  <c r="M24" i="1" a="1"/>
  <c r="M24" i="1"/>
  <c r="M25" i="1" s="1" a="1"/>
  <c r="M25" i="1" s="1"/>
  <c r="N24" i="1"/>
  <c r="O24" i="1"/>
  <c r="P24" i="1"/>
  <c r="N25" i="1"/>
  <c r="O25" i="1"/>
  <c r="M18" i="1"/>
  <c r="M19" i="1" a="1"/>
  <c r="M19" i="1" s="1"/>
  <c r="M20" i="1" s="1" a="1"/>
  <c r="M20" i="1" s="1"/>
  <c r="N19" i="1"/>
  <c r="O19" i="1"/>
  <c r="P19" i="1"/>
  <c r="N20" i="1"/>
  <c r="O20" i="1"/>
  <c r="M13" i="1"/>
  <c r="M14" i="1" a="1"/>
  <c r="M14" i="1"/>
  <c r="M15" i="1" s="1" a="1"/>
  <c r="M15" i="1" s="1"/>
  <c r="N14" i="1"/>
  <c r="O14" i="1"/>
  <c r="P14" i="1"/>
  <c r="N15" i="1"/>
  <c r="O15" i="1"/>
  <c r="M8" i="1"/>
  <c r="O9" i="1"/>
  <c r="P9" i="1"/>
  <c r="O10" i="1"/>
  <c r="N10" i="1"/>
  <c r="N9" i="1"/>
  <c r="M9" i="1" a="1"/>
  <c r="M9" i="1"/>
  <c r="M10" i="1" a="1"/>
  <c r="M10" i="1" s="1"/>
  <c r="B25" i="1"/>
  <c r="B20" i="1"/>
  <c r="J25" i="1"/>
  <c r="K25" i="1"/>
  <c r="B15" i="1"/>
  <c r="J20" i="1"/>
  <c r="K20" i="1"/>
  <c r="B10" i="1"/>
  <c r="J15" i="1"/>
  <c r="K15" i="1"/>
  <c r="B5" i="1"/>
  <c r="J10" i="1"/>
  <c r="K10" i="1"/>
  <c r="C22" i="1"/>
  <c r="C25" i="1"/>
  <c r="I22" i="1"/>
  <c r="H22" i="1"/>
  <c r="G22" i="1"/>
  <c r="F22" i="1"/>
  <c r="E22" i="1"/>
  <c r="D22" i="1"/>
  <c r="H4" i="1"/>
  <c r="I4" i="1"/>
  <c r="H3" i="1"/>
  <c r="H5" i="1"/>
  <c r="I3" i="1"/>
  <c r="I5" i="1"/>
  <c r="H9" i="1"/>
  <c r="I9" i="1"/>
  <c r="H8" i="1"/>
  <c r="H10" i="1"/>
  <c r="I8" i="1"/>
  <c r="I10" i="1"/>
  <c r="H14" i="1"/>
  <c r="I14" i="1"/>
  <c r="H13" i="1"/>
  <c r="H15" i="1"/>
  <c r="I13" i="1"/>
  <c r="I15" i="1"/>
  <c r="H19" i="1"/>
  <c r="I19" i="1"/>
  <c r="H18" i="1"/>
  <c r="H20" i="1"/>
  <c r="I18" i="1"/>
  <c r="I20" i="1"/>
  <c r="E24" i="1"/>
  <c r="D23" i="1"/>
  <c r="D25" i="1"/>
  <c r="F24" i="1"/>
  <c r="E23" i="1"/>
  <c r="E25" i="1"/>
  <c r="G24" i="1"/>
  <c r="F23" i="1"/>
  <c r="F25" i="1"/>
  <c r="H24" i="1"/>
  <c r="G23" i="1"/>
  <c r="G25" i="1"/>
  <c r="I24" i="1"/>
  <c r="H23" i="1"/>
  <c r="H25" i="1"/>
  <c r="I23" i="1"/>
  <c r="I25" i="1"/>
  <c r="O24" i="5"/>
  <c r="O25" i="5"/>
  <c r="B25" i="5"/>
  <c r="J25" i="5"/>
  <c r="K25" i="5"/>
  <c r="D23" i="5"/>
  <c r="D25" i="5"/>
  <c r="E24" i="5"/>
  <c r="E23" i="5"/>
  <c r="E25" i="5"/>
  <c r="F24" i="5"/>
  <c r="F23" i="5"/>
  <c r="F25" i="5"/>
  <c r="G24" i="5"/>
  <c r="G23" i="5"/>
  <c r="G25" i="5"/>
  <c r="H24" i="5"/>
  <c r="H23" i="5"/>
  <c r="H25" i="5"/>
  <c r="I24" i="5"/>
  <c r="I23" i="5"/>
  <c r="I25" i="5"/>
  <c r="P24" i="5"/>
  <c r="D3" i="8" l="1"/>
  <c r="D5" i="8" s="1"/>
  <c r="E3" i="8" s="1"/>
  <c r="E5" i="8" s="1"/>
  <c r="B5" i="8"/>
  <c r="M4" i="8"/>
  <c r="M5" i="8" s="1"/>
  <c r="N4" i="8"/>
  <c r="D17" i="8"/>
  <c r="F17" i="8"/>
  <c r="C12" i="8"/>
  <c r="E17" i="8"/>
  <c r="O4" i="8"/>
  <c r="O5" i="8" s="1"/>
  <c r="P4" i="8"/>
  <c r="G12" i="8"/>
  <c r="N5" i="8"/>
  <c r="I12" i="8"/>
  <c r="H12" i="8"/>
  <c r="F3" i="4"/>
  <c r="F5" i="4" s="1"/>
  <c r="G4" i="4"/>
  <c r="G3" i="4"/>
  <c r="G5" i="4" s="1"/>
  <c r="H4" i="4"/>
  <c r="F4" i="8" l="1"/>
  <c r="D22" i="8"/>
  <c r="E22" i="8"/>
  <c r="F3" i="8"/>
  <c r="F5" i="8" s="1"/>
  <c r="G4" i="8"/>
  <c r="H17" i="8"/>
  <c r="C15" i="8"/>
  <c r="C17" i="8"/>
  <c r="F22" i="8"/>
  <c r="I17" i="8"/>
  <c r="G17" i="8"/>
  <c r="H3" i="4"/>
  <c r="H5" i="4" s="1"/>
  <c r="I3" i="4" s="1"/>
  <c r="I4" i="4"/>
  <c r="B9" i="4"/>
  <c r="C20" i="8" l="1"/>
  <c r="C22" i="8"/>
  <c r="C25" i="8" s="1"/>
  <c r="G22" i="8"/>
  <c r="H22" i="8"/>
  <c r="I22" i="8"/>
  <c r="H4" i="8"/>
  <c r="G3" i="8"/>
  <c r="G5" i="8" s="1"/>
  <c r="B8" i="4"/>
  <c r="E9" i="4"/>
  <c r="I5" i="4"/>
  <c r="B9" i="8" l="1"/>
  <c r="H3" i="8"/>
  <c r="H5" i="8" s="1"/>
  <c r="I3" i="8" s="1"/>
  <c r="I4" i="8"/>
  <c r="D8" i="4"/>
  <c r="D10" i="4" s="1"/>
  <c r="F9" i="4" s="1"/>
  <c r="E8" i="4"/>
  <c r="E10" i="4" s="1"/>
  <c r="G9" i="4" s="1"/>
  <c r="F8" i="4"/>
  <c r="F10" i="4" s="1"/>
  <c r="H9" i="4" s="1"/>
  <c r="G8" i="4"/>
  <c r="G10" i="4" s="1"/>
  <c r="B10" i="4"/>
  <c r="J10" i="4" s="1"/>
  <c r="K10" i="4" s="1"/>
  <c r="M8" i="4"/>
  <c r="H8" i="4"/>
  <c r="H10" i="4" s="1"/>
  <c r="I8" i="4"/>
  <c r="B8" i="8" l="1"/>
  <c r="E9" i="8"/>
  <c r="I5" i="8"/>
  <c r="O9" i="4"/>
  <c r="O10" i="4"/>
  <c r="N10" i="4"/>
  <c r="M9" i="4" a="1"/>
  <c r="M9" i="4" s="1"/>
  <c r="M10" i="4" a="1"/>
  <c r="M10" i="4" s="1"/>
  <c r="P9" i="4"/>
  <c r="N9" i="4"/>
  <c r="B14" i="4"/>
  <c r="I9" i="4"/>
  <c r="I10" i="4" s="1"/>
  <c r="M8" i="8" l="1"/>
  <c r="B10" i="8"/>
  <c r="J10" i="8" s="1"/>
  <c r="K10" i="8" s="1"/>
  <c r="D8" i="8"/>
  <c r="D10" i="8" s="1"/>
  <c r="F9" i="8" s="1"/>
  <c r="B13" i="4"/>
  <c r="E14" i="4"/>
  <c r="E8" i="8" l="1"/>
  <c r="E10" i="8" s="1"/>
  <c r="G9" i="8" s="1"/>
  <c r="N9" i="8"/>
  <c r="M9" i="8" a="1"/>
  <c r="M9" i="8" s="1"/>
  <c r="M10" i="8" s="1" a="1"/>
  <c r="M10" i="8" s="1"/>
  <c r="P9" i="8"/>
  <c r="N10" i="8"/>
  <c r="O9" i="8"/>
  <c r="O10" i="8" s="1"/>
  <c r="D13" i="4"/>
  <c r="D15" i="4" s="1"/>
  <c r="F14" i="4" s="1"/>
  <c r="E13" i="4"/>
  <c r="E15" i="4" s="1"/>
  <c r="G14" i="4" s="1"/>
  <c r="F13" i="4"/>
  <c r="F15" i="4" s="1"/>
  <c r="H14" i="4" s="1"/>
  <c r="G13" i="4"/>
  <c r="G15" i="4" s="1"/>
  <c r="B15" i="4"/>
  <c r="J15" i="4" s="1"/>
  <c r="K15" i="4" s="1"/>
  <c r="M13" i="4"/>
  <c r="H13" i="4"/>
  <c r="H15" i="4" s="1"/>
  <c r="I13" i="4"/>
  <c r="F8" i="8" l="1"/>
  <c r="F10" i="8" s="1"/>
  <c r="H9" i="8" s="1"/>
  <c r="O14" i="4"/>
  <c r="O15" i="4"/>
  <c r="N15" i="4"/>
  <c r="M14" i="4" a="1"/>
  <c r="M14" i="4" s="1"/>
  <c r="M15" i="4" a="1"/>
  <c r="M15" i="4" s="1"/>
  <c r="P14" i="4"/>
  <c r="N14" i="4"/>
  <c r="B19" i="4"/>
  <c r="I14" i="4"/>
  <c r="I15" i="4" s="1"/>
  <c r="G8" i="8" l="1"/>
  <c r="G10" i="8" s="1"/>
  <c r="B14" i="8" s="1"/>
  <c r="B18" i="4"/>
  <c r="E19" i="4"/>
  <c r="I9" i="8" l="1"/>
  <c r="H8" i="8"/>
  <c r="H10" i="8" s="1"/>
  <c r="I8" i="8" s="1"/>
  <c r="E14" i="8"/>
  <c r="B13" i="8"/>
  <c r="D18" i="4"/>
  <c r="D20" i="4" s="1"/>
  <c r="F19" i="4" s="1"/>
  <c r="E18" i="4"/>
  <c r="E20" i="4" s="1"/>
  <c r="G19" i="4" s="1"/>
  <c r="F18" i="4"/>
  <c r="F20" i="4" s="1"/>
  <c r="H19" i="4" s="1"/>
  <c r="G18" i="4"/>
  <c r="G20" i="4" s="1"/>
  <c r="B20" i="4"/>
  <c r="J20" i="4" s="1"/>
  <c r="K20" i="4" s="1"/>
  <c r="M18" i="4"/>
  <c r="H18" i="4"/>
  <c r="H20" i="4" s="1"/>
  <c r="I18" i="4"/>
  <c r="I10" i="8" l="1"/>
  <c r="M13" i="8"/>
  <c r="B15" i="8"/>
  <c r="J15" i="8" s="1"/>
  <c r="K15" i="8" s="1"/>
  <c r="D13" i="8"/>
  <c r="D15" i="8" s="1"/>
  <c r="F14" i="8" s="1"/>
  <c r="O19" i="4"/>
  <c r="O20" i="4"/>
  <c r="N20" i="4"/>
  <c r="M19" i="4" a="1"/>
  <c r="M19" i="4" s="1"/>
  <c r="M20" i="4" a="1"/>
  <c r="M20" i="4" s="1"/>
  <c r="P19" i="4"/>
  <c r="N19" i="4"/>
  <c r="B24" i="4"/>
  <c r="I19" i="4"/>
  <c r="I20" i="4" s="1"/>
  <c r="E13" i="8" l="1"/>
  <c r="E15" i="8" s="1"/>
  <c r="N14" i="8"/>
  <c r="M14" i="8" a="1"/>
  <c r="M14" i="8" s="1"/>
  <c r="P14" i="8"/>
  <c r="N15" i="8"/>
  <c r="M15" i="8" a="1"/>
  <c r="M15" i="8" s="1"/>
  <c r="O14" i="8"/>
  <c r="O15" i="8" s="1"/>
  <c r="B23" i="4"/>
  <c r="E24" i="4"/>
  <c r="G14" i="8" l="1"/>
  <c r="F13" i="8"/>
  <c r="F15" i="8" s="1"/>
  <c r="M23" i="4"/>
  <c r="B25" i="4"/>
  <c r="J25" i="4" s="1"/>
  <c r="K25" i="4" s="1"/>
  <c r="D23" i="4"/>
  <c r="D25" i="4" s="1"/>
  <c r="F24" i="4" s="1"/>
  <c r="E23" i="4"/>
  <c r="E25" i="4" s="1"/>
  <c r="G24" i="4" s="1"/>
  <c r="F23" i="4"/>
  <c r="F25" i="4" s="1"/>
  <c r="H24" i="4" s="1"/>
  <c r="G23" i="4"/>
  <c r="G25" i="4" s="1"/>
  <c r="I24" i="4" s="1"/>
  <c r="H23" i="4"/>
  <c r="H25" i="4" s="1"/>
  <c r="I23" i="4"/>
  <c r="I25" i="4" s="1"/>
  <c r="H14" i="8" l="1"/>
  <c r="G13" i="8"/>
  <c r="G15" i="8" s="1"/>
  <c r="O24" i="4"/>
  <c r="O25" i="4"/>
  <c r="N25" i="4"/>
  <c r="M24" i="4" a="1"/>
  <c r="M24" i="4" s="1"/>
  <c r="M25" i="4" a="1"/>
  <c r="M25" i="4" s="1"/>
  <c r="P24" i="4"/>
  <c r="N24" i="4"/>
  <c r="B19" i="8" l="1"/>
  <c r="I14" i="8"/>
  <c r="H13" i="8"/>
  <c r="H15" i="8" s="1"/>
  <c r="I13" i="8" s="1"/>
  <c r="I15" i="8" l="1"/>
  <c r="E19" i="8"/>
  <c r="B18" i="8"/>
  <c r="M18" i="8" l="1"/>
  <c r="B20" i="8"/>
  <c r="J20" i="8" s="1"/>
  <c r="K20" i="8" s="1"/>
  <c r="D18" i="8"/>
  <c r="D20" i="8" s="1"/>
  <c r="F19" i="8" s="1"/>
  <c r="N19" i="8" l="1"/>
  <c r="M19" i="8" a="1"/>
  <c r="M19" i="8" s="1"/>
  <c r="M20" i="8" s="1" a="1"/>
  <c r="M20" i="8" s="1"/>
  <c r="N20" i="8"/>
  <c r="P19" i="8"/>
  <c r="O19" i="8"/>
  <c r="O20" i="8" s="1"/>
  <c r="E18" i="8"/>
  <c r="E20" i="8" s="1"/>
  <c r="G19" i="8" l="1"/>
  <c r="F18" i="8"/>
  <c r="F20" i="8" s="1"/>
  <c r="H19" i="8" l="1"/>
  <c r="G18" i="8"/>
  <c r="G20" i="8" s="1"/>
  <c r="B24" i="8" l="1"/>
  <c r="I19" i="8"/>
  <c r="H18" i="8"/>
  <c r="H20" i="8" s="1"/>
  <c r="I18" i="8" s="1"/>
  <c r="I20" i="8" l="1"/>
  <c r="E24" i="8"/>
  <c r="B23" i="8"/>
  <c r="M23" i="8" l="1"/>
  <c r="B25" i="8"/>
  <c r="J25" i="8" s="1"/>
  <c r="K25" i="8" s="1"/>
  <c r="D23" i="8"/>
  <c r="D25" i="8" s="1"/>
  <c r="F24" i="8" s="1"/>
  <c r="N24" i="8" l="1"/>
  <c r="M24" i="8" a="1"/>
  <c r="M24" i="8" s="1"/>
  <c r="M25" i="8" s="1" a="1"/>
  <c r="M25" i="8" s="1"/>
  <c r="P24" i="8"/>
  <c r="N25" i="8"/>
  <c r="O24" i="8"/>
  <c r="O25" i="8" s="1"/>
  <c r="E23" i="8"/>
  <c r="E25" i="8" s="1"/>
  <c r="G24" i="8" l="1"/>
  <c r="F23" i="8"/>
  <c r="F25" i="8" s="1"/>
  <c r="H24" i="8" l="1"/>
  <c r="G23" i="8"/>
  <c r="G25" i="8" s="1"/>
  <c r="I24" i="8" l="1"/>
  <c r="H23" i="8"/>
  <c r="H25" i="8" s="1"/>
  <c r="I23" i="8" s="1"/>
  <c r="I25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<sst xmlns="http://schemas.openxmlformats.org/spreadsheetml/2006/main" count="376" uniqueCount="31">
  <si>
    <t>LIN</t>
  </si>
  <si>
    <t>a6</t>
  </si>
  <si>
    <t>a5</t>
  </si>
  <si>
    <t>a4</t>
  </si>
  <si>
    <t>a3</t>
  </si>
  <si>
    <t>a2</t>
  </si>
  <si>
    <t>a1</t>
  </si>
  <si>
    <t>a0</t>
  </si>
  <si>
    <t>ea</t>
  </si>
  <si>
    <t>er%</t>
  </si>
  <si>
    <t>fc0</t>
  </si>
  <si>
    <t>p</t>
  </si>
  <si>
    <t>p^2+4q=</t>
  </si>
  <si>
    <t>q</t>
  </si>
  <si>
    <t>x1=</t>
  </si>
  <si>
    <t>norma</t>
  </si>
  <si>
    <t>x2=</t>
  </si>
  <si>
    <t>fc1</t>
  </si>
  <si>
    <t>RADICANDO</t>
  </si>
  <si>
    <t>p*</t>
  </si>
  <si>
    <t>q*</t>
  </si>
  <si>
    <t>i</t>
  </si>
  <si>
    <t>fc2</t>
  </si>
  <si>
    <t>fc3</t>
  </si>
  <si>
    <t>fc4</t>
  </si>
  <si>
    <t>es un convergencia falsa con 1,1</t>
  </si>
  <si>
    <t>Cuando tenemos una convergencia falsa, vemos que va alternando la convergencia de 1 si y 1 no</t>
  </si>
  <si>
    <t>También sabemos que tenemos una convergencia falsa cuando converge una vez, muchas no, y despues converge otra vez</t>
  </si>
  <si>
    <t>AUTOAJUSTAR EL CONTENIDO EN WORD (AL PEGAR LA TABLA)</t>
  </si>
  <si>
    <t>+</t>
  </si>
  <si>
    <t xml:space="preserve">COMO NO CONVERGE, TOMAS LOS COEFICIENTES DEL POLINOMIO ORIGINAL Y SE LOS PONES EN NEWTON RAPHSON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</si>
</sst>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5" x14ac:knownFonts="1">
    <font>
      <sz val="11"/>
      <color theme="1"/>
      <name val="Aptos Narrow"/>
      <family val="2"/>
      <scheme val="minor"/>
    </font>
    <font>
      <b/>
      <sz val="12"/>
      <color rgb="FFFF0000"/>
      <name val="Rockwell Nova Light"/>
      <family val="1"/>
    </font>
    <font>
      <sz val="12"/>
      <color theme="1"/>
      <name val="Rockwell Nova Light"/>
      <family val="1"/>
    </font>
    <font>
      <b/>
      <sz val="12"/>
      <color theme="0"/>
      <name val="Rockwell Nova Light"/>
      <family val="1"/>
    </font>
    <font>
      <sz val="12"/>
      <name val="Rockwell Nova Light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15" fontId="0" fillId="0" borderId="0" xfId="0" applyNumberForma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66" fontId="4" fillId="5" borderId="3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14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/>
    </xf>
    <xf numFmtId="165" fontId="3" fillId="3" borderId="13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4" borderId="6" xfId="0" applyNumberFormat="1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4" borderId="10" xfId="0" applyNumberFormat="1" applyFont="1" applyFill="1" applyBorder="1" applyAlignment="1">
      <alignment horizontal="center" vertical="center"/>
    </xf>
    <xf numFmtId="165" fontId="3" fillId="3" borderId="15" xfId="0" applyNumberFormat="1" applyFont="1" applyFill="1" applyBorder="1" applyAlignment="1">
      <alignment horizontal="center" vertical="center"/>
    </xf>
    <xf numFmtId="165" fontId="3" fillId="3" borderId="11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3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0"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7490-8F7F-4C99-BE24-DA0CF43F72BC}">
  <dimension ref="A1:Q26"/>
  <sheetViews>
    <sheetView workbookViewId="0">
      <selection activeCell="O20" sqref="O20"/>
    </sheetView>
  </sheetViews>
  <sheetFormatPr baseColWidth="10" defaultColWidth="11.44140625" defaultRowHeight="14.4" x14ac:dyDescent="0.3"/>
  <cols>
    <col min="1" max="1" width="7.5546875" bestFit="1" customWidth="1"/>
    <col min="2" max="2" width="9" bestFit="1" customWidth="1"/>
    <col min="3" max="5" width="8.33203125" bestFit="1" customWidth="1"/>
    <col min="6" max="9" width="9" bestFit="1" customWidth="1"/>
    <col min="10" max="11" width="7.6640625" bestFit="1" customWidth="1"/>
    <col min="12" max="12" width="10.88671875" bestFit="1" customWidth="1"/>
    <col min="13" max="13" width="14.6640625" bestFit="1" customWidth="1"/>
    <col min="14" max="14" width="2.109375" customWidth="1"/>
    <col min="15" max="15" width="7.6640625" bestFit="1" customWidth="1"/>
    <col min="16" max="16" width="2.109375" customWidth="1"/>
  </cols>
  <sheetData>
    <row r="1" spans="1:16" ht="15.6" x14ac:dyDescent="0.3">
      <c r="A1" s="11" t="s">
        <v>0</v>
      </c>
      <c r="B1" s="3"/>
      <c r="C1" s="25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9" t="s">
        <v>8</v>
      </c>
      <c r="K1" s="15" t="s">
        <v>9</v>
      </c>
      <c r="L1" s="35"/>
      <c r="M1" s="35"/>
      <c r="N1" s="35"/>
      <c r="O1" s="35"/>
      <c r="P1" s="35"/>
    </row>
    <row r="2" spans="1:16" ht="15.6" x14ac:dyDescent="0.3">
      <c r="A2" s="3"/>
      <c r="B2" s="41" t="s">
        <v>10</v>
      </c>
      <c r="C2" s="22">
        <v>0</v>
      </c>
      <c r="D2" s="22">
        <v>0</v>
      </c>
      <c r="E2" s="21">
        <v>1</v>
      </c>
      <c r="F2" s="21">
        <v>-1</v>
      </c>
      <c r="G2" s="21">
        <v>6</v>
      </c>
      <c r="H2" s="21">
        <v>-3</v>
      </c>
      <c r="I2" s="21">
        <v>4</v>
      </c>
      <c r="J2" s="20">
        <v>0.01</v>
      </c>
      <c r="K2" s="16">
        <v>0.1</v>
      </c>
      <c r="L2" s="2"/>
      <c r="M2" s="2"/>
      <c r="N2" s="35"/>
      <c r="O2" s="35"/>
      <c r="P2" s="35"/>
    </row>
    <row r="3" spans="1:16" ht="15.6" x14ac:dyDescent="0.3">
      <c r="A3" s="18" t="s">
        <v>11</v>
      </c>
      <c r="B3" s="42">
        <v>0</v>
      </c>
      <c r="C3" s="3"/>
      <c r="D3" s="17">
        <f>$B3*C5</f>
        <v>0</v>
      </c>
      <c r="E3" s="17">
        <f t="shared" ref="E3:I3" si="0">$B3*D5</f>
        <v>0</v>
      </c>
      <c r="F3" s="17">
        <f t="shared" si="0"/>
        <v>0</v>
      </c>
      <c r="G3" s="17">
        <f t="shared" si="0"/>
        <v>0</v>
      </c>
      <c r="H3" s="17">
        <f t="shared" si="0"/>
        <v>0</v>
      </c>
      <c r="I3" s="17">
        <f t="shared" si="0"/>
        <v>0</v>
      </c>
      <c r="J3" s="3"/>
      <c r="K3" s="3"/>
      <c r="L3" s="30" t="s">
        <v>12</v>
      </c>
      <c r="M3" s="31">
        <f>B3^2+4*B4</f>
        <v>0</v>
      </c>
      <c r="N3" s="35"/>
      <c r="O3" s="35"/>
      <c r="P3" s="35"/>
    </row>
    <row r="4" spans="1:16" ht="16.2" thickBot="1" x14ac:dyDescent="0.35">
      <c r="A4" s="18" t="s">
        <v>13</v>
      </c>
      <c r="B4" s="26">
        <v>0</v>
      </c>
      <c r="C4" s="13"/>
      <c r="D4" s="4"/>
      <c r="E4" s="44">
        <f>$B4*C5</f>
        <v>0</v>
      </c>
      <c r="F4" s="44">
        <f t="shared" ref="F4:I4" si="1">$B4*D5</f>
        <v>0</v>
      </c>
      <c r="G4" s="44">
        <f t="shared" si="1"/>
        <v>0</v>
      </c>
      <c r="H4" s="44">
        <f t="shared" si="1"/>
        <v>0</v>
      </c>
      <c r="I4" s="44">
        <f t="shared" si="1"/>
        <v>0</v>
      </c>
      <c r="J4" s="3"/>
      <c r="K4" s="3"/>
      <c r="L4" s="30" t="s">
        <v>14</v>
      </c>
      <c r="M4" s="17">
        <f>IF(M3&lt;0,B3/2,(B3+SQRT(M3))/2)</f>
        <v>0</v>
      </c>
      <c r="N4" s="2" t="str">
        <f>IF(M3&lt;0,"+","")</f>
        <v/>
      </c>
      <c r="O4" s="3" t="str">
        <f>IF(M3&lt;0,SQRT(ABS(M3))/2,"")</f>
        <v/>
      </c>
      <c r="P4" s="2" t="str">
        <f>IF(M3&lt;0,"i","")</f>
        <v/>
      </c>
    </row>
    <row r="5" spans="1:16" ht="15.6" x14ac:dyDescent="0.3">
      <c r="A5" s="17" t="s">
        <v>15</v>
      </c>
      <c r="B5" s="51">
        <f>SQRT(SUMSQ(B3:B4))</f>
        <v>0</v>
      </c>
      <c r="C5" s="37">
        <f>SUM(C2:C4)</f>
        <v>0</v>
      </c>
      <c r="D5" s="37">
        <f t="shared" ref="D5:I5" si="2">SUM(D2:D4)</f>
        <v>0</v>
      </c>
      <c r="E5" s="37">
        <f t="shared" si="2"/>
        <v>1</v>
      </c>
      <c r="F5" s="37">
        <f t="shared" si="2"/>
        <v>-1</v>
      </c>
      <c r="G5" s="37">
        <f t="shared" si="2"/>
        <v>6</v>
      </c>
      <c r="H5" s="43">
        <f t="shared" si="2"/>
        <v>-3</v>
      </c>
      <c r="I5" s="43">
        <f t="shared" si="2"/>
        <v>4</v>
      </c>
      <c r="J5" s="3"/>
      <c r="K5" s="3"/>
      <c r="L5" s="30" t="s">
        <v>16</v>
      </c>
      <c r="M5" s="17">
        <f>IF(M3&lt;0,M4,(B3-SQRT(M3))/2)</f>
        <v>0</v>
      </c>
      <c r="N5" s="33" t="str">
        <f>IF(M3&lt;0,"+","")</f>
        <v/>
      </c>
      <c r="O5" s="3" t="str">
        <f>IF(M3&lt;0,-O4,"")</f>
        <v/>
      </c>
      <c r="P5" s="33"/>
    </row>
    <row r="6" spans="1:16" ht="15.6" x14ac:dyDescent="0.3">
      <c r="A6" s="3"/>
      <c r="B6" s="3"/>
      <c r="C6" s="6"/>
      <c r="D6" s="6"/>
      <c r="E6" s="6"/>
      <c r="F6" s="6"/>
      <c r="G6" s="6"/>
      <c r="H6" s="6"/>
      <c r="I6" s="6"/>
      <c r="J6" s="3"/>
      <c r="K6" s="3"/>
      <c r="L6" s="35"/>
      <c r="M6" s="35"/>
      <c r="N6" s="35"/>
      <c r="O6" s="35"/>
      <c r="P6" s="35"/>
    </row>
    <row r="7" spans="1:16" ht="15.6" x14ac:dyDescent="0.3">
      <c r="A7" s="3"/>
      <c r="B7" s="41" t="s">
        <v>17</v>
      </c>
      <c r="C7" s="45">
        <f>C2</f>
        <v>0</v>
      </c>
      <c r="D7" s="21">
        <f t="shared" ref="D7:I7" si="3">D2</f>
        <v>0</v>
      </c>
      <c r="E7" s="21">
        <f t="shared" si="3"/>
        <v>1</v>
      </c>
      <c r="F7" s="21">
        <f t="shared" si="3"/>
        <v>-1</v>
      </c>
      <c r="G7" s="21">
        <f t="shared" si="3"/>
        <v>6</v>
      </c>
      <c r="H7" s="21">
        <f t="shared" si="3"/>
        <v>-3</v>
      </c>
      <c r="I7" s="21">
        <f t="shared" si="3"/>
        <v>4</v>
      </c>
      <c r="J7" s="3"/>
      <c r="K7" s="3"/>
      <c r="L7" s="2"/>
      <c r="M7" s="30" t="s">
        <v>18</v>
      </c>
      <c r="N7" s="35"/>
      <c r="O7" s="35"/>
      <c r="P7" s="35"/>
    </row>
    <row r="8" spans="1:16" ht="15.6" x14ac:dyDescent="0.3">
      <c r="A8" s="18" t="s">
        <v>19</v>
      </c>
      <c r="B8" s="48">
        <f>-(H2+B9*F5)/G5</f>
        <v>0.3888888888888889</v>
      </c>
      <c r="C8" s="3"/>
      <c r="D8" s="17">
        <f>$B8*C10</f>
        <v>0</v>
      </c>
      <c r="E8" s="27">
        <f t="shared" ref="E8:I8" si="4">$B8*D10</f>
        <v>0</v>
      </c>
      <c r="F8" s="27">
        <f t="shared" si="4"/>
        <v>0.3888888888888889</v>
      </c>
      <c r="G8" s="27">
        <f t="shared" si="4"/>
        <v>-0.23765432098765435</v>
      </c>
      <c r="H8" s="27">
        <f t="shared" si="4"/>
        <v>1.9816529492455417</v>
      </c>
      <c r="I8" s="27">
        <f t="shared" si="4"/>
        <v>-0.23758763907940866</v>
      </c>
      <c r="J8" s="3"/>
      <c r="K8" s="3"/>
      <c r="L8" s="30" t="s">
        <v>12</v>
      </c>
      <c r="M8" s="52">
        <f>B8^2+4*B9</f>
        <v>-2.5154320987654319</v>
      </c>
      <c r="N8" s="35"/>
      <c r="O8" s="35"/>
      <c r="P8" s="35"/>
    </row>
    <row r="9" spans="1:16" ht="16.2" thickBot="1" x14ac:dyDescent="0.35">
      <c r="A9" s="18" t="s">
        <v>20</v>
      </c>
      <c r="B9" s="47">
        <f>-I2/G5</f>
        <v>-0.66666666666666663</v>
      </c>
      <c r="C9" s="13"/>
      <c r="D9" s="4"/>
      <c r="E9" s="44">
        <f>$B9*C10</f>
        <v>0</v>
      </c>
      <c r="F9" s="44">
        <f t="shared" ref="F9" si="5">$B9*D10</f>
        <v>0</v>
      </c>
      <c r="G9" s="44">
        <f t="shared" ref="G9" si="6">$B9*E10</f>
        <v>-0.66666666666666663</v>
      </c>
      <c r="H9" s="27">
        <f t="shared" ref="H9" si="7">$B9*F10</f>
        <v>0.40740740740740744</v>
      </c>
      <c r="I9" s="44">
        <f t="shared" ref="I9" si="8">$B9*G10</f>
        <v>-3.3971193415637857</v>
      </c>
      <c r="J9" s="3"/>
      <c r="K9" s="3"/>
      <c r="L9" s="30" t="s">
        <v>14</v>
      </c>
      <c r="M9" s="18" cm="1">
        <f t="array" ref="M9">IF(M8&lt;0,B8/2,(B8+RAIZ(M8))/2)</f>
        <v>0.19444444444444445</v>
      </c>
      <c r="N9" s="30" t="str">
        <f>IF(M8&lt;0,"+","")</f>
        <v>+</v>
      </c>
      <c r="O9" s="17">
        <f>IF(M8&lt;0,SQRT(ABS(M8))/2,"")</f>
        <v>0.7930056902011221</v>
      </c>
      <c r="P9" s="30" t="str">
        <f>IF(M8&lt;0,"i","")</f>
        <v>i</v>
      </c>
    </row>
    <row r="10" spans="1:16" ht="15.6" x14ac:dyDescent="0.3">
      <c r="A10" s="17" t="s">
        <v>15</v>
      </c>
      <c r="B10" s="40">
        <f>SQRT(SUMSQ(B8:B9))</f>
        <v>0.77180244385832242</v>
      </c>
      <c r="C10" s="37">
        <f>SUM(C7:C9)</f>
        <v>0</v>
      </c>
      <c r="D10" s="37">
        <f t="shared" ref="D10" si="9">SUM(D7:D9)</f>
        <v>0</v>
      </c>
      <c r="E10" s="37">
        <f t="shared" ref="E10" si="10">SUM(E7:E9)</f>
        <v>1</v>
      </c>
      <c r="F10" s="37">
        <f t="shared" ref="F10" si="11">SUM(F7:F9)</f>
        <v>-0.61111111111111116</v>
      </c>
      <c r="G10" s="37">
        <f t="shared" ref="G10" si="12">SUM(G7:G9)</f>
        <v>5.0956790123456788</v>
      </c>
      <c r="H10" s="43">
        <f t="shared" ref="H10" si="13">SUM(H7:H9)</f>
        <v>-0.61093964334705086</v>
      </c>
      <c r="I10" s="43">
        <f t="shared" ref="I10" si="14">SUM(I7:I9)</f>
        <v>0.3652930193568058</v>
      </c>
      <c r="J10" s="17">
        <f>ABS(B10-B5)</f>
        <v>0.77180244385832242</v>
      </c>
      <c r="K10" s="18">
        <f>ABS(J10/B10)*100</f>
        <v>100</v>
      </c>
      <c r="L10" s="30" t="s">
        <v>16</v>
      </c>
      <c r="M10" s="18" cm="1">
        <f t="array" ref="M10">IF(M8&lt;0,M9,(B8-RAIZ(M8))/2)</f>
        <v>0.19444444444444445</v>
      </c>
      <c r="N10" s="34" t="str">
        <f>IF(M8&lt;0,"+","")</f>
        <v>+</v>
      </c>
      <c r="O10" s="17">
        <f>IF(M8&lt;0,-O9,"")</f>
        <v>-0.7930056902011221</v>
      </c>
      <c r="P10" s="34" t="s">
        <v>21</v>
      </c>
    </row>
    <row r="11" spans="1:16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5"/>
      <c r="M11" s="35"/>
      <c r="N11" s="35"/>
      <c r="O11" s="35"/>
      <c r="P11" s="35"/>
    </row>
    <row r="12" spans="1:16" ht="15.6" x14ac:dyDescent="0.3">
      <c r="A12" s="3"/>
      <c r="B12" s="41" t="s">
        <v>22</v>
      </c>
      <c r="C12" s="22">
        <f t="shared" ref="C12:I12" si="15">C7</f>
        <v>0</v>
      </c>
      <c r="D12" s="28">
        <f t="shared" si="15"/>
        <v>0</v>
      </c>
      <c r="E12" s="28">
        <f t="shared" si="15"/>
        <v>1</v>
      </c>
      <c r="F12" s="28">
        <f t="shared" si="15"/>
        <v>-1</v>
      </c>
      <c r="G12" s="28">
        <f t="shared" si="15"/>
        <v>6</v>
      </c>
      <c r="H12" s="28">
        <f t="shared" si="15"/>
        <v>-3</v>
      </c>
      <c r="I12" s="28">
        <f t="shared" si="15"/>
        <v>4</v>
      </c>
      <c r="J12" s="3"/>
      <c r="K12" s="3"/>
      <c r="L12" s="35"/>
      <c r="M12" s="35"/>
      <c r="N12" s="35"/>
      <c r="O12" s="35"/>
      <c r="P12" s="35"/>
    </row>
    <row r="13" spans="1:16" ht="15.6" x14ac:dyDescent="0.3">
      <c r="A13" s="18" t="s">
        <v>11</v>
      </c>
      <c r="B13" s="48">
        <f>-(H7+B14*F10)/G10</f>
        <v>0.4945936992465701</v>
      </c>
      <c r="C13" s="3"/>
      <c r="D13" s="17">
        <f t="shared" ref="D13:I13" si="16">$B13*C15</f>
        <v>0</v>
      </c>
      <c r="E13" s="27">
        <f t="shared" si="16"/>
        <v>0</v>
      </c>
      <c r="F13" s="27">
        <f t="shared" si="16"/>
        <v>0.4945936992465701</v>
      </c>
      <c r="G13" s="27">
        <f t="shared" si="16"/>
        <v>-0.24997077191216349</v>
      </c>
      <c r="H13" s="27">
        <f t="shared" si="16"/>
        <v>2.455682657814243</v>
      </c>
      <c r="I13" s="27">
        <f t="shared" si="16"/>
        <v>-7.2994171083344064E-2</v>
      </c>
      <c r="J13" s="3"/>
      <c r="K13" s="3"/>
      <c r="L13" s="30" t="s">
        <v>12</v>
      </c>
      <c r="M13" s="31">
        <f>B13^2+4*B14</f>
        <v>-2.8952922755729222</v>
      </c>
      <c r="N13" s="35"/>
      <c r="O13" s="35"/>
      <c r="P13" s="35"/>
    </row>
    <row r="14" spans="1:16" ht="16.2" thickBot="1" x14ac:dyDescent="0.35">
      <c r="A14" s="18" t="s">
        <v>13</v>
      </c>
      <c r="B14" s="47">
        <f>-I7/G10</f>
        <v>-0.78497880072683224</v>
      </c>
      <c r="C14" s="13"/>
      <c r="D14" s="4"/>
      <c r="E14" s="44">
        <f t="shared" ref="E14" si="17">$B14*C15</f>
        <v>0</v>
      </c>
      <c r="F14" s="44">
        <f t="shared" ref="F14" si="18">$B14*D15</f>
        <v>0</v>
      </c>
      <c r="G14" s="44">
        <f t="shared" ref="G14" si="19">$B14*E15</f>
        <v>-0.78497880072683224</v>
      </c>
      <c r="H14" s="44">
        <f t="shared" ref="H14" si="20">$B14*F15</f>
        <v>0.39673323184521214</v>
      </c>
      <c r="I14" s="44">
        <f t="shared" ref="I14" si="21">$B14*G15</f>
        <v>-3.8974593300180871</v>
      </c>
      <c r="J14" s="3"/>
      <c r="K14" s="3"/>
      <c r="L14" s="30" t="s">
        <v>14</v>
      </c>
      <c r="M14" s="18" cm="1">
        <f t="array" ref="M14">IF(M13&lt;0,B13/2,(B13+RAIZ(M13))/2)</f>
        <v>0.24729684962328505</v>
      </c>
      <c r="N14" s="30" t="str">
        <f>IF(M13&lt;0,"+","")</f>
        <v>+</v>
      </c>
      <c r="O14" s="17">
        <f>IF(M13&lt;0,SQRT(ABS(M13))/2,"")</f>
        <v>0.8507779198434986</v>
      </c>
      <c r="P14" s="30" t="str">
        <f>IF(M13&lt;0,"i","")</f>
        <v>i</v>
      </c>
    </row>
    <row r="15" spans="1:16" ht="15.6" x14ac:dyDescent="0.3">
      <c r="A15" s="17" t="s">
        <v>15</v>
      </c>
      <c r="B15" s="40">
        <f t="shared" ref="B15" si="22">SQRT(SUMSQ(B13:B14))</f>
        <v>0.92780097269023298</v>
      </c>
      <c r="C15" s="37">
        <f t="shared" ref="C15" si="23">SUM(C12:C14)</f>
        <v>0</v>
      </c>
      <c r="D15" s="37">
        <f t="shared" ref="D15" si="24">SUM(D12:D14)</f>
        <v>0</v>
      </c>
      <c r="E15" s="29">
        <f t="shared" ref="E15" si="25">SUM(E12:E14)</f>
        <v>1</v>
      </c>
      <c r="F15" s="37">
        <f t="shared" ref="F15" si="26">SUM(F12:F14)</f>
        <v>-0.50540630075342996</v>
      </c>
      <c r="G15" s="37">
        <f t="shared" ref="G15" si="27">SUM(G12:G14)</f>
        <v>4.9650504273610041</v>
      </c>
      <c r="H15" s="43">
        <f t="shared" ref="H15" si="28">SUM(H12:H14)</f>
        <v>-0.14758411034054486</v>
      </c>
      <c r="I15" s="49">
        <f t="shared" ref="I15" si="29">SUM(I12:I14)</f>
        <v>2.9546498898568974E-2</v>
      </c>
      <c r="J15" s="17">
        <f>ABS(B15-B10)</f>
        <v>0.15599852883191057</v>
      </c>
      <c r="K15" s="18">
        <f>ABS(J15/B15)*100</f>
        <v>16.813792335179429</v>
      </c>
      <c r="L15" s="30" t="s">
        <v>16</v>
      </c>
      <c r="M15" s="18" cm="1">
        <f t="array" ref="M15">IF(M13&lt;0,M14,(B13-RAIZ(M13))/2)</f>
        <v>0.24729684962328505</v>
      </c>
      <c r="N15" s="34" t="str">
        <f>IF(M13&lt;0,"+","")</f>
        <v>+</v>
      </c>
      <c r="O15" s="17">
        <f>IF(M13&lt;0,-O14,"")</f>
        <v>-0.8507779198434986</v>
      </c>
      <c r="P15" s="34" t="s">
        <v>21</v>
      </c>
    </row>
    <row r="16" spans="1:16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5"/>
      <c r="M16" s="35"/>
      <c r="N16" s="35"/>
      <c r="O16" s="35"/>
      <c r="P16" s="35"/>
    </row>
    <row r="17" spans="1:17" ht="15.6" x14ac:dyDescent="0.3">
      <c r="A17" s="3"/>
      <c r="B17" s="41" t="s">
        <v>23</v>
      </c>
      <c r="C17" s="22">
        <f t="shared" ref="C17:I17" si="30">C12</f>
        <v>0</v>
      </c>
      <c r="D17" s="28">
        <f t="shared" si="30"/>
        <v>0</v>
      </c>
      <c r="E17" s="28">
        <f t="shared" si="30"/>
        <v>1</v>
      </c>
      <c r="F17" s="28">
        <f t="shared" si="30"/>
        <v>-1</v>
      </c>
      <c r="G17" s="28">
        <f t="shared" si="30"/>
        <v>6</v>
      </c>
      <c r="H17" s="28">
        <f t="shared" si="30"/>
        <v>-3</v>
      </c>
      <c r="I17" s="28">
        <f t="shared" si="30"/>
        <v>4</v>
      </c>
      <c r="J17" s="3"/>
      <c r="K17" s="3"/>
      <c r="L17" s="35"/>
      <c r="M17" s="35"/>
      <c r="N17" s="35"/>
      <c r="O17" s="35"/>
      <c r="P17" s="35"/>
    </row>
    <row r="18" spans="1:17" ht="15.6" x14ac:dyDescent="0.3">
      <c r="A18" s="18" t="s">
        <v>19</v>
      </c>
      <c r="B18" s="46">
        <f>-(H12+B19*F15)/G15</f>
        <v>0.52221601893465941</v>
      </c>
      <c r="C18" s="3"/>
      <c r="D18" s="17">
        <f t="shared" ref="D18:I18" si="31">$B18*C20</f>
        <v>0</v>
      </c>
      <c r="E18" s="27">
        <f t="shared" si="31"/>
        <v>0</v>
      </c>
      <c r="F18" s="27">
        <f t="shared" si="31"/>
        <v>0.52221601893465941</v>
      </c>
      <c r="G18" s="27">
        <f t="shared" si="31"/>
        <v>-0.24950644850269485</v>
      </c>
      <c r="H18" s="27">
        <f t="shared" si="31"/>
        <v>2.5822862823504575</v>
      </c>
      <c r="I18" s="27">
        <f t="shared" si="31"/>
        <v>-1.7126591745418931E-2</v>
      </c>
      <c r="J18" s="3"/>
      <c r="K18" s="3"/>
      <c r="L18" s="30" t="s">
        <v>12</v>
      </c>
      <c r="M18" s="31">
        <f>B18^2+4*B19</f>
        <v>-2.9498156051087459</v>
      </c>
      <c r="N18" s="35"/>
      <c r="O18" s="35"/>
      <c r="P18" s="35"/>
    </row>
    <row r="19" spans="1:17" ht="16.2" thickBot="1" x14ac:dyDescent="0.35">
      <c r="A19" s="18" t="s">
        <v>20</v>
      </c>
      <c r="B19" s="47">
        <f>-I12/G15</f>
        <v>-0.80563129388517762</v>
      </c>
      <c r="C19" s="13"/>
      <c r="D19" s="4"/>
      <c r="E19" s="44">
        <f t="shared" ref="E19" si="32">$B19*C20</f>
        <v>0</v>
      </c>
      <c r="F19" s="44">
        <f t="shared" ref="F19" si="33">$B19*D20</f>
        <v>0</v>
      </c>
      <c r="G19" s="44">
        <f t="shared" ref="G19" si="34">$B19*E20</f>
        <v>-0.80563129388517762</v>
      </c>
      <c r="H19" s="44">
        <f t="shared" ref="H19" si="35">$B19*F20</f>
        <v>0.38491772686328157</v>
      </c>
      <c r="I19" s="44">
        <f t="shared" ref="I19" si="36">$B19*G20</f>
        <v>-3.9837357786840388</v>
      </c>
      <c r="J19" s="3"/>
      <c r="K19" s="3"/>
      <c r="L19" s="30" t="s">
        <v>14</v>
      </c>
      <c r="M19" s="18" cm="1">
        <f t="array" ref="M19">IF(M18&lt;0,B18/2,(B18+RAIZ(M18))/2)</f>
        <v>0.2611080094673297</v>
      </c>
      <c r="N19" s="30" t="str">
        <f>IF(M18&lt;0,"+","")</f>
        <v>+</v>
      </c>
      <c r="O19" s="17">
        <f>IF(M18&lt;0,SQRT(ABS(M18))/2,"")</f>
        <v>0.85875136173236222</v>
      </c>
      <c r="P19" s="30" t="str">
        <f>IF(M18&lt;0,"i","")</f>
        <v>i</v>
      </c>
    </row>
    <row r="20" spans="1:17" ht="15.6" x14ac:dyDescent="0.3">
      <c r="A20" s="17" t="s">
        <v>15</v>
      </c>
      <c r="B20" s="51">
        <f t="shared" ref="B20" si="37">SQRT(SUMSQ(B18:B19))</f>
        <v>0.96007882599246508</v>
      </c>
      <c r="C20" s="37">
        <f t="shared" ref="C20" si="38">SUM(C17:C19)</f>
        <v>0</v>
      </c>
      <c r="D20" s="37">
        <f t="shared" ref="D20" si="39">SUM(D17:D19)</f>
        <v>0</v>
      </c>
      <c r="E20" s="29">
        <f t="shared" ref="E20" si="40">SUM(E17:E19)</f>
        <v>1</v>
      </c>
      <c r="F20" s="37">
        <f t="shared" ref="F20" si="41">SUM(F17:F19)</f>
        <v>-0.47778398106534059</v>
      </c>
      <c r="G20" s="37">
        <f t="shared" ref="G20" si="42">SUM(G17:G19)</f>
        <v>4.9448622576121277</v>
      </c>
      <c r="H20" s="43">
        <f t="shared" ref="H20" si="43">SUM(H17:H19)</f>
        <v>-3.2795990786260887E-2</v>
      </c>
      <c r="I20" s="49">
        <f t="shared" ref="I20" si="44">SUM(I17:I19)</f>
        <v>-8.6237042945791487E-4</v>
      </c>
      <c r="J20" s="17">
        <f>ABS(B20-B15)</f>
        <v>3.2277853302232096E-2</v>
      </c>
      <c r="K20" s="18">
        <f>ABS(J20/B20)*100</f>
        <v>3.3620003304275996</v>
      </c>
      <c r="L20" s="30" t="s">
        <v>16</v>
      </c>
      <c r="M20" s="18" cm="1">
        <f t="array" ref="M20">IF(M18&lt;0,M19,(B18-RAIZ(M18))/2)</f>
        <v>0.2611080094673297</v>
      </c>
      <c r="N20" s="34" t="str">
        <f>IF(M18&lt;0,"+","")</f>
        <v>+</v>
      </c>
      <c r="O20" s="17">
        <f>IF(M18&lt;0,-O19,"")</f>
        <v>-0.85875136173236222</v>
      </c>
      <c r="P20" s="34" t="s">
        <v>21</v>
      </c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5"/>
      <c r="M21" s="35"/>
      <c r="N21" s="35"/>
      <c r="O21" s="35"/>
      <c r="P21" s="35"/>
      <c r="Q21" s="1"/>
    </row>
    <row r="22" spans="1:17" ht="15.6" x14ac:dyDescent="0.3">
      <c r="A22" s="3"/>
      <c r="B22" s="41" t="s">
        <v>24</v>
      </c>
      <c r="C22" s="22">
        <f t="shared" ref="C22:I22" si="45">C17</f>
        <v>0</v>
      </c>
      <c r="D22" s="28">
        <f t="shared" si="45"/>
        <v>0</v>
      </c>
      <c r="E22" s="28">
        <f t="shared" si="45"/>
        <v>1</v>
      </c>
      <c r="F22" s="28">
        <f t="shared" si="45"/>
        <v>-1</v>
      </c>
      <c r="G22" s="28">
        <f t="shared" si="45"/>
        <v>6</v>
      </c>
      <c r="H22" s="28">
        <f t="shared" si="45"/>
        <v>-3</v>
      </c>
      <c r="I22" s="28">
        <f t="shared" si="45"/>
        <v>4</v>
      </c>
      <c r="J22" s="3"/>
      <c r="K22" s="3"/>
      <c r="L22" s="35"/>
      <c r="M22" s="35"/>
      <c r="N22" s="35"/>
      <c r="O22" s="35"/>
      <c r="P22" s="35"/>
    </row>
    <row r="23" spans="1:17" ht="15.6" x14ac:dyDescent="0.3">
      <c r="A23" s="18" t="s">
        <v>19</v>
      </c>
      <c r="B23" s="46">
        <f t="shared" ref="B23" si="46">-(H17+B24*F20)/G20</f>
        <v>0.528530553624174</v>
      </c>
      <c r="C23" s="3"/>
      <c r="D23" s="17">
        <f t="shared" ref="D23:I23" si="47">$B23*C25</f>
        <v>0</v>
      </c>
      <c r="E23" s="27">
        <f t="shared" si="47"/>
        <v>0</v>
      </c>
      <c r="F23" s="27">
        <f t="shared" si="47"/>
        <v>0.528530553624174</v>
      </c>
      <c r="G23" s="27">
        <f t="shared" si="47"/>
        <v>-0.24918600750989814</v>
      </c>
      <c r="H23" s="27">
        <f t="shared" si="47"/>
        <v>2.6119417516205514</v>
      </c>
      <c r="I23" s="27">
        <f t="shared" si="47"/>
        <v>-3.5289937361979739E-3</v>
      </c>
      <c r="J23" s="3"/>
      <c r="K23" s="3"/>
      <c r="L23" s="30" t="s">
        <v>12</v>
      </c>
      <c r="M23" s="31">
        <f>B23^2+4*B24</f>
        <v>-2.9563370899858152</v>
      </c>
      <c r="N23" s="35"/>
      <c r="O23" s="35"/>
      <c r="P23" s="35"/>
    </row>
    <row r="24" spans="1:17" ht="16.2" thickBot="1" x14ac:dyDescent="0.35">
      <c r="A24" s="18" t="s">
        <v>20</v>
      </c>
      <c r="B24" s="47">
        <f t="shared" ref="B24" si="48">-I17/G20</f>
        <v>-0.80892040902502282</v>
      </c>
      <c r="C24" s="13"/>
      <c r="D24" s="4"/>
      <c r="E24" s="44">
        <f t="shared" ref="E24" si="49">$B24*C25</f>
        <v>0</v>
      </c>
      <c r="F24" s="44">
        <f t="shared" ref="F24" si="50">$B24*D25</f>
        <v>0</v>
      </c>
      <c r="G24" s="44">
        <f t="shared" ref="G24" si="51">$B24*E25</f>
        <v>-0.80892040902502282</v>
      </c>
      <c r="H24" s="44">
        <f t="shared" ref="H24" si="52">$B24*F25</f>
        <v>0.38138125740513423</v>
      </c>
      <c r="I24" s="44">
        <f t="shared" ref="I24" si="53">$B24*G25</f>
        <v>-3.9975985788947077</v>
      </c>
      <c r="J24" s="3"/>
      <c r="K24" s="3"/>
      <c r="L24" s="30" t="s">
        <v>14</v>
      </c>
      <c r="M24" s="18" cm="1">
        <f t="array" ref="M24">IF(M23&lt;0,B23/2,(B23+RAIZ(M23))/2)</f>
        <v>0.264265276812087</v>
      </c>
      <c r="N24" s="30" t="str">
        <f>IF(M23&lt;0,"+","")</f>
        <v>+</v>
      </c>
      <c r="O24" s="17">
        <f>IF(M23&lt;0,SQRT(ABS(M23))/2,"")</f>
        <v>0.85970010613960834</v>
      </c>
      <c r="P24" s="30" t="str">
        <f>IF(M23&lt;0,"i","")</f>
        <v>i</v>
      </c>
    </row>
    <row r="25" spans="1:17" ht="15.6" x14ac:dyDescent="0.3">
      <c r="A25" s="18" t="s">
        <v>15</v>
      </c>
      <c r="B25" s="40">
        <f>SQRT(SUMSQ(B23:B24))</f>
        <v>0.9662798633167754</v>
      </c>
      <c r="C25" s="37">
        <f t="shared" ref="C25" si="54">SUM(C22:C24)</f>
        <v>0</v>
      </c>
      <c r="D25" s="37">
        <f t="shared" ref="D25" si="55">SUM(D22:D24)</f>
        <v>0</v>
      </c>
      <c r="E25" s="37">
        <f t="shared" ref="E25" si="56">SUM(E22:E24)</f>
        <v>1</v>
      </c>
      <c r="F25" s="37">
        <f t="shared" ref="F25" si="57">SUM(F22:F24)</f>
        <v>-0.471469446375826</v>
      </c>
      <c r="G25" s="37">
        <f t="shared" ref="G25" si="58">SUM(G22:G24)</f>
        <v>4.9418935834650792</v>
      </c>
      <c r="H25" s="43">
        <f t="shared" ref="H25" si="59">SUM(H22:H24)</f>
        <v>-6.6769909743143452E-3</v>
      </c>
      <c r="I25" s="43">
        <f t="shared" ref="I25" si="60">SUM(I22:I24)</f>
        <v>-1.1275726309056822E-3</v>
      </c>
      <c r="J25" s="17">
        <f>ABS(B25-B20)</f>
        <v>6.2010373243103212E-3</v>
      </c>
      <c r="K25" s="18">
        <f>ABS(J25/B25)*100</f>
        <v>0.6417434078596167</v>
      </c>
      <c r="L25" s="30" t="s">
        <v>16</v>
      </c>
      <c r="M25" s="18" cm="1">
        <f t="array" ref="M25">IF(M23&lt;0,M24,(B23-RAIZ(M23))/2)</f>
        <v>0.264265276812087</v>
      </c>
      <c r="N25" s="34" t="str">
        <f>IF(M23&lt;0,"+","")</f>
        <v>+</v>
      </c>
      <c r="O25" s="17">
        <f>IF(M23&lt;0,-O24,"")</f>
        <v>-0.85970010613960834</v>
      </c>
      <c r="P25" s="34" t="s">
        <v>21</v>
      </c>
    </row>
    <row r="26" spans="1:17" x14ac:dyDescent="0.3">
      <c r="J26" s="10"/>
      <c r="K26" s="10"/>
    </row>
  </sheetData>
  <conditionalFormatting sqref="B10">
    <cfRule type="expression" dxfId="59" priority="7">
      <formula xml:space="preserve"> K10 &lt; $K$2</formula>
    </cfRule>
    <cfRule type="expression" dxfId="58" priority="8">
      <formula>J10 &lt; $J$2</formula>
    </cfRule>
  </conditionalFormatting>
  <conditionalFormatting sqref="B15">
    <cfRule type="expression" dxfId="57" priority="5">
      <formula>K15&lt;$K$2</formula>
    </cfRule>
    <cfRule type="expression" dxfId="56" priority="6">
      <formula>J15&lt;$J$2</formula>
    </cfRule>
  </conditionalFormatting>
  <conditionalFormatting sqref="B20">
    <cfRule type="expression" dxfId="55" priority="3">
      <formula>K20&lt;$K$2</formula>
    </cfRule>
    <cfRule type="expression" dxfId="54" priority="4">
      <formula>J20&lt;$J$2</formula>
    </cfRule>
  </conditionalFormatting>
  <conditionalFormatting sqref="B25">
    <cfRule type="expression" dxfId="53" priority="1">
      <formula>K25&lt;$K$2</formula>
    </cfRule>
    <cfRule type="expression" dxfId="52" priority="2">
      <formula>J25&lt;$J$2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294C-749B-4A24-9B8F-41FE85F5B526}">
  <dimension ref="A1:Q26"/>
  <sheetViews>
    <sheetView workbookViewId="0">
      <selection activeCell="B25" sqref="B25"/>
    </sheetView>
  </sheetViews>
  <sheetFormatPr baseColWidth="10" defaultColWidth="11.44140625" defaultRowHeight="14.4" x14ac:dyDescent="0.3"/>
  <cols>
    <col min="1" max="1" width="7.5546875" bestFit="1" customWidth="1"/>
    <col min="2" max="3" width="8.33203125" bestFit="1" customWidth="1"/>
    <col min="4" max="4" width="7.6640625" bestFit="1" customWidth="1"/>
    <col min="5" max="7" width="8.33203125" bestFit="1" customWidth="1"/>
    <col min="8" max="8" width="9" bestFit="1" customWidth="1"/>
    <col min="9" max="9" width="8.33203125" bestFit="1" customWidth="1"/>
    <col min="10" max="11" width="7.6640625" bestFit="1" customWidth="1"/>
    <col min="12" max="12" width="10.88671875" bestFit="1" customWidth="1"/>
    <col min="13" max="13" width="14.6640625" bestFit="1" customWidth="1"/>
    <col min="14" max="14" width="2.109375" bestFit="1" customWidth="1"/>
    <col min="15" max="15" width="7.6640625" bestFit="1" customWidth="1"/>
    <col min="16" max="16" width="2.109375" bestFit="1" customWidth="1"/>
  </cols>
  <sheetData>
    <row r="1" spans="1:16" ht="15.6" x14ac:dyDescent="0.3">
      <c r="A1" s="11" t="s">
        <v>0</v>
      </c>
      <c r="B1" s="3"/>
      <c r="C1" s="18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9" t="s">
        <v>8</v>
      </c>
      <c r="K1" s="15" t="s">
        <v>9</v>
      </c>
      <c r="L1" s="35"/>
      <c r="M1" s="35"/>
      <c r="N1" s="35"/>
      <c r="O1" s="35"/>
      <c r="P1" s="35"/>
    </row>
    <row r="2" spans="1:16" ht="15.6" x14ac:dyDescent="0.3">
      <c r="A2" s="3"/>
      <c r="B2" s="41" t="s">
        <v>10</v>
      </c>
      <c r="C2" s="22">
        <v>5.0000000000000002E-5</v>
      </c>
      <c r="D2" s="21">
        <v>0</v>
      </c>
      <c r="E2" s="14">
        <v>0</v>
      </c>
      <c r="F2" s="14">
        <v>0</v>
      </c>
      <c r="G2" s="12">
        <v>1</v>
      </c>
      <c r="H2" s="12">
        <v>-0.47146939999999998</v>
      </c>
      <c r="I2" s="12">
        <v>4.9418936000000002</v>
      </c>
      <c r="J2" s="20">
        <v>0.01</v>
      </c>
      <c r="K2" s="16">
        <v>0.1</v>
      </c>
      <c r="L2" s="2"/>
      <c r="M2" s="2"/>
      <c r="N2" s="35"/>
      <c r="O2" s="35"/>
      <c r="P2" s="35"/>
    </row>
    <row r="3" spans="1:16" ht="15.6" x14ac:dyDescent="0.3">
      <c r="A3" s="18" t="s">
        <v>11</v>
      </c>
      <c r="B3" s="50">
        <v>0</v>
      </c>
      <c r="C3" s="3"/>
      <c r="D3" s="17">
        <f t="shared" ref="D3:I3" si="0">$B3*C5</f>
        <v>0</v>
      </c>
      <c r="E3" s="27">
        <f t="shared" si="0"/>
        <v>0</v>
      </c>
      <c r="F3" s="27">
        <f t="shared" si="0"/>
        <v>0</v>
      </c>
      <c r="G3" s="27">
        <f t="shared" si="0"/>
        <v>0</v>
      </c>
      <c r="H3" s="27">
        <f t="shared" si="0"/>
        <v>0</v>
      </c>
      <c r="I3" s="27">
        <f t="shared" si="0"/>
        <v>0</v>
      </c>
      <c r="J3" s="3"/>
      <c r="K3" s="3"/>
      <c r="L3" s="30" t="s">
        <v>12</v>
      </c>
      <c r="M3" s="31">
        <f>B3^2+4*B4</f>
        <v>0</v>
      </c>
      <c r="N3" s="35"/>
      <c r="O3" s="35"/>
      <c r="P3" s="35"/>
    </row>
    <row r="4" spans="1:16" ht="16.2" thickBot="1" x14ac:dyDescent="0.35">
      <c r="A4" s="18" t="s">
        <v>13</v>
      </c>
      <c r="B4" s="42">
        <v>0</v>
      </c>
      <c r="C4" s="4"/>
      <c r="D4" s="4"/>
      <c r="E4" s="44">
        <f>$B4*C5</f>
        <v>0</v>
      </c>
      <c r="F4" s="44">
        <f>$B4*D5</f>
        <v>0</v>
      </c>
      <c r="G4" s="44">
        <f>$B4*E5</f>
        <v>0</v>
      </c>
      <c r="H4" s="44">
        <f>$B4*F5</f>
        <v>0</v>
      </c>
      <c r="I4" s="44">
        <f>$B4*G5</f>
        <v>0</v>
      </c>
      <c r="J4" s="3"/>
      <c r="K4" s="3"/>
      <c r="L4" s="30" t="s">
        <v>14</v>
      </c>
      <c r="M4" s="17">
        <f>IF(M3&lt;0,B3/2,(B3+SQRT(M3))/2)</f>
        <v>0</v>
      </c>
      <c r="N4" s="2" t="str">
        <f>IF(M3&lt;0,"+","")</f>
        <v/>
      </c>
      <c r="O4" s="3" t="str">
        <f>IF(M3&lt;0,SQRT(ABS(M3))/2,"")</f>
        <v/>
      </c>
      <c r="P4" s="2" t="str">
        <f>IF(M3&lt;0,"i","")</f>
        <v/>
      </c>
    </row>
    <row r="5" spans="1:16" ht="15.6" x14ac:dyDescent="0.3">
      <c r="A5" s="18" t="s">
        <v>15</v>
      </c>
      <c r="B5" s="37">
        <f>SQRT(SUMSQ(B3:B4))</f>
        <v>0</v>
      </c>
      <c r="C5" s="29">
        <f t="shared" ref="C5:I5" si="1">SUM(C2:C4)</f>
        <v>5.0000000000000002E-5</v>
      </c>
      <c r="D5" s="37">
        <f t="shared" si="1"/>
        <v>0</v>
      </c>
      <c r="E5" s="29">
        <f t="shared" si="1"/>
        <v>0</v>
      </c>
      <c r="F5" s="37">
        <f t="shared" si="1"/>
        <v>0</v>
      </c>
      <c r="G5" s="37">
        <f t="shared" si="1"/>
        <v>1</v>
      </c>
      <c r="H5" s="43">
        <f t="shared" si="1"/>
        <v>-0.47146939999999998</v>
      </c>
      <c r="I5" s="43">
        <f t="shared" si="1"/>
        <v>4.9418936000000002</v>
      </c>
      <c r="J5" s="3"/>
      <c r="K5" s="3"/>
      <c r="L5" s="30" t="s">
        <v>16</v>
      </c>
      <c r="M5" s="17">
        <f>IF(M3&lt;0,M4,(B3-SQRT(M3))/2)</f>
        <v>0</v>
      </c>
      <c r="N5" s="33" t="str">
        <f>IF(M3&lt;0,"+","")</f>
        <v/>
      </c>
      <c r="O5" s="3" t="str">
        <f>IF(M3&lt;0,-O4,"")</f>
        <v/>
      </c>
      <c r="P5" s="33"/>
    </row>
    <row r="6" spans="1:16" ht="15.6" x14ac:dyDescent="0.3">
      <c r="A6" s="3"/>
      <c r="B6" s="3"/>
      <c r="C6" s="6"/>
      <c r="D6" s="6"/>
      <c r="E6" s="6"/>
      <c r="F6" s="6"/>
      <c r="G6" s="6"/>
      <c r="H6" s="6"/>
      <c r="I6" s="6"/>
      <c r="J6" s="3"/>
      <c r="K6" s="3"/>
      <c r="L6" s="35"/>
      <c r="M6" s="35"/>
      <c r="N6" s="35"/>
      <c r="O6" s="35"/>
      <c r="P6" s="35"/>
    </row>
    <row r="7" spans="1:16" ht="15.6" x14ac:dyDescent="0.3">
      <c r="A7" s="3"/>
      <c r="B7" s="41" t="s">
        <v>17</v>
      </c>
      <c r="C7" s="45">
        <f t="shared" ref="C7:I7" si="2">C2</f>
        <v>5.0000000000000002E-5</v>
      </c>
      <c r="D7" s="21">
        <f t="shared" si="2"/>
        <v>0</v>
      </c>
      <c r="E7" s="21">
        <f t="shared" si="2"/>
        <v>0</v>
      </c>
      <c r="F7" s="21">
        <f t="shared" si="2"/>
        <v>0</v>
      </c>
      <c r="G7" s="21">
        <f t="shared" si="2"/>
        <v>1</v>
      </c>
      <c r="H7" s="24">
        <f t="shared" si="2"/>
        <v>-0.47146939999999998</v>
      </c>
      <c r="I7" s="24">
        <f t="shared" si="2"/>
        <v>4.9418936000000002</v>
      </c>
      <c r="J7" s="3"/>
      <c r="K7" s="3"/>
      <c r="L7" s="2"/>
      <c r="M7" s="32" t="s">
        <v>18</v>
      </c>
      <c r="N7" s="35"/>
      <c r="O7" s="35"/>
      <c r="P7" s="35"/>
    </row>
    <row r="8" spans="1:16" ht="15.6" x14ac:dyDescent="0.3">
      <c r="A8" s="18" t="s">
        <v>19</v>
      </c>
      <c r="B8" s="46">
        <f>-(H2+B9*F5)/G5</f>
        <v>0.47146939999999998</v>
      </c>
      <c r="C8" s="3"/>
      <c r="D8" s="17">
        <f t="shared" ref="D8:I8" si="3">$B8*C10</f>
        <v>2.3573470000000002E-5</v>
      </c>
      <c r="E8" s="17">
        <f t="shared" si="3"/>
        <v>1.1114169756818E-5</v>
      </c>
      <c r="F8" s="17">
        <f t="shared" si="3"/>
        <v>-1.1125758957604686E-4</v>
      </c>
      <c r="G8" s="17">
        <f t="shared" si="3"/>
        <v>-1.0737959339339751E-4</v>
      </c>
      <c r="H8" s="17">
        <f t="shared" si="3"/>
        <v>0.47196859697740784</v>
      </c>
      <c r="I8" s="17">
        <f t="shared" si="3"/>
        <v>7.6601462478172904E-4</v>
      </c>
      <c r="J8" s="3"/>
      <c r="K8" s="3"/>
      <c r="L8" s="30" t="s">
        <v>12</v>
      </c>
      <c r="M8" s="31">
        <f>B8^2+4*B9</f>
        <v>-19.545291004863643</v>
      </c>
      <c r="N8" s="35"/>
      <c r="O8" s="35"/>
      <c r="P8" s="35"/>
    </row>
    <row r="9" spans="1:16" ht="16.2" thickBot="1" x14ac:dyDescent="0.35">
      <c r="A9" s="18" t="s">
        <v>20</v>
      </c>
      <c r="B9" s="47">
        <f>-I2/G5</f>
        <v>-4.9418936000000002</v>
      </c>
      <c r="C9" s="13"/>
      <c r="D9" s="4"/>
      <c r="E9" s="44">
        <f>$B9*C10</f>
        <v>-2.4709468E-4</v>
      </c>
      <c r="F9" s="44">
        <f>$B9*D10</f>
        <v>-1.1649758052279202E-4</v>
      </c>
      <c r="G9" s="44">
        <f>$B9*E10</f>
        <v>1.1661905732955156E-3</v>
      </c>
      <c r="H9" s="44">
        <f>$B9*F10</f>
        <v>1.1255418174783633E-3</v>
      </c>
      <c r="I9" s="44">
        <f>$B9*G10</f>
        <v>-4.947126131205188</v>
      </c>
      <c r="J9" s="3"/>
      <c r="K9" s="3"/>
      <c r="L9" s="30" t="s">
        <v>14</v>
      </c>
      <c r="M9" s="18" cm="1">
        <f t="array" ref="M9">IF(M8&lt;0,B8/2,(B8+RAIZ(M8))/2)</f>
        <v>0.23573469999999999</v>
      </c>
      <c r="N9" s="30" t="str">
        <f>IF(M8&lt;0,"+","")</f>
        <v>+</v>
      </c>
      <c r="O9" s="17">
        <f>IF(M8&lt;0,SQRT(ABS(M8))/2,"")</f>
        <v>2.2105028276878342</v>
      </c>
      <c r="P9" s="30" t="str">
        <f>IF(M8&lt;0,"i","")</f>
        <v>i</v>
      </c>
    </row>
    <row r="10" spans="1:16" ht="15.6" x14ac:dyDescent="0.3">
      <c r="A10" s="17" t="s">
        <v>15</v>
      </c>
      <c r="B10" s="37">
        <f>SQRT(SUMSQ(B8:B9))</f>
        <v>4.964332356808649</v>
      </c>
      <c r="C10" s="37">
        <f t="shared" ref="C10:I10" si="4">SUM(C7:C9)</f>
        <v>5.0000000000000002E-5</v>
      </c>
      <c r="D10" s="37">
        <f t="shared" si="4"/>
        <v>2.3573470000000002E-5</v>
      </c>
      <c r="E10" s="37">
        <f t="shared" si="4"/>
        <v>-2.3598051024318199E-4</v>
      </c>
      <c r="F10" s="37">
        <f t="shared" si="4"/>
        <v>-2.2775517009883888E-4</v>
      </c>
      <c r="G10" s="37">
        <f t="shared" si="4"/>
        <v>1.0010588109799021</v>
      </c>
      <c r="H10" s="43">
        <f t="shared" si="4"/>
        <v>1.6247387948862197E-3</v>
      </c>
      <c r="I10" s="43">
        <f t="shared" si="4"/>
        <v>-4.466516580405866E-3</v>
      </c>
      <c r="J10" s="17">
        <f>ABS(B10-B5)</f>
        <v>4.964332356808649</v>
      </c>
      <c r="K10" s="18">
        <f>ABS(J10/B10)*100</f>
        <v>100</v>
      </c>
      <c r="L10" s="30" t="s">
        <v>16</v>
      </c>
      <c r="M10" s="18" cm="1">
        <f t="array" ref="M10">IF(M8&lt;0,M9,(B8-RAIZ(M8))/2)</f>
        <v>0.23573469999999999</v>
      </c>
      <c r="N10" s="34" t="str">
        <f>IF(M8&lt;0,"+","")</f>
        <v>+</v>
      </c>
      <c r="O10" s="17">
        <f>IF(M8&lt;0,-O9,"")</f>
        <v>-2.2105028276878342</v>
      </c>
      <c r="P10" s="34" t="s">
        <v>21</v>
      </c>
    </row>
    <row r="11" spans="1:16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5"/>
      <c r="M11" s="35"/>
      <c r="N11" s="35"/>
      <c r="O11" s="35"/>
      <c r="P11" s="35"/>
    </row>
    <row r="12" spans="1:16" ht="15.6" x14ac:dyDescent="0.3">
      <c r="A12" s="3"/>
      <c r="B12" s="41" t="s">
        <v>22</v>
      </c>
      <c r="C12" s="22">
        <f t="shared" ref="C12:I12" si="5">C7</f>
        <v>5.0000000000000002E-5</v>
      </c>
      <c r="D12" s="26">
        <f t="shared" si="5"/>
        <v>0</v>
      </c>
      <c r="E12" s="21">
        <f t="shared" si="5"/>
        <v>0</v>
      </c>
      <c r="F12" s="21">
        <f t="shared" si="5"/>
        <v>0</v>
      </c>
      <c r="G12" s="21">
        <f t="shared" si="5"/>
        <v>1</v>
      </c>
      <c r="H12" s="24">
        <f t="shared" si="5"/>
        <v>-0.47146939999999998</v>
      </c>
      <c r="I12" s="24">
        <f t="shared" si="5"/>
        <v>4.9418936000000002</v>
      </c>
      <c r="J12" s="3"/>
      <c r="K12" s="3"/>
      <c r="L12" s="35"/>
      <c r="M12" s="35"/>
      <c r="N12" s="35"/>
      <c r="O12" s="35"/>
      <c r="P12" s="35"/>
    </row>
    <row r="13" spans="1:16" ht="15.6" x14ac:dyDescent="0.3">
      <c r="A13" s="18" t="s">
        <v>11</v>
      </c>
      <c r="B13" s="48">
        <f>-(H7+B14*F10)/G10</f>
        <v>0.46984756889324319</v>
      </c>
      <c r="C13" s="3"/>
      <c r="D13" s="18">
        <f t="shared" ref="D13:I13" si="6">$B13*C15</f>
        <v>2.3492378444662162E-5</v>
      </c>
      <c r="E13" s="17">
        <f t="shared" si="6"/>
        <v>1.1037836899744546E-5</v>
      </c>
      <c r="F13" s="17">
        <f t="shared" si="6"/>
        <v>-1.1078793926423003E-4</v>
      </c>
      <c r="G13" s="17">
        <f t="shared" si="6"/>
        <v>-1.0654356472048878E-4</v>
      </c>
      <c r="H13" s="17">
        <f t="shared" si="6"/>
        <v>0.47034443277818072</v>
      </c>
      <c r="I13" s="17">
        <f t="shared" si="6"/>
        <v>-2.593056515232802E-6</v>
      </c>
      <c r="J13" s="3"/>
      <c r="K13" s="3"/>
      <c r="L13" s="30" t="s">
        <v>12</v>
      </c>
      <c r="M13" s="31">
        <f>B13^2+4*B14</f>
        <v>-19.525909674790789</v>
      </c>
      <c r="N13" s="35"/>
      <c r="O13" s="35"/>
      <c r="P13" s="35"/>
    </row>
    <row r="14" spans="1:16" ht="16.2" thickBot="1" x14ac:dyDescent="0.35">
      <c r="A14" s="18" t="s">
        <v>13</v>
      </c>
      <c r="B14" s="47">
        <f>-I7/G10</f>
        <v>-4.9366666031964197</v>
      </c>
      <c r="C14" s="13"/>
      <c r="D14" s="4"/>
      <c r="E14" s="44">
        <f>$B14*C15</f>
        <v>-2.4683333015982099E-4</v>
      </c>
      <c r="F14" s="44">
        <f>$B14*D15</f>
        <v>-1.1597404009741515E-4</v>
      </c>
      <c r="G14" s="44">
        <f>$B14*E15</f>
        <v>1.1640437367612458E-3</v>
      </c>
      <c r="H14" s="44">
        <f>$B14*F15</f>
        <v>1.1194482903893496E-3</v>
      </c>
      <c r="I14" s="44">
        <f>$B14*G15</f>
        <v>-4.9418871289786077</v>
      </c>
      <c r="J14" s="3"/>
      <c r="K14" s="3"/>
      <c r="L14" s="30" t="s">
        <v>14</v>
      </c>
      <c r="M14" s="18" cm="1">
        <f t="array" ref="M14">IF(M13&lt;0,B13/2,(B13+RAIZ(M13))/2)</f>
        <v>0.2349237844466216</v>
      </c>
      <c r="N14" s="30" t="str">
        <f>IF(M13&lt;0,"+","")</f>
        <v>+</v>
      </c>
      <c r="O14" s="17">
        <f>IF(M13&lt;0,SQRT(ABS(M13))/2,"")</f>
        <v>2.2094065761415886</v>
      </c>
      <c r="P14" s="30" t="str">
        <f>IF(M13&lt;0,"i","")</f>
        <v>i</v>
      </c>
    </row>
    <row r="15" spans="1:16" ht="15.6" x14ac:dyDescent="0.3">
      <c r="A15" s="18" t="s">
        <v>15</v>
      </c>
      <c r="B15" s="37">
        <f>SQRT(SUMSQ(B13:B14))</f>
        <v>4.9589750845421445</v>
      </c>
      <c r="C15" s="37">
        <f t="shared" ref="C15:I15" si="7">SUM(C12:C14)</f>
        <v>5.0000000000000002E-5</v>
      </c>
      <c r="D15" s="40">
        <f t="shared" si="7"/>
        <v>2.3492378444662162E-5</v>
      </c>
      <c r="E15" s="37">
        <f t="shared" si="7"/>
        <v>-2.3579549326007644E-4</v>
      </c>
      <c r="F15" s="37">
        <f t="shared" si="7"/>
        <v>-2.2676197936164519E-4</v>
      </c>
      <c r="G15" s="37">
        <f t="shared" si="7"/>
        <v>1.0010575001720408</v>
      </c>
      <c r="H15" s="43">
        <f t="shared" si="7"/>
        <v>-5.5189314299122945E-6</v>
      </c>
      <c r="I15" s="43">
        <f t="shared" si="7"/>
        <v>3.8779648772191422E-6</v>
      </c>
      <c r="J15" s="23">
        <f>ABS(B15-B10)</f>
        <v>5.3572722665045092E-3</v>
      </c>
      <c r="K15" s="18">
        <f>ABS(J15/B15)*100</f>
        <v>0.10803184478994289</v>
      </c>
      <c r="L15" s="30" t="s">
        <v>16</v>
      </c>
      <c r="M15" s="18" cm="1">
        <f t="array" ref="M15">IF(M13&lt;0,M14,(B13-RAIZ(M13))/2)</f>
        <v>0.2349237844466216</v>
      </c>
      <c r="N15" s="34" t="str">
        <f>IF(M13&lt;0,"+","")</f>
        <v>+</v>
      </c>
      <c r="O15" s="17">
        <f>IF(M13&lt;0,-O14,"")</f>
        <v>-2.2094065761415886</v>
      </c>
      <c r="P15" s="34" t="s">
        <v>21</v>
      </c>
    </row>
    <row r="16" spans="1:16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5"/>
      <c r="M16" s="35"/>
      <c r="N16" s="35"/>
      <c r="O16" s="35"/>
      <c r="P16" s="35"/>
    </row>
    <row r="17" spans="1:17" ht="15.6" x14ac:dyDescent="0.3">
      <c r="A17" s="3"/>
      <c r="B17" s="41" t="s">
        <v>23</v>
      </c>
      <c r="C17" s="22">
        <f t="shared" ref="C17:I17" si="8">C12</f>
        <v>5.0000000000000002E-5</v>
      </c>
      <c r="D17" s="28">
        <f t="shared" si="8"/>
        <v>0</v>
      </c>
      <c r="E17" s="28">
        <f t="shared" si="8"/>
        <v>0</v>
      </c>
      <c r="F17" s="28">
        <f t="shared" si="8"/>
        <v>0</v>
      </c>
      <c r="G17" s="28">
        <f t="shared" si="8"/>
        <v>1</v>
      </c>
      <c r="H17" s="53">
        <f t="shared" si="8"/>
        <v>-0.47146939999999998</v>
      </c>
      <c r="I17" s="53">
        <f t="shared" si="8"/>
        <v>4.9418936000000002</v>
      </c>
      <c r="J17" s="3"/>
      <c r="K17" s="3"/>
      <c r="L17" s="35"/>
      <c r="M17" s="35"/>
      <c r="N17" s="35"/>
      <c r="O17" s="35"/>
      <c r="P17" s="35"/>
    </row>
    <row r="18" spans="1:17" ht="15.6" x14ac:dyDescent="0.3">
      <c r="A18" s="3" t="s">
        <v>19</v>
      </c>
      <c r="B18" s="46">
        <f>-(H12+B19*F15)/G15</f>
        <v>0.46985308053028446</v>
      </c>
      <c r="C18" s="3"/>
      <c r="D18" s="17">
        <f t="shared" ref="D18:I18" si="9">$B18*C20</f>
        <v>2.3492654026514226E-5</v>
      </c>
      <c r="E18" s="27">
        <f t="shared" si="9"/>
        <v>1.1038095864189899E-5</v>
      </c>
      <c r="F18" s="27">
        <f t="shared" si="9"/>
        <v>-1.1078926906903631E-4</v>
      </c>
      <c r="G18" s="27">
        <f t="shared" si="9"/>
        <v>-1.0654614992971147E-4</v>
      </c>
      <c r="H18" s="27">
        <f t="shared" si="9"/>
        <v>0.47034994989428941</v>
      </c>
      <c r="I18" s="27">
        <f t="shared" si="9"/>
        <v>6.4281231788816688E-9</v>
      </c>
      <c r="J18" s="3"/>
      <c r="K18" s="3"/>
      <c r="L18" s="30" t="s">
        <v>12</v>
      </c>
      <c r="M18" s="31">
        <f>B18^2+4*B19</f>
        <v>-19.52593035224394</v>
      </c>
      <c r="N18" s="35"/>
      <c r="O18" s="35"/>
      <c r="P18" s="35"/>
    </row>
    <row r="19" spans="1:17" ht="16.2" thickBot="1" x14ac:dyDescent="0.35">
      <c r="A19" s="3" t="s">
        <v>20</v>
      </c>
      <c r="B19" s="47">
        <f>-I12/G15</f>
        <v>-4.9366730673819346</v>
      </c>
      <c r="C19" s="13"/>
      <c r="D19" s="4"/>
      <c r="E19" s="44">
        <f>$B19*C20</f>
        <v>-2.4683365336909674E-4</v>
      </c>
      <c r="F19" s="44">
        <f>$B19*D20</f>
        <v>-1.1597555241401454E-4</v>
      </c>
      <c r="G19" s="44">
        <f>$B19*E20</f>
        <v>1.1640455781427817E-3</v>
      </c>
      <c r="H19" s="44">
        <f>$B19*F20</f>
        <v>1.1194637868450496E-3</v>
      </c>
      <c r="I19" s="44">
        <f>$B19*G20</f>
        <v>-4.941893596327966</v>
      </c>
      <c r="J19" s="3"/>
      <c r="K19" s="3"/>
      <c r="L19" s="30" t="s">
        <v>14</v>
      </c>
      <c r="M19" s="18" cm="1">
        <f t="array" ref="M19">IF(M18&lt;0,B18/2,(B18+RAIZ(M18))/2)</f>
        <v>0.23492654026514223</v>
      </c>
      <c r="N19" s="30" t="str">
        <f>IF(M18&lt;0,"+","")</f>
        <v>+</v>
      </c>
      <c r="O19" s="17">
        <f>IF(M18&lt;0,SQRT(ABS(M18))/2,"")</f>
        <v>2.2094077459946102</v>
      </c>
      <c r="P19" s="30" t="str">
        <f>IF(M18&lt;0,"i","")</f>
        <v>i</v>
      </c>
    </row>
    <row r="20" spans="1:17" ht="15.6" x14ac:dyDescent="0.3">
      <c r="A20" s="3" t="s">
        <v>15</v>
      </c>
      <c r="B20" s="40">
        <f>SQRT(SUMSQ(B18:B19))</f>
        <v>4.9589820418608044</v>
      </c>
      <c r="C20" s="37">
        <f t="shared" ref="C20:I20" si="10">SUM(C17:C19)</f>
        <v>5.0000000000000002E-5</v>
      </c>
      <c r="D20" s="37">
        <f t="shared" si="10"/>
        <v>2.3492654026514226E-5</v>
      </c>
      <c r="E20" s="29">
        <f t="shared" si="10"/>
        <v>-2.3579555750490684E-4</v>
      </c>
      <c r="F20" s="37">
        <f t="shared" si="10"/>
        <v>-2.2676482148305087E-4</v>
      </c>
      <c r="G20" s="37">
        <f t="shared" si="10"/>
        <v>1.0010574994282131</v>
      </c>
      <c r="H20" s="43">
        <f t="shared" si="10"/>
        <v>1.368113447639159E-8</v>
      </c>
      <c r="I20" s="49">
        <f t="shared" si="10"/>
        <v>1.0100157155079614E-8</v>
      </c>
      <c r="J20" s="17">
        <f>ABS(B20-B15)</f>
        <v>6.9573186598503867E-6</v>
      </c>
      <c r="K20" s="17">
        <f>ABS(J20/B20)*100</f>
        <v>1.4029731507637659E-4</v>
      </c>
      <c r="L20" s="36" t="s">
        <v>16</v>
      </c>
      <c r="M20" s="18" cm="1">
        <f t="array" ref="M20">IF(M18&lt;0,M19,(B18-RAIZ(M18))/2)</f>
        <v>0.23492654026514223</v>
      </c>
      <c r="N20" s="34" t="str">
        <f>IF(M18&lt;0,"+","")</f>
        <v>+</v>
      </c>
      <c r="O20" s="17">
        <f>IF(M18&lt;0,-O19,"")</f>
        <v>-2.2094077459946102</v>
      </c>
      <c r="P20" s="34" t="s">
        <v>21</v>
      </c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5"/>
      <c r="M21" s="35"/>
      <c r="N21" s="35"/>
      <c r="O21" s="35"/>
      <c r="P21" s="35"/>
      <c r="Q21" s="1"/>
    </row>
    <row r="22" spans="1:17" ht="15.6" x14ac:dyDescent="0.3">
      <c r="A22" s="3"/>
      <c r="B22" s="41" t="s">
        <v>24</v>
      </c>
      <c r="C22" s="22">
        <f t="shared" ref="C22:I22" si="11">C17</f>
        <v>5.0000000000000002E-5</v>
      </c>
      <c r="D22" s="28">
        <f t="shared" si="11"/>
        <v>0</v>
      </c>
      <c r="E22" s="28">
        <f t="shared" si="11"/>
        <v>0</v>
      </c>
      <c r="F22" s="28">
        <f t="shared" si="11"/>
        <v>0</v>
      </c>
      <c r="G22" s="28">
        <f t="shared" si="11"/>
        <v>1</v>
      </c>
      <c r="H22" s="53">
        <f t="shared" si="11"/>
        <v>-0.47146939999999998</v>
      </c>
      <c r="I22" s="53">
        <f t="shared" si="11"/>
        <v>4.9418936000000002</v>
      </c>
      <c r="J22" s="3"/>
      <c r="K22" s="3"/>
      <c r="L22" s="35"/>
      <c r="M22" s="35"/>
      <c r="N22" s="35"/>
      <c r="O22" s="35"/>
      <c r="P22" s="35"/>
    </row>
    <row r="23" spans="1:17" ht="15.6" x14ac:dyDescent="0.3">
      <c r="A23" s="3" t="s">
        <v>19</v>
      </c>
      <c r="B23" s="46">
        <f>-(H17+B24*F20)/G20</f>
        <v>0.46985306686277156</v>
      </c>
      <c r="C23" s="3"/>
      <c r="D23" s="17">
        <f t="shared" ref="D23:I23" si="12">$B23*C25</f>
        <v>2.3492653343138581E-5</v>
      </c>
      <c r="E23" s="27">
        <f t="shared" si="12"/>
        <v>1.1038095222017605E-5</v>
      </c>
      <c r="F23" s="27">
        <f t="shared" si="12"/>
        <v>-1.1078926623419882E-4</v>
      </c>
      <c r="G23" s="27">
        <f t="shared" si="12"/>
        <v>-1.065461439538354E-4</v>
      </c>
      <c r="H23" s="27">
        <f t="shared" si="12"/>
        <v>0.47034993621745219</v>
      </c>
      <c r="I23" s="27">
        <f t="shared" si="12"/>
        <v>-1.179075307486126E-11</v>
      </c>
      <c r="J23" s="3"/>
      <c r="K23" s="3"/>
      <c r="L23" s="39" t="s">
        <v>12</v>
      </c>
      <c r="M23" s="31">
        <f>B23^2+4*B24</f>
        <v>-19.525930379760009</v>
      </c>
      <c r="N23" s="35"/>
      <c r="O23" s="35"/>
      <c r="P23" s="35"/>
    </row>
    <row r="24" spans="1:17" ht="16.2" thickBot="1" x14ac:dyDescent="0.35">
      <c r="A24" s="3" t="s">
        <v>20</v>
      </c>
      <c r="B24" s="47">
        <f>-I17/G20</f>
        <v>-4.9366730710500901</v>
      </c>
      <c r="C24" s="13"/>
      <c r="D24" s="4"/>
      <c r="E24" s="44">
        <f>$B24*C25</f>
        <v>-2.468336535525045E-4</v>
      </c>
      <c r="F24" s="44">
        <f>$B24*D25</f>
        <v>-1.1597554912658711E-4</v>
      </c>
      <c r="G24" s="44">
        <f>$B24*E25</f>
        <v>1.1640455830833354E-3</v>
      </c>
      <c r="H24" s="44">
        <f>$B24*F25</f>
        <v>1.1194637574532377E-3</v>
      </c>
      <c r="I24" s="44">
        <f>$B24*G25</f>
        <v>-4.9418936000538913</v>
      </c>
      <c r="J24" s="3"/>
      <c r="K24" s="3"/>
      <c r="L24" s="30" t="s">
        <v>14</v>
      </c>
      <c r="M24" s="40" cm="1">
        <f t="array" ref="M24">IF(M23&lt;0,B23/2,(B23+RAIZ(M23))/2)</f>
        <v>0.23492653343138578</v>
      </c>
      <c r="N24" s="30" t="str">
        <f>IF(M23&lt;0,"+","")</f>
        <v>+</v>
      </c>
      <c r="O24" s="17">
        <f>IF(M23&lt;0,SQRT(ABS(M23))/2,"")</f>
        <v>2.2094077475513663</v>
      </c>
      <c r="P24" s="30" t="str">
        <f>IF(M23&lt;0,"i","")</f>
        <v>i</v>
      </c>
    </row>
    <row r="25" spans="1:17" ht="15.6" x14ac:dyDescent="0.3">
      <c r="A25" s="3" t="s">
        <v>15</v>
      </c>
      <c r="B25" s="40">
        <f>SQRT(SUMSQ(B23:B24))</f>
        <v>4.9589820442174908</v>
      </c>
      <c r="C25" s="37">
        <f t="shared" ref="C25:I25" si="13">SUM(C22:C24)</f>
        <v>5.0000000000000002E-5</v>
      </c>
      <c r="D25" s="37">
        <f t="shared" si="13"/>
        <v>2.3492653343138581E-5</v>
      </c>
      <c r="E25" s="37">
        <f t="shared" si="13"/>
        <v>-2.3579555833048689E-4</v>
      </c>
      <c r="F25" s="37">
        <f t="shared" si="13"/>
        <v>-2.2676481536078593E-4</v>
      </c>
      <c r="G25" s="37">
        <f t="shared" si="13"/>
        <v>1.0010574994391295</v>
      </c>
      <c r="H25" s="43">
        <f t="shared" si="13"/>
        <v>-2.5094553822088694E-11</v>
      </c>
      <c r="I25" s="43">
        <f t="shared" si="13"/>
        <v>-6.5681682315243961E-11</v>
      </c>
      <c r="J25" s="17">
        <f>ABS(B25-B20)</f>
        <v>2.3566864015833744E-9</v>
      </c>
      <c r="K25" s="17">
        <f>ABS(J25/B25)*100</f>
        <v>4.75235921519706E-8</v>
      </c>
      <c r="L25" s="36" t="s">
        <v>16</v>
      </c>
      <c r="M25" s="17" cm="1">
        <f t="array" ref="M25">IF(M23&lt;0,M24,(B23-RAIZ(M23))/2)</f>
        <v>0.23492653343138578</v>
      </c>
      <c r="N25" s="38" t="str">
        <f>IF(M23&lt;0,"+","")</f>
        <v>+</v>
      </c>
      <c r="O25" s="37">
        <f>IF(M23&lt;0,-O24,"")</f>
        <v>-2.2094077475513663</v>
      </c>
      <c r="P25" s="38" t="s">
        <v>21</v>
      </c>
    </row>
    <row r="26" spans="1:17" x14ac:dyDescent="0.3">
      <c r="J26" s="10"/>
      <c r="K26" s="10"/>
    </row>
  </sheetData>
  <conditionalFormatting sqref="B10">
    <cfRule type="expression" dxfId="51" priority="7">
      <formula xml:space="preserve"> K10 &lt; $K$2</formula>
    </cfRule>
    <cfRule type="expression" dxfId="50" priority="8">
      <formula>J10 &lt; $J$2</formula>
    </cfRule>
  </conditionalFormatting>
  <conditionalFormatting sqref="B15">
    <cfRule type="expression" dxfId="49" priority="5">
      <formula>K15&lt;$K$2</formula>
    </cfRule>
    <cfRule type="expression" dxfId="48" priority="6">
      <formula>J15&lt;$J$2</formula>
    </cfRule>
  </conditionalFormatting>
  <conditionalFormatting sqref="B20">
    <cfRule type="expression" dxfId="47" priority="3">
      <formula>K20&lt;$K$2</formula>
    </cfRule>
    <cfRule type="expression" dxfId="46" priority="4">
      <formula>J20&lt;$J$2</formula>
    </cfRule>
  </conditionalFormatting>
  <conditionalFormatting sqref="B25">
    <cfRule type="expression" dxfId="45" priority="1">
      <formula>K25&lt;$K$2</formula>
    </cfRule>
    <cfRule type="expression" dxfId="44" priority="2">
      <formula>J25&lt;$J$2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510F-9941-FD45-8B1B-748B3A728092}">
  <dimension ref="A1:Q26"/>
  <sheetViews>
    <sheetView workbookViewId="0">
      <selection activeCell="J22" sqref="J22"/>
    </sheetView>
  </sheetViews>
  <sheetFormatPr baseColWidth="10" defaultColWidth="11.44140625" defaultRowHeight="14.4" x14ac:dyDescent="0.3"/>
  <cols>
    <col min="1" max="1" width="8" bestFit="1" customWidth="1"/>
    <col min="2" max="2" width="9.5546875" bestFit="1" customWidth="1"/>
    <col min="3" max="5" width="8.109375" bestFit="1" customWidth="1"/>
    <col min="6" max="7" width="9" bestFit="1" customWidth="1"/>
    <col min="8" max="8" width="10.33203125" bestFit="1" customWidth="1"/>
    <col min="9" max="9" width="9.33203125" bestFit="1" customWidth="1"/>
    <col min="10" max="10" width="8.109375" bestFit="1" customWidth="1"/>
    <col min="11" max="11" width="10.5546875" bestFit="1" customWidth="1"/>
    <col min="12" max="12" width="11.33203125" bestFit="1" customWidth="1"/>
    <col min="13" max="13" width="14.44140625" bestFit="1" customWidth="1"/>
    <col min="14" max="15" width="1.44140625" bestFit="1" customWidth="1"/>
    <col min="16" max="16" width="2" bestFit="1" customWidth="1"/>
  </cols>
  <sheetData>
    <row r="1" spans="1:16" ht="15.6" x14ac:dyDescent="0.3">
      <c r="A1" s="11" t="s">
        <v>0</v>
      </c>
      <c r="B1" s="3"/>
      <c r="C1" s="18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9" t="s">
        <v>8</v>
      </c>
      <c r="K1" s="15" t="s">
        <v>9</v>
      </c>
      <c r="L1" s="35"/>
      <c r="M1" s="35"/>
      <c r="N1" s="35"/>
      <c r="O1" s="35"/>
      <c r="P1" s="35"/>
    </row>
    <row r="2" spans="1:16" ht="15.6" x14ac:dyDescent="0.3">
      <c r="A2" s="3"/>
      <c r="B2" s="41" t="s">
        <v>10</v>
      </c>
      <c r="C2" s="22">
        <v>0</v>
      </c>
      <c r="D2" s="21">
        <v>0</v>
      </c>
      <c r="E2" s="14">
        <v>0</v>
      </c>
      <c r="F2" s="14">
        <v>-1</v>
      </c>
      <c r="G2" s="14">
        <v>2</v>
      </c>
      <c r="H2" s="14">
        <v>3</v>
      </c>
      <c r="I2" s="14">
        <v>0</v>
      </c>
      <c r="J2" s="20">
        <v>0.01</v>
      </c>
      <c r="K2" s="16"/>
      <c r="L2" s="2"/>
      <c r="M2" s="2"/>
      <c r="N2" s="35"/>
      <c r="O2" s="35"/>
      <c r="P2" s="35"/>
    </row>
    <row r="3" spans="1:16" ht="15.6" x14ac:dyDescent="0.3">
      <c r="A3" s="18" t="s">
        <v>11</v>
      </c>
      <c r="B3" s="50">
        <v>-1</v>
      </c>
      <c r="C3" s="3"/>
      <c r="D3" s="17">
        <f t="shared" ref="D3:I3" si="0">$B3*C5</f>
        <v>0</v>
      </c>
      <c r="E3" s="27">
        <f t="shared" si="0"/>
        <v>0</v>
      </c>
      <c r="F3" s="27">
        <f t="shared" si="0"/>
        <v>0</v>
      </c>
      <c r="G3" s="27">
        <f t="shared" si="0"/>
        <v>1</v>
      </c>
      <c r="H3" s="27">
        <f t="shared" si="0"/>
        <v>-3</v>
      </c>
      <c r="I3" s="27">
        <f t="shared" si="0"/>
        <v>0</v>
      </c>
      <c r="J3" s="3"/>
      <c r="K3" s="3"/>
      <c r="L3" s="30" t="s">
        <v>12</v>
      </c>
      <c r="M3" s="31">
        <f>B3^2+4*B4</f>
        <v>1</v>
      </c>
      <c r="N3" s="35"/>
      <c r="O3" s="35"/>
      <c r="P3" s="35"/>
    </row>
    <row r="4" spans="1:16" ht="15.6" x14ac:dyDescent="0.3">
      <c r="A4" s="18" t="s">
        <v>13</v>
      </c>
      <c r="B4" s="42">
        <v>0</v>
      </c>
      <c r="C4" s="4"/>
      <c r="D4" s="4"/>
      <c r="E4" s="44">
        <f>$B4*C5</f>
        <v>0</v>
      </c>
      <c r="F4" s="44">
        <f>$B4*D5</f>
        <v>0</v>
      </c>
      <c r="G4" s="44">
        <f>$B4*E5</f>
        <v>0</v>
      </c>
      <c r="H4" s="44">
        <f>$B4*F5</f>
        <v>0</v>
      </c>
      <c r="I4" s="44">
        <f>$B4*G5</f>
        <v>0</v>
      </c>
      <c r="J4" s="3"/>
      <c r="K4" s="3"/>
      <c r="L4" s="30" t="s">
        <v>14</v>
      </c>
      <c r="M4" s="17">
        <f>IF(M3&lt;0,B3/2,(B3+SQRT(M3))/2)</f>
        <v>0</v>
      </c>
      <c r="N4" s="2" t="str">
        <f>IF(M3&lt;0,"+","")</f>
        <v/>
      </c>
      <c r="O4" s="3" t="str">
        <f>IF(M3&lt;0,SQRT(ABS(M3))/2,"")</f>
        <v/>
      </c>
      <c r="P4" s="2" t="str">
        <f>IF(M3&lt;0,"i","")</f>
        <v/>
      </c>
    </row>
    <row r="5" spans="1:16" ht="15.6" x14ac:dyDescent="0.3">
      <c r="A5" s="18" t="s">
        <v>15</v>
      </c>
      <c r="B5" s="37">
        <f>SQRT(SUMSQ(B3:B4))</f>
        <v>1</v>
      </c>
      <c r="C5" s="29">
        <f t="shared" ref="C5:I5" si="1">SUM(C2:C4)</f>
        <v>0</v>
      </c>
      <c r="D5" s="37">
        <f t="shared" si="1"/>
        <v>0</v>
      </c>
      <c r="E5" s="29">
        <f t="shared" si="1"/>
        <v>0</v>
      </c>
      <c r="F5" s="37">
        <f t="shared" si="1"/>
        <v>-1</v>
      </c>
      <c r="G5" s="37">
        <f t="shared" si="1"/>
        <v>3</v>
      </c>
      <c r="H5" s="43">
        <f t="shared" si="1"/>
        <v>0</v>
      </c>
      <c r="I5" s="43">
        <f t="shared" si="1"/>
        <v>0</v>
      </c>
      <c r="J5" s="3"/>
      <c r="K5" s="3"/>
      <c r="L5" s="30" t="s">
        <v>16</v>
      </c>
      <c r="M5" s="17">
        <f>IF(M3&lt;0,M4,(B3-SQRT(M3))/2)</f>
        <v>-1</v>
      </c>
      <c r="N5" s="33" t="str">
        <f>IF(M3&lt;0,"+","")</f>
        <v/>
      </c>
      <c r="O5" s="3" t="str">
        <f>IF(M3&lt;0,-O4,"")</f>
        <v/>
      </c>
      <c r="P5" s="33"/>
    </row>
    <row r="6" spans="1:16" ht="15.6" x14ac:dyDescent="0.3">
      <c r="A6" s="3"/>
      <c r="B6" s="3"/>
      <c r="C6" s="6"/>
      <c r="D6" s="6"/>
      <c r="E6" s="6"/>
      <c r="F6" s="6"/>
      <c r="G6" s="6"/>
      <c r="H6" s="6"/>
      <c r="I6" s="6"/>
      <c r="J6" s="3"/>
      <c r="K6" s="3"/>
      <c r="L6" s="35"/>
      <c r="M6" s="35"/>
      <c r="N6" s="35"/>
      <c r="O6" s="35"/>
      <c r="P6" s="35"/>
    </row>
    <row r="7" spans="1:16" ht="15.6" x14ac:dyDescent="0.3">
      <c r="A7" s="3"/>
      <c r="B7" s="41" t="s">
        <v>17</v>
      </c>
      <c r="C7" s="45">
        <f t="shared" ref="C7:I7" si="2">C2</f>
        <v>0</v>
      </c>
      <c r="D7" s="21">
        <f t="shared" si="2"/>
        <v>0</v>
      </c>
      <c r="E7" s="21">
        <f t="shared" si="2"/>
        <v>0</v>
      </c>
      <c r="F7" s="21">
        <f t="shared" si="2"/>
        <v>-1</v>
      </c>
      <c r="G7" s="21">
        <f t="shared" si="2"/>
        <v>2</v>
      </c>
      <c r="H7" s="24">
        <f t="shared" si="2"/>
        <v>3</v>
      </c>
      <c r="I7" s="24">
        <f t="shared" si="2"/>
        <v>0</v>
      </c>
      <c r="J7" s="3"/>
      <c r="K7" s="3"/>
      <c r="L7" s="2"/>
      <c r="M7" s="32" t="s">
        <v>18</v>
      </c>
      <c r="N7" s="35"/>
      <c r="O7" s="35"/>
      <c r="P7" s="35"/>
    </row>
    <row r="8" spans="1:16" ht="15.6" x14ac:dyDescent="0.3">
      <c r="A8" s="18" t="s">
        <v>19</v>
      </c>
      <c r="B8" s="46">
        <f>-(H2+B9*F5)/G5</f>
        <v>-1</v>
      </c>
      <c r="C8" s="3"/>
      <c r="D8" s="17">
        <f t="shared" ref="D8:I8" si="3">$B8*C10</f>
        <v>0</v>
      </c>
      <c r="E8" s="17">
        <f t="shared" si="3"/>
        <v>0</v>
      </c>
      <c r="F8" s="17">
        <f t="shared" si="3"/>
        <v>0</v>
      </c>
      <c r="G8" s="17">
        <f t="shared" si="3"/>
        <v>1</v>
      </c>
      <c r="H8" s="17">
        <f t="shared" si="3"/>
        <v>-3</v>
      </c>
      <c r="I8" s="17">
        <f t="shared" si="3"/>
        <v>0</v>
      </c>
      <c r="J8" s="3"/>
      <c r="K8" s="3"/>
      <c r="L8" s="30" t="s">
        <v>12</v>
      </c>
      <c r="M8" s="31">
        <f>B8^2+4*B9</f>
        <v>1</v>
      </c>
      <c r="N8" s="35"/>
      <c r="O8" s="35"/>
      <c r="P8" s="35"/>
    </row>
    <row r="9" spans="1:16" ht="16.2" thickBot="1" x14ac:dyDescent="0.35">
      <c r="A9" s="18" t="s">
        <v>20</v>
      </c>
      <c r="B9" s="47">
        <f>-I2/G5</f>
        <v>0</v>
      </c>
      <c r="C9" s="13"/>
      <c r="D9" s="4"/>
      <c r="E9" s="44">
        <f>$B9*C10</f>
        <v>0</v>
      </c>
      <c r="F9" s="44">
        <f>$B9*D10</f>
        <v>0</v>
      </c>
      <c r="G9" s="44">
        <f>$B9*E10</f>
        <v>0</v>
      </c>
      <c r="H9" s="44">
        <f>$B9*F10</f>
        <v>0</v>
      </c>
      <c r="I9" s="44">
        <f>$B9*G10</f>
        <v>0</v>
      </c>
      <c r="J9" s="3"/>
      <c r="K9" s="3"/>
      <c r="L9" s="30" t="s">
        <v>14</v>
      </c>
      <c r="M9" s="18" t="e" cm="1">
        <f t="array" aca="1" ref="M9" ca="1">IF(M8&lt;0,B8/2,(B8+RAIZ(M8))/2)</f>
        <v>#NAME?</v>
      </c>
      <c r="N9" s="30" t="str">
        <f>IF(M8&lt;0,"+","")</f>
        <v/>
      </c>
      <c r="O9" s="17" t="str">
        <f>IF(M8&lt;0,SQRT(ABS(M8))/2,"")</f>
        <v/>
      </c>
      <c r="P9" s="30" t="str">
        <f>IF(M8&lt;0,"i","")</f>
        <v/>
      </c>
    </row>
    <row r="10" spans="1:16" ht="15.6" x14ac:dyDescent="0.3">
      <c r="A10" s="17" t="s">
        <v>15</v>
      </c>
      <c r="B10" s="37">
        <f>SQRT(SUMSQ(B8:B9))</f>
        <v>1</v>
      </c>
      <c r="C10" s="37">
        <f t="shared" ref="C10:I10" si="4">SUM(C7:C9)</f>
        <v>0</v>
      </c>
      <c r="D10" s="37">
        <f t="shared" si="4"/>
        <v>0</v>
      </c>
      <c r="E10" s="37">
        <f t="shared" si="4"/>
        <v>0</v>
      </c>
      <c r="F10" s="37">
        <f t="shared" si="4"/>
        <v>-1</v>
      </c>
      <c r="G10" s="37">
        <f t="shared" si="4"/>
        <v>3</v>
      </c>
      <c r="H10" s="43">
        <f t="shared" si="4"/>
        <v>0</v>
      </c>
      <c r="I10" s="43">
        <f t="shared" si="4"/>
        <v>0</v>
      </c>
      <c r="J10" s="17">
        <f>ABS(B10-B5)</f>
        <v>0</v>
      </c>
      <c r="K10" s="18">
        <f>ABS(J10/B10)*100</f>
        <v>0</v>
      </c>
      <c r="L10" s="30" t="s">
        <v>16</v>
      </c>
      <c r="M10" s="18" t="e" cm="1">
        <f t="array" aca="1" ref="M10" ca="1">IF(M8&lt;0,M9,(B8-RAIZ(M8))/2)</f>
        <v>#NAME?</v>
      </c>
      <c r="N10" s="34" t="str">
        <f>IF(M8&lt;0,"+","")</f>
        <v/>
      </c>
      <c r="O10" s="17" t="str">
        <f>IF(M8&lt;0,-O9,"")</f>
        <v/>
      </c>
      <c r="P10" s="34" t="s">
        <v>21</v>
      </c>
    </row>
    <row r="11" spans="1:16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5"/>
      <c r="M11" s="35"/>
      <c r="N11" s="35"/>
      <c r="O11" s="35"/>
      <c r="P11" s="35"/>
    </row>
    <row r="12" spans="1:16" ht="15.6" x14ac:dyDescent="0.3">
      <c r="A12" s="3"/>
      <c r="B12" s="41" t="s">
        <v>22</v>
      </c>
      <c r="C12" s="22">
        <f t="shared" ref="C12:I12" si="5">C7</f>
        <v>0</v>
      </c>
      <c r="D12" s="26">
        <f t="shared" si="5"/>
        <v>0</v>
      </c>
      <c r="E12" s="21">
        <f t="shared" si="5"/>
        <v>0</v>
      </c>
      <c r="F12" s="21">
        <f t="shared" si="5"/>
        <v>-1</v>
      </c>
      <c r="G12" s="21">
        <f t="shared" si="5"/>
        <v>2</v>
      </c>
      <c r="H12" s="24">
        <f t="shared" si="5"/>
        <v>3</v>
      </c>
      <c r="I12" s="24">
        <f t="shared" si="5"/>
        <v>0</v>
      </c>
      <c r="J12" s="3"/>
      <c r="K12" s="3"/>
      <c r="L12" s="35"/>
      <c r="M12" s="35"/>
      <c r="N12" s="35"/>
      <c r="O12" s="35"/>
      <c r="P12" s="35"/>
    </row>
    <row r="13" spans="1:16" ht="15.6" x14ac:dyDescent="0.3">
      <c r="A13" s="18" t="s">
        <v>11</v>
      </c>
      <c r="B13" s="48">
        <f>-(H7+B14*F10)/G10</f>
        <v>-1</v>
      </c>
      <c r="C13" s="3"/>
      <c r="D13" s="18">
        <f t="shared" ref="D13:I13" si="6">$B13*C15</f>
        <v>0</v>
      </c>
      <c r="E13" s="17">
        <f t="shared" si="6"/>
        <v>0</v>
      </c>
      <c r="F13" s="17">
        <f t="shared" si="6"/>
        <v>0</v>
      </c>
      <c r="G13" s="17">
        <f t="shared" si="6"/>
        <v>1</v>
      </c>
      <c r="H13" s="17">
        <f t="shared" si="6"/>
        <v>-3</v>
      </c>
      <c r="I13" s="17">
        <f t="shared" si="6"/>
        <v>0</v>
      </c>
      <c r="J13" s="3"/>
      <c r="K13" s="3"/>
      <c r="L13" s="30" t="s">
        <v>12</v>
      </c>
      <c r="M13" s="31">
        <f>B13^2+4*B14</f>
        <v>1</v>
      </c>
      <c r="N13" s="35"/>
      <c r="O13" s="35"/>
      <c r="P13" s="35"/>
    </row>
    <row r="14" spans="1:16" ht="16.2" thickBot="1" x14ac:dyDescent="0.35">
      <c r="A14" s="18" t="s">
        <v>13</v>
      </c>
      <c r="B14" s="47">
        <f>-I7/G10</f>
        <v>0</v>
      </c>
      <c r="C14" s="13"/>
      <c r="D14" s="4"/>
      <c r="E14" s="44">
        <f>$B14*C15</f>
        <v>0</v>
      </c>
      <c r="F14" s="44">
        <f>$B14*D15</f>
        <v>0</v>
      </c>
      <c r="G14" s="44">
        <f>$B14*E15</f>
        <v>0</v>
      </c>
      <c r="H14" s="44">
        <f>$B14*F15</f>
        <v>0</v>
      </c>
      <c r="I14" s="44">
        <f>$B14*G15</f>
        <v>0</v>
      </c>
      <c r="J14" s="3"/>
      <c r="K14" s="3"/>
      <c r="L14" s="30" t="s">
        <v>14</v>
      </c>
      <c r="M14" s="18" t="e" cm="1">
        <f t="array" aca="1" ref="M14" ca="1">IF(M13&lt;0,B13/2,(B13+RAIZ(M13))/2)</f>
        <v>#NAME?</v>
      </c>
      <c r="N14" s="30" t="str">
        <f>IF(M13&lt;0,"+","")</f>
        <v/>
      </c>
      <c r="O14" s="17" t="str">
        <f>IF(M13&lt;0,SQRT(ABS(M13))/2,"")</f>
        <v/>
      </c>
      <c r="P14" s="30" t="str">
        <f>IF(M13&lt;0,"i","")</f>
        <v/>
      </c>
    </row>
    <row r="15" spans="1:16" ht="15.6" x14ac:dyDescent="0.3">
      <c r="A15" s="18" t="s">
        <v>15</v>
      </c>
      <c r="B15" s="37">
        <f>SQRT(SUMSQ(B13:B14))</f>
        <v>1</v>
      </c>
      <c r="C15" s="37">
        <f t="shared" ref="C15:I15" si="7">SUM(C12:C14)</f>
        <v>0</v>
      </c>
      <c r="D15" s="40">
        <f t="shared" si="7"/>
        <v>0</v>
      </c>
      <c r="E15" s="37">
        <f t="shared" si="7"/>
        <v>0</v>
      </c>
      <c r="F15" s="37">
        <f t="shared" si="7"/>
        <v>-1</v>
      </c>
      <c r="G15" s="37">
        <f t="shared" si="7"/>
        <v>3</v>
      </c>
      <c r="H15" s="43">
        <f t="shared" si="7"/>
        <v>0</v>
      </c>
      <c r="I15" s="43">
        <f t="shared" si="7"/>
        <v>0</v>
      </c>
      <c r="J15" s="23">
        <f>ABS(B15-B10)</f>
        <v>0</v>
      </c>
      <c r="K15" s="18">
        <f>ABS(J15/B15)*100</f>
        <v>0</v>
      </c>
      <c r="L15" s="30" t="s">
        <v>16</v>
      </c>
      <c r="M15" s="18" t="e" cm="1">
        <f t="array" aca="1" ref="M15" ca="1">IF(M13&lt;0,M14,(B13-RAIZ(M13))/2)</f>
        <v>#NAME?</v>
      </c>
      <c r="N15" s="34" t="str">
        <f>IF(M13&lt;0,"+","")</f>
        <v/>
      </c>
      <c r="O15" s="17" t="str">
        <f>IF(M13&lt;0,-O14,"")</f>
        <v/>
      </c>
      <c r="P15" s="34" t="s">
        <v>21</v>
      </c>
    </row>
    <row r="16" spans="1:16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5"/>
      <c r="M16" s="35"/>
      <c r="N16" s="35"/>
      <c r="O16" s="35"/>
      <c r="P16" s="35"/>
    </row>
    <row r="17" spans="1:17" ht="15.6" x14ac:dyDescent="0.3">
      <c r="A17" s="3"/>
      <c r="B17" s="41" t="s">
        <v>23</v>
      </c>
      <c r="C17" s="22">
        <f t="shared" ref="C17:I17" si="8">C12</f>
        <v>0</v>
      </c>
      <c r="D17" s="28">
        <f t="shared" si="8"/>
        <v>0</v>
      </c>
      <c r="E17" s="28">
        <f t="shared" si="8"/>
        <v>0</v>
      </c>
      <c r="F17" s="28">
        <f t="shared" si="8"/>
        <v>-1</v>
      </c>
      <c r="G17" s="28">
        <f t="shared" si="8"/>
        <v>2</v>
      </c>
      <c r="H17" s="53">
        <f t="shared" si="8"/>
        <v>3</v>
      </c>
      <c r="I17" s="53">
        <f t="shared" si="8"/>
        <v>0</v>
      </c>
      <c r="J17" s="3"/>
      <c r="K17" s="3"/>
      <c r="L17" s="35"/>
      <c r="M17" s="35"/>
      <c r="N17" s="35"/>
      <c r="O17" s="35"/>
      <c r="P17" s="35"/>
    </row>
    <row r="18" spans="1:17" ht="15.6" x14ac:dyDescent="0.3">
      <c r="A18" s="3" t="s">
        <v>19</v>
      </c>
      <c r="B18" s="46">
        <f>-(H12+B19*F15)/G15</f>
        <v>-1</v>
      </c>
      <c r="C18" s="3"/>
      <c r="D18" s="17">
        <f t="shared" ref="D18:I18" si="9">$B18*C20</f>
        <v>0</v>
      </c>
      <c r="E18" s="27">
        <f t="shared" si="9"/>
        <v>0</v>
      </c>
      <c r="F18" s="27">
        <f t="shared" si="9"/>
        <v>0</v>
      </c>
      <c r="G18" s="27">
        <f t="shared" si="9"/>
        <v>1</v>
      </c>
      <c r="H18" s="27">
        <f t="shared" si="9"/>
        <v>-3</v>
      </c>
      <c r="I18" s="27">
        <f t="shared" si="9"/>
        <v>0</v>
      </c>
      <c r="J18" s="3"/>
      <c r="K18" s="3"/>
      <c r="L18" s="30" t="s">
        <v>12</v>
      </c>
      <c r="M18" s="31">
        <f>B18^2+4*B19</f>
        <v>1</v>
      </c>
      <c r="N18" s="35"/>
      <c r="O18" s="35"/>
      <c r="P18" s="35"/>
    </row>
    <row r="19" spans="1:17" ht="16.2" thickBot="1" x14ac:dyDescent="0.35">
      <c r="A19" s="3" t="s">
        <v>20</v>
      </c>
      <c r="B19" s="47">
        <f>-I12/G15</f>
        <v>0</v>
      </c>
      <c r="C19" s="13"/>
      <c r="D19" s="4"/>
      <c r="E19" s="44">
        <f>$B19*C20</f>
        <v>0</v>
      </c>
      <c r="F19" s="44">
        <f>$B19*D20</f>
        <v>0</v>
      </c>
      <c r="G19" s="44">
        <f>$B19*E20</f>
        <v>0</v>
      </c>
      <c r="H19" s="44">
        <f>$B19*F20</f>
        <v>0</v>
      </c>
      <c r="I19" s="44">
        <f>$B19*G20</f>
        <v>0</v>
      </c>
      <c r="J19" s="3"/>
      <c r="K19" s="3"/>
      <c r="L19" s="30" t="s">
        <v>14</v>
      </c>
      <c r="M19" s="18" t="e" cm="1">
        <f t="array" aca="1" ref="M19" ca="1">IF(M18&lt;0,B18/2,(B18+RAIZ(M18))/2)</f>
        <v>#NAME?</v>
      </c>
      <c r="N19" s="30" t="str">
        <f>IF(M18&lt;0,"+","")</f>
        <v/>
      </c>
      <c r="O19" s="17" t="str">
        <f>IF(M18&lt;0,SQRT(ABS(M18))/2,"")</f>
        <v/>
      </c>
      <c r="P19" s="30" t="str">
        <f>IF(M18&lt;0,"i","")</f>
        <v/>
      </c>
    </row>
    <row r="20" spans="1:17" ht="15.6" x14ac:dyDescent="0.3">
      <c r="A20" s="3" t="s">
        <v>15</v>
      </c>
      <c r="B20" s="40">
        <f>SQRT(SUMSQ(B18:B19))</f>
        <v>1</v>
      </c>
      <c r="C20" s="37">
        <f t="shared" ref="C20:I20" si="10">SUM(C17:C19)</f>
        <v>0</v>
      </c>
      <c r="D20" s="37">
        <f t="shared" si="10"/>
        <v>0</v>
      </c>
      <c r="E20" s="29">
        <f t="shared" si="10"/>
        <v>0</v>
      </c>
      <c r="F20" s="37">
        <f t="shared" si="10"/>
        <v>-1</v>
      </c>
      <c r="G20" s="37">
        <f t="shared" si="10"/>
        <v>3</v>
      </c>
      <c r="H20" s="43">
        <f t="shared" si="10"/>
        <v>0</v>
      </c>
      <c r="I20" s="49">
        <f t="shared" si="10"/>
        <v>0</v>
      </c>
      <c r="J20" s="17">
        <f>ABS(B20-B15)</f>
        <v>0</v>
      </c>
      <c r="K20" s="17">
        <f>ABS(J20/B20)*100</f>
        <v>0</v>
      </c>
      <c r="L20" s="36" t="s">
        <v>16</v>
      </c>
      <c r="M20" s="18" t="e" cm="1">
        <f t="array" aca="1" ref="M20" ca="1">IF(M18&lt;0,M19,(B18-RAIZ(M18))/2)</f>
        <v>#NAME?</v>
      </c>
      <c r="N20" s="34" t="str">
        <f>IF(M18&lt;0,"+","")</f>
        <v/>
      </c>
      <c r="O20" s="17" t="str">
        <f>IF(M18&lt;0,-O19,"")</f>
        <v/>
      </c>
      <c r="P20" s="34" t="s">
        <v>21</v>
      </c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5"/>
      <c r="M21" s="35"/>
      <c r="N21" s="35"/>
      <c r="O21" s="35"/>
      <c r="P21" s="35"/>
      <c r="Q21" s="1"/>
    </row>
    <row r="22" spans="1:17" ht="15.6" x14ac:dyDescent="0.3">
      <c r="A22" s="3"/>
      <c r="B22" s="41" t="s">
        <v>24</v>
      </c>
      <c r="C22" s="22">
        <f t="shared" ref="C22:I22" si="11">C17</f>
        <v>0</v>
      </c>
      <c r="D22" s="28">
        <f t="shared" si="11"/>
        <v>0</v>
      </c>
      <c r="E22" s="28">
        <f t="shared" si="11"/>
        <v>0</v>
      </c>
      <c r="F22" s="28">
        <f t="shared" si="11"/>
        <v>-1</v>
      </c>
      <c r="G22" s="28">
        <f t="shared" si="11"/>
        <v>2</v>
      </c>
      <c r="H22" s="53">
        <f t="shared" si="11"/>
        <v>3</v>
      </c>
      <c r="I22" s="53">
        <f t="shared" si="11"/>
        <v>0</v>
      </c>
      <c r="J22" s="3"/>
      <c r="K22" s="3"/>
      <c r="L22" s="35"/>
      <c r="M22" s="35"/>
      <c r="N22" s="35"/>
      <c r="O22" s="35"/>
      <c r="P22" s="35"/>
    </row>
    <row r="23" spans="1:17" ht="15.6" x14ac:dyDescent="0.3">
      <c r="A23" s="3" t="s">
        <v>19</v>
      </c>
      <c r="B23" s="46">
        <f>-(H17+B24*F20)/G20</f>
        <v>-1</v>
      </c>
      <c r="C23" s="3"/>
      <c r="D23" s="17">
        <f t="shared" ref="D23:I23" si="12">$B23*C25</f>
        <v>0</v>
      </c>
      <c r="E23" s="27">
        <f t="shared" si="12"/>
        <v>0</v>
      </c>
      <c r="F23" s="27">
        <f t="shared" si="12"/>
        <v>0</v>
      </c>
      <c r="G23" s="27">
        <f t="shared" si="12"/>
        <v>1</v>
      </c>
      <c r="H23" s="27">
        <f t="shared" si="12"/>
        <v>-3</v>
      </c>
      <c r="I23" s="27">
        <f t="shared" si="12"/>
        <v>0</v>
      </c>
      <c r="J23" s="3"/>
      <c r="K23" s="3"/>
      <c r="L23" s="39" t="s">
        <v>12</v>
      </c>
      <c r="M23" s="31">
        <f>B23^2+4*B24</f>
        <v>1</v>
      </c>
      <c r="N23" s="35"/>
      <c r="O23" s="35"/>
      <c r="P23" s="35"/>
    </row>
    <row r="24" spans="1:17" ht="16.2" thickBot="1" x14ac:dyDescent="0.35">
      <c r="A24" s="3" t="s">
        <v>20</v>
      </c>
      <c r="B24" s="47">
        <f>-I17/G20</f>
        <v>0</v>
      </c>
      <c r="C24" s="13"/>
      <c r="D24" s="4"/>
      <c r="E24" s="44">
        <f>$B24*C25</f>
        <v>0</v>
      </c>
      <c r="F24" s="44">
        <f>$B24*D25</f>
        <v>0</v>
      </c>
      <c r="G24" s="44">
        <f>$B24*E25</f>
        <v>0</v>
      </c>
      <c r="H24" s="44">
        <f>$B24*F25</f>
        <v>0</v>
      </c>
      <c r="I24" s="44">
        <f>$B24*G25</f>
        <v>0</v>
      </c>
      <c r="J24" s="3"/>
      <c r="K24" s="3"/>
      <c r="L24" s="30" t="s">
        <v>14</v>
      </c>
      <c r="M24" s="40" t="e" cm="1">
        <f t="array" aca="1" ref="M24" ca="1">IF(M23&lt;0,B23/2,(B23+RAIZ(M23))/2)</f>
        <v>#NAME?</v>
      </c>
      <c r="N24" s="30" t="str">
        <f>IF(M23&lt;0,"+","")</f>
        <v/>
      </c>
      <c r="O24" s="17" t="str">
        <f>IF(M23&lt;0,SQRT(ABS(M23))/2,"")</f>
        <v/>
      </c>
      <c r="P24" s="30" t="str">
        <f>IF(M23&lt;0,"i","")</f>
        <v/>
      </c>
    </row>
    <row r="25" spans="1:17" ht="15.6" x14ac:dyDescent="0.3">
      <c r="A25" s="3" t="s">
        <v>15</v>
      </c>
      <c r="B25" s="40">
        <f>SQRT(SUMSQ(B23:B24))</f>
        <v>1</v>
      </c>
      <c r="C25" s="37">
        <f t="shared" ref="C25:I25" si="13">SUM(C22:C24)</f>
        <v>0</v>
      </c>
      <c r="D25" s="37">
        <f t="shared" si="13"/>
        <v>0</v>
      </c>
      <c r="E25" s="37">
        <f t="shared" si="13"/>
        <v>0</v>
      </c>
      <c r="F25" s="37">
        <f t="shared" si="13"/>
        <v>-1</v>
      </c>
      <c r="G25" s="37">
        <f t="shared" si="13"/>
        <v>3</v>
      </c>
      <c r="H25" s="43">
        <f t="shared" si="13"/>
        <v>0</v>
      </c>
      <c r="I25" s="43">
        <f t="shared" si="13"/>
        <v>0</v>
      </c>
      <c r="J25" s="17">
        <f>ABS(B25-B20)</f>
        <v>0</v>
      </c>
      <c r="K25" s="17">
        <f>ABS(J25/B25)*100</f>
        <v>0</v>
      </c>
      <c r="L25" s="36" t="s">
        <v>16</v>
      </c>
      <c r="M25" s="17" t="e" cm="1">
        <f t="array" aca="1" ref="M25" ca="1">IF(M23&lt;0,M24,(B23-RAIZ(M23))/2)</f>
        <v>#NAME?</v>
      </c>
      <c r="N25" s="38" t="str">
        <f>IF(M23&lt;0,"+","")</f>
        <v/>
      </c>
      <c r="O25" s="37" t="str">
        <f>IF(M23&lt;0,-O24,"")</f>
        <v/>
      </c>
      <c r="P25" s="38" t="s">
        <v>21</v>
      </c>
    </row>
    <row r="26" spans="1:17" x14ac:dyDescent="0.3">
      <c r="J26" s="10"/>
      <c r="K26" s="10"/>
    </row>
  </sheetData>
  <conditionalFormatting sqref="B10">
    <cfRule type="expression" dxfId="43" priority="7">
      <formula xml:space="preserve"> K10 &lt; $K$2</formula>
    </cfRule>
  </conditionalFormatting>
  <conditionalFormatting sqref="B15">
    <cfRule type="expression" dxfId="42" priority="5">
      <formula>K15&lt;$K$2</formula>
    </cfRule>
    <cfRule type="expression" dxfId="41" priority="6">
      <formula>J15&lt;$J$2</formula>
    </cfRule>
  </conditionalFormatting>
  <conditionalFormatting sqref="B20">
    <cfRule type="expression" dxfId="40" priority="3">
      <formula>K20&lt;$K$2</formula>
    </cfRule>
    <cfRule type="expression" dxfId="39" priority="4">
      <formula>J20&lt;$J$2</formula>
    </cfRule>
  </conditionalFormatting>
  <conditionalFormatting sqref="B25">
    <cfRule type="expression" dxfId="38" priority="1">
      <formula>K25&lt;$K$2</formula>
    </cfRule>
    <cfRule type="expression" dxfId="37" priority="2">
      <formula>J25&lt;$J$2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2D9F-22FE-F245-9F82-CF7D0EE0DD1A}">
  <dimension ref="A1:Q26"/>
  <sheetViews>
    <sheetView workbookViewId="0">
      <selection sqref="A1:P25"/>
    </sheetView>
  </sheetViews>
  <sheetFormatPr baseColWidth="10" defaultColWidth="11.44140625" defaultRowHeight="14.4" x14ac:dyDescent="0.3"/>
  <cols>
    <col min="1" max="1" width="7.6640625" bestFit="1" customWidth="1"/>
    <col min="2" max="2" width="10" bestFit="1" customWidth="1"/>
    <col min="3" max="4" width="10.5546875" bestFit="1" customWidth="1"/>
    <col min="5" max="6" width="11.44140625" bestFit="1" customWidth="1"/>
    <col min="7" max="8" width="10.5546875" bestFit="1" customWidth="1"/>
    <col min="9" max="9" width="11.44140625" bestFit="1" customWidth="1"/>
    <col min="10" max="11" width="9.5546875" bestFit="1" customWidth="1"/>
    <col min="12" max="12" width="11.33203125" bestFit="1" customWidth="1"/>
    <col min="13" max="13" width="15.109375" bestFit="1" customWidth="1"/>
    <col min="14" max="14" width="2.5546875" bestFit="1" customWidth="1"/>
    <col min="15" max="15" width="8.44140625" bestFit="1" customWidth="1"/>
    <col min="16" max="16" width="1.5546875" bestFit="1" customWidth="1"/>
  </cols>
  <sheetData>
    <row r="1" spans="1:17" ht="15.6" x14ac:dyDescent="0.3">
      <c r="A1" s="11" t="s">
        <v>0</v>
      </c>
      <c r="B1" s="3"/>
      <c r="C1" s="18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9" t="s">
        <v>8</v>
      </c>
      <c r="K1" s="15" t="s">
        <v>9</v>
      </c>
      <c r="L1" s="35"/>
      <c r="M1" s="35"/>
      <c r="N1" s="35"/>
      <c r="O1" s="35"/>
      <c r="P1" s="35"/>
      <c r="Q1" t="s">
        <v>25</v>
      </c>
    </row>
    <row r="2" spans="1:17" ht="15.6" x14ac:dyDescent="0.3">
      <c r="A2" s="3"/>
      <c r="B2" s="41" t="s">
        <v>10</v>
      </c>
      <c r="C2" s="54">
        <v>5.0000000000000002E-5</v>
      </c>
      <c r="D2" s="55">
        <v>2.1000000000000001E-4</v>
      </c>
      <c r="E2" s="7">
        <v>-7.92E-3</v>
      </c>
      <c r="F2" s="7">
        <v>-2.6669999999999999E-2</v>
      </c>
      <c r="G2" s="7">
        <v>0.29082999999999998</v>
      </c>
      <c r="H2" s="7">
        <v>0.58333000000000002</v>
      </c>
      <c r="I2" s="12">
        <v>-2</v>
      </c>
      <c r="J2" s="20"/>
      <c r="K2" s="16">
        <v>0.1</v>
      </c>
      <c r="L2" s="2"/>
      <c r="M2" s="2"/>
      <c r="N2" s="35"/>
      <c r="O2" s="35"/>
      <c r="P2" s="35"/>
    </row>
    <row r="3" spans="1:17" ht="15.6" x14ac:dyDescent="0.3">
      <c r="A3" s="18" t="s">
        <v>11</v>
      </c>
      <c r="B3" s="50">
        <v>-1.9975303123198536</v>
      </c>
      <c r="C3" s="5"/>
      <c r="D3" s="59">
        <f t="shared" ref="D3:I3" si="0">$B3*C5</f>
        <v>-9.9876515615992682E-5</v>
      </c>
      <c r="E3" s="66">
        <f t="shared" si="0"/>
        <v>-2.1997499815533668E-4</v>
      </c>
      <c r="F3" s="66">
        <f t="shared" si="0"/>
        <v>1.5459665440267587E-2</v>
      </c>
      <c r="G3" s="66">
        <f t="shared" si="0"/>
        <v>2.0630607904103902E-2</v>
      </c>
      <c r="H3" s="66">
        <f t="shared" si="0"/>
        <v>-0.49829369853202315</v>
      </c>
      <c r="I3" s="66">
        <f t="shared" si="0"/>
        <v>-4.5762080409750246E-3</v>
      </c>
      <c r="J3" s="5"/>
      <c r="K3" s="5"/>
      <c r="L3" s="30" t="s">
        <v>12</v>
      </c>
      <c r="M3" s="31">
        <f>B3^2+4*B4</f>
        <v>36.03695457877344</v>
      </c>
      <c r="N3" s="35"/>
      <c r="O3" s="35"/>
      <c r="P3" s="35"/>
      <c r="Q3" t="s">
        <v>26</v>
      </c>
    </row>
    <row r="4" spans="1:17" ht="16.2" thickBot="1" x14ac:dyDescent="0.35">
      <c r="A4" s="18" t="s">
        <v>13</v>
      </c>
      <c r="B4" s="42">
        <v>8.0117068075341962</v>
      </c>
      <c r="C4" s="9"/>
      <c r="D4" s="9"/>
      <c r="E4" s="60">
        <f>$B4*C5</f>
        <v>4.0058534037670985E-4</v>
      </c>
      <c r="F4" s="60">
        <f>$B4*D5</f>
        <v>8.822770695087372E-4</v>
      </c>
      <c r="G4" s="60">
        <f>$B4*E5</f>
        <v>-6.2005720807384784E-2</v>
      </c>
      <c r="H4" s="60">
        <f>$B4*F5</f>
        <v>-8.2745368503029562E-2</v>
      </c>
      <c r="I4" s="60">
        <f>$B4*G5</f>
        <v>1.9985594171254588</v>
      </c>
      <c r="J4" s="5"/>
      <c r="K4" s="5"/>
      <c r="L4" s="30" t="s">
        <v>14</v>
      </c>
      <c r="M4" s="17">
        <f>IF(M3&lt;0,B3/2,(B3+SQRT(M3))/2)</f>
        <v>2.002774223007596</v>
      </c>
      <c r="N4" s="2" t="str">
        <f>IF(M3&lt;0,"+","")</f>
        <v/>
      </c>
      <c r="O4" s="3" t="str">
        <f>IF(M3&lt;0,SQRT(ABS(M3))/2,"")</f>
        <v/>
      </c>
      <c r="P4" s="2" t="str">
        <f>IF(M3&lt;0,"i","")</f>
        <v/>
      </c>
      <c r="Q4" t="s">
        <v>27</v>
      </c>
    </row>
    <row r="5" spans="1:17" ht="15.6" x14ac:dyDescent="0.3">
      <c r="A5" s="18" t="s">
        <v>15</v>
      </c>
      <c r="B5" s="37">
        <f>SQRT(SUMSQ(B3:B4))</f>
        <v>8.2569711952099247</v>
      </c>
      <c r="C5" s="67">
        <f t="shared" ref="C5:I5" si="1">SUM(C2:C4)</f>
        <v>5.0000000000000002E-5</v>
      </c>
      <c r="D5" s="61">
        <f t="shared" si="1"/>
        <v>1.1012348438400733E-4</v>
      </c>
      <c r="E5" s="67">
        <f t="shared" si="1"/>
        <v>-7.7393896577786277E-3</v>
      </c>
      <c r="F5" s="61">
        <f t="shared" si="1"/>
        <v>-1.0328057490223676E-2</v>
      </c>
      <c r="G5" s="61">
        <f t="shared" si="1"/>
        <v>0.24945488709671912</v>
      </c>
      <c r="H5" s="62">
        <f t="shared" si="1"/>
        <v>2.2909329649472981E-3</v>
      </c>
      <c r="I5" s="62">
        <f t="shared" si="1"/>
        <v>-6.0167909155159904E-3</v>
      </c>
      <c r="J5" s="5"/>
      <c r="K5" s="5"/>
      <c r="L5" s="30" t="s">
        <v>16</v>
      </c>
      <c r="M5" s="17">
        <f>IF(M3&lt;0,M4,(B3-SQRT(M3))/2)</f>
        <v>-4.0003045353274498</v>
      </c>
      <c r="N5" s="33" t="str">
        <f>IF(M3&lt;0,"+","")</f>
        <v/>
      </c>
      <c r="O5" s="3" t="str">
        <f>IF(M3&lt;0,-O4,"")</f>
        <v/>
      </c>
      <c r="P5" s="33"/>
    </row>
    <row r="6" spans="1:17" ht="15.6" x14ac:dyDescent="0.3">
      <c r="A6" s="3"/>
      <c r="B6" s="3"/>
      <c r="C6" s="6"/>
      <c r="D6" s="6"/>
      <c r="E6" s="6"/>
      <c r="F6" s="6"/>
      <c r="G6" s="6"/>
      <c r="H6" s="6"/>
      <c r="I6" s="6"/>
      <c r="J6" s="3"/>
      <c r="K6" s="3"/>
      <c r="L6" s="35"/>
      <c r="M6" s="35"/>
      <c r="N6" s="35"/>
      <c r="O6" s="35"/>
      <c r="P6" s="35"/>
      <c r="Q6" t="s">
        <v>28</v>
      </c>
    </row>
    <row r="7" spans="1:17" ht="15.6" x14ac:dyDescent="0.3">
      <c r="A7" s="3"/>
      <c r="B7" s="41" t="s">
        <v>17</v>
      </c>
      <c r="C7" s="56">
        <f t="shared" ref="C7:I7" si="2">C2</f>
        <v>5.0000000000000002E-5</v>
      </c>
      <c r="D7" s="55">
        <f t="shared" si="2"/>
        <v>2.1000000000000001E-4</v>
      </c>
      <c r="E7" s="55">
        <f t="shared" si="2"/>
        <v>-7.92E-3</v>
      </c>
      <c r="F7" s="55">
        <f t="shared" si="2"/>
        <v>-2.6669999999999999E-2</v>
      </c>
      <c r="G7" s="55">
        <f t="shared" si="2"/>
        <v>0.29082999999999998</v>
      </c>
      <c r="H7" s="55">
        <f t="shared" si="2"/>
        <v>0.58333000000000002</v>
      </c>
      <c r="I7" s="55">
        <f t="shared" si="2"/>
        <v>-2</v>
      </c>
      <c r="J7" s="3"/>
      <c r="K7" s="3"/>
      <c r="L7" s="2"/>
      <c r="M7" s="32" t="s">
        <v>18</v>
      </c>
      <c r="N7" s="35"/>
      <c r="O7" s="35"/>
      <c r="P7" s="35"/>
    </row>
    <row r="8" spans="1:17" ht="15.6" x14ac:dyDescent="0.3">
      <c r="A8" s="18" t="s">
        <v>19</v>
      </c>
      <c r="B8" s="46">
        <f>-(H2+B9*F5)/G5</f>
        <v>-2.0064749726134781</v>
      </c>
      <c r="C8" s="5"/>
      <c r="D8" s="59">
        <f t="shared" ref="D8:I8" si="3">$B8*C10</f>
        <v>-1.0032374863067391E-4</v>
      </c>
      <c r="E8" s="59">
        <f t="shared" si="3"/>
        <v>-2.2006265346261752E-4</v>
      </c>
      <c r="F8" s="59">
        <f t="shared" si="3"/>
        <v>1.5528488167849196E-2</v>
      </c>
      <c r="G8" s="59">
        <f t="shared" si="3"/>
        <v>2.0590816344481438E-2</v>
      </c>
      <c r="H8" s="59">
        <f t="shared" si="3"/>
        <v>-0.50035870375069147</v>
      </c>
      <c r="I8" s="59">
        <f t="shared" si="3"/>
        <v>-1.393335501825882E-3</v>
      </c>
      <c r="J8" s="5"/>
      <c r="K8" s="5"/>
      <c r="L8" s="30" t="s">
        <v>12</v>
      </c>
      <c r="M8" s="31">
        <f>B8^2+4*B9</f>
        <v>36.095868739618219</v>
      </c>
      <c r="N8" s="35"/>
      <c r="O8" s="35"/>
      <c r="P8" s="35"/>
    </row>
    <row r="9" spans="1:17" ht="16.2" thickBot="1" x14ac:dyDescent="0.35">
      <c r="A9" s="18" t="s">
        <v>20</v>
      </c>
      <c r="B9" s="47">
        <f>-I2/G5</f>
        <v>8.0174817309734898</v>
      </c>
      <c r="C9" s="8"/>
      <c r="D9" s="9"/>
      <c r="E9" s="60">
        <f>$B9*C10</f>
        <v>4.0087408654867449E-4</v>
      </c>
      <c r="F9" s="60">
        <f>$B9*D10</f>
        <v>8.7932734167522821E-4</v>
      </c>
      <c r="G9" s="60">
        <f>$B9*E10</f>
        <v>-6.2048802947791443E-2</v>
      </c>
      <c r="H9" s="60">
        <f>$B9*F10</f>
        <v>-8.2276876672267407E-2</v>
      </c>
      <c r="I9" s="60">
        <f>$B9*G10</f>
        <v>1.9993355616240382</v>
      </c>
      <c r="J9" s="5"/>
      <c r="K9" s="5"/>
      <c r="L9" s="30" t="s">
        <v>14</v>
      </c>
      <c r="M9" s="18">
        <f>IF(M8&lt;0,B8/2,(B8+SQRT(M8))/2)</f>
        <v>2.0007543886663868</v>
      </c>
      <c r="N9" s="30" t="s">
        <v>29</v>
      </c>
      <c r="O9" s="17" t="str">
        <f>IF(M8&lt;0,SQRT(ABS(M8))/2,"")</f>
        <v/>
      </c>
      <c r="P9" s="30" t="str">
        <f>IF(M8&lt;0,"i","")</f>
        <v/>
      </c>
    </row>
    <row r="10" spans="1:17" ht="15.6" x14ac:dyDescent="0.3">
      <c r="A10" s="17" t="s">
        <v>15</v>
      </c>
      <c r="B10" s="37">
        <f>SQRT(SUMSQ(B8:B9))</f>
        <v>8.2647416851476923</v>
      </c>
      <c r="C10" s="61">
        <f t="shared" ref="C10:I10" si="4">SUM(C7:C9)</f>
        <v>5.0000000000000002E-5</v>
      </c>
      <c r="D10" s="61">
        <f t="shared" si="4"/>
        <v>1.096762513693261E-4</v>
      </c>
      <c r="E10" s="61">
        <f t="shared" si="4"/>
        <v>-7.739188566913943E-3</v>
      </c>
      <c r="F10" s="61">
        <f t="shared" si="4"/>
        <v>-1.0262184490475574E-2</v>
      </c>
      <c r="G10" s="61">
        <f t="shared" si="4"/>
        <v>0.24937201339668999</v>
      </c>
      <c r="H10" s="62">
        <f t="shared" si="4"/>
        <v>6.9441957704113877E-4</v>
      </c>
      <c r="I10" s="62">
        <f t="shared" si="4"/>
        <v>-2.0577738777878274E-3</v>
      </c>
      <c r="J10" s="59">
        <f>ABS(B10-B5)</f>
        <v>7.7704899377675218E-3</v>
      </c>
      <c r="K10" s="63">
        <f>ABS(J10/B10)*100</f>
        <v>9.4019755653484305E-2</v>
      </c>
      <c r="L10" s="30" t="s">
        <v>16</v>
      </c>
      <c r="M10" s="18">
        <f>IF(M8&lt;0,M9,(B8-SQRT(M8))/2)</f>
        <v>-4.0072293612798644</v>
      </c>
      <c r="N10" s="34" t="s">
        <v>29</v>
      </c>
      <c r="O10" s="17" t="str">
        <f>IF(M8&lt;0,-O9,"")</f>
        <v/>
      </c>
      <c r="P10" s="34" t="s">
        <v>21</v>
      </c>
    </row>
    <row r="11" spans="1:17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5"/>
      <c r="M11" s="35"/>
      <c r="N11" s="35"/>
      <c r="O11" s="35"/>
      <c r="P11" s="35"/>
    </row>
    <row r="12" spans="1:17" ht="15.6" x14ac:dyDescent="0.3">
      <c r="A12" s="3"/>
      <c r="B12" s="41" t="s">
        <v>22</v>
      </c>
      <c r="C12" s="54">
        <f t="shared" ref="C12:I12" si="5">C7</f>
        <v>5.0000000000000002E-5</v>
      </c>
      <c r="D12" s="57">
        <f t="shared" si="5"/>
        <v>2.1000000000000001E-4</v>
      </c>
      <c r="E12" s="55">
        <f t="shared" si="5"/>
        <v>-7.92E-3</v>
      </c>
      <c r="F12" s="55">
        <f t="shared" si="5"/>
        <v>-2.6669999999999999E-2</v>
      </c>
      <c r="G12" s="55">
        <f t="shared" si="5"/>
        <v>0.29082999999999998</v>
      </c>
      <c r="H12" s="55">
        <f t="shared" si="5"/>
        <v>0.58333000000000002</v>
      </c>
      <c r="I12" s="55">
        <f t="shared" si="5"/>
        <v>-2</v>
      </c>
      <c r="J12" s="3"/>
      <c r="K12" s="3"/>
      <c r="L12" s="35"/>
      <c r="M12" s="35"/>
      <c r="N12" s="35"/>
      <c r="O12" s="35"/>
      <c r="P12" s="35"/>
    </row>
    <row r="13" spans="1:17" ht="15.6" x14ac:dyDescent="0.3">
      <c r="A13" s="18" t="s">
        <v>11</v>
      </c>
      <c r="B13" s="48">
        <f>-(H7+B14*F10)/G10</f>
        <v>-2.0091499982786054</v>
      </c>
      <c r="C13" s="5"/>
      <c r="D13" s="63">
        <f t="shared" ref="D13:I13" si="6">$B13*C15</f>
        <v>-1.0045749991393027E-4</v>
      </c>
      <c r="E13" s="59">
        <f t="shared" si="6"/>
        <v>-2.2008731385936116E-4</v>
      </c>
      <c r="F13" s="59">
        <f t="shared" si="6"/>
        <v>1.5548972578699949E-2</v>
      </c>
      <c r="G13" s="59">
        <f t="shared" si="6"/>
        <v>2.0578679795412638E-2</v>
      </c>
      <c r="H13" s="59">
        <f t="shared" si="6"/>
        <v>-0.50096171548496438</v>
      </c>
      <c r="I13" s="59">
        <f t="shared" si="6"/>
        <v>-4.4621859398353897E-4</v>
      </c>
      <c r="J13" s="5"/>
      <c r="K13" s="5"/>
      <c r="L13" s="30" t="s">
        <v>12</v>
      </c>
      <c r="M13" s="31">
        <f>B13^2+4*B14</f>
        <v>36.117268425279079</v>
      </c>
      <c r="N13" s="35"/>
      <c r="O13" s="35"/>
      <c r="P13" s="35"/>
    </row>
    <row r="14" spans="1:17" ht="16.2" thickBot="1" x14ac:dyDescent="0.35">
      <c r="A14" s="18" t="s">
        <v>13</v>
      </c>
      <c r="B14" s="47">
        <f>-I7/G10</f>
        <v>8.0201461774240403</v>
      </c>
      <c r="C14" s="8"/>
      <c r="D14" s="9"/>
      <c r="E14" s="60">
        <f>$B14*C15</f>
        <v>4.0100730887120204E-4</v>
      </c>
      <c r="F14" s="60">
        <f>$B14*D15</f>
        <v>8.7854686333076486E-4</v>
      </c>
      <c r="G14" s="60">
        <f>$B14*E15</f>
        <v>-6.2068552918784603E-2</v>
      </c>
      <c r="H14" s="60">
        <f>$B14*F15</f>
        <v>-8.2146191294337409E-2</v>
      </c>
      <c r="I14" s="60">
        <f>$B14*G15</f>
        <v>1.9997442654480131</v>
      </c>
      <c r="J14" s="5"/>
      <c r="K14" s="5"/>
      <c r="L14" s="30" t="s">
        <v>14</v>
      </c>
      <c r="M14" s="18">
        <f>IF(M13&lt;0,B13/2,(B13+SQRT(M13))/2)</f>
        <v>2.00030721258211</v>
      </c>
      <c r="N14" s="30" t="s">
        <v>29</v>
      </c>
      <c r="O14" s="17" t="str">
        <f>IF(M13&lt;0,SQRT(ABS(M13))/2,"")</f>
        <v/>
      </c>
      <c r="P14" s="30" t="str">
        <f>IF(M13&lt;0,"i","")</f>
        <v/>
      </c>
    </row>
    <row r="15" spans="1:17" ht="15.6" x14ac:dyDescent="0.3">
      <c r="A15" s="18" t="s">
        <v>15</v>
      </c>
      <c r="B15" s="37">
        <f>SQRT(SUMSQ(B13:B14))</f>
        <v>8.267976077785443</v>
      </c>
      <c r="C15" s="61">
        <f t="shared" ref="C15:I15" si="7">SUM(C12:C14)</f>
        <v>5.0000000000000002E-5</v>
      </c>
      <c r="D15" s="64">
        <f t="shared" si="7"/>
        <v>1.0954250008606974E-4</v>
      </c>
      <c r="E15" s="61">
        <f t="shared" si="7"/>
        <v>-7.7390800049881589E-3</v>
      </c>
      <c r="F15" s="61">
        <f t="shared" si="7"/>
        <v>-1.0242480557969285E-2</v>
      </c>
      <c r="G15" s="61">
        <f t="shared" si="7"/>
        <v>0.24934012687662799</v>
      </c>
      <c r="H15" s="62">
        <f t="shared" si="7"/>
        <v>2.2209322069823012E-4</v>
      </c>
      <c r="I15" s="62">
        <f t="shared" si="7"/>
        <v>-7.0195314597043534E-4</v>
      </c>
      <c r="J15" s="65">
        <f>ABS(B15-B10)</f>
        <v>3.2343926377507159E-3</v>
      </c>
      <c r="K15" s="63">
        <f>ABS(J15/B15)*100</f>
        <v>3.9119520996691616E-2</v>
      </c>
      <c r="L15" s="30" t="s">
        <v>16</v>
      </c>
      <c r="M15" s="18">
        <f>IF(M13&lt;0,M14,(B13-SQRT(M13))/2)</f>
        <v>-4.0094572108607149</v>
      </c>
      <c r="N15" s="34" t="s">
        <v>29</v>
      </c>
      <c r="O15" s="17" t="str">
        <f>IF(M13&lt;0,-O14,"")</f>
        <v/>
      </c>
      <c r="P15" s="34" t="s">
        <v>21</v>
      </c>
    </row>
    <row r="16" spans="1:17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5"/>
      <c r="M16" s="35"/>
      <c r="N16" s="35"/>
      <c r="O16" s="35"/>
      <c r="P16" s="35"/>
    </row>
    <row r="17" spans="1:17" ht="15.6" x14ac:dyDescent="0.3">
      <c r="A17" s="3"/>
      <c r="B17" s="41" t="s">
        <v>23</v>
      </c>
      <c r="C17" s="54">
        <f t="shared" ref="C17:I17" si="8">C12</f>
        <v>5.0000000000000002E-5</v>
      </c>
      <c r="D17" s="58">
        <f t="shared" si="8"/>
        <v>2.1000000000000001E-4</v>
      </c>
      <c r="E17" s="58">
        <f t="shared" si="8"/>
        <v>-7.92E-3</v>
      </c>
      <c r="F17" s="58">
        <f t="shared" si="8"/>
        <v>-2.6669999999999999E-2</v>
      </c>
      <c r="G17" s="58">
        <f t="shared" si="8"/>
        <v>0.29082999999999998</v>
      </c>
      <c r="H17" s="58">
        <f t="shared" si="8"/>
        <v>0.58333000000000002</v>
      </c>
      <c r="I17" s="58">
        <f t="shared" si="8"/>
        <v>-2</v>
      </c>
      <c r="J17" s="3"/>
      <c r="K17" s="3"/>
      <c r="L17" s="35"/>
      <c r="M17" s="35"/>
      <c r="N17" s="35"/>
      <c r="O17" s="35"/>
      <c r="P17" s="35"/>
    </row>
    <row r="18" spans="1:17" ht="15.6" x14ac:dyDescent="0.3">
      <c r="A18" s="3" t="s">
        <v>19</v>
      </c>
      <c r="B18" s="46">
        <f>-(H12+B19*F15)/G15</f>
        <v>-2.009998590402021</v>
      </c>
      <c r="C18" s="5"/>
      <c r="D18" s="59">
        <f t="shared" ref="D18:I18" si="9">$B18*C20</f>
        <v>-1.0049992952010105E-4</v>
      </c>
      <c r="E18" s="66">
        <f t="shared" si="9"/>
        <v>-2.2009498731351886E-4</v>
      </c>
      <c r="F18" s="66">
        <f t="shared" si="9"/>
        <v>1.5555452247377173E-2</v>
      </c>
      <c r="G18" s="66">
        <f t="shared" si="9"/>
        <v>2.0574805605145744E-2</v>
      </c>
      <c r="H18" s="66">
        <f t="shared" si="9"/>
        <v>-0.50115026505294757</v>
      </c>
      <c r="I18" s="66">
        <f t="shared" si="9"/>
        <v>-1.4710042328978416E-4</v>
      </c>
      <c r="J18" s="5"/>
      <c r="K18" s="5"/>
      <c r="L18" s="30" t="s">
        <v>12</v>
      </c>
      <c r="M18" s="31">
        <f>B18^2+4*B19</f>
        <v>36.124781624679308</v>
      </c>
      <c r="N18" s="35"/>
      <c r="O18" s="35"/>
      <c r="P18" s="35"/>
    </row>
    <row r="19" spans="1:17" ht="16.2" thickBot="1" x14ac:dyDescent="0.35">
      <c r="A19" s="3" t="s">
        <v>20</v>
      </c>
      <c r="B19" s="47">
        <f>-I12/G15</f>
        <v>8.0211718228152993</v>
      </c>
      <c r="C19" s="8"/>
      <c r="D19" s="9"/>
      <c r="E19" s="60">
        <f>$B19*C20</f>
        <v>4.0105859114076501E-4</v>
      </c>
      <c r="F19" s="60">
        <f>$B19*D20</f>
        <v>8.7831887992965486E-4</v>
      </c>
      <c r="G19" s="60">
        <f>$B19*E20</f>
        <v>-6.2076140676722957E-2</v>
      </c>
      <c r="H19" s="60">
        <f>$B19*F20</f>
        <v>-8.2106550605534886E-2</v>
      </c>
      <c r="I19" s="60">
        <f>$B19*G20</f>
        <v>1.9999080617440217</v>
      </c>
      <c r="J19" s="5"/>
      <c r="K19" s="5"/>
      <c r="L19" s="30" t="s">
        <v>14</v>
      </c>
      <c r="M19" s="18">
        <f>IF(M18&lt;0,B18/2,(B18+SQRT(M18))/2)</f>
        <v>2.0001954416122008</v>
      </c>
      <c r="N19" s="30" t="s">
        <v>29</v>
      </c>
      <c r="O19" s="17" t="str">
        <f>IF(M18&lt;0,SQRT(ABS(M18))/2,"")</f>
        <v/>
      </c>
      <c r="P19" s="30" t="str">
        <f>IF(M18&lt;0,"i","")</f>
        <v/>
      </c>
    </row>
    <row r="20" spans="1:17" ht="15.6" x14ac:dyDescent="0.3">
      <c r="A20" s="3" t="s">
        <v>15</v>
      </c>
      <c r="B20" s="40">
        <f>SQRT(SUMSQ(B18:B19))</f>
        <v>8.2691772108562418</v>
      </c>
      <c r="C20" s="61">
        <f t="shared" ref="C20:I20" si="10">SUM(C17:C19)</f>
        <v>5.0000000000000002E-5</v>
      </c>
      <c r="D20" s="61">
        <f t="shared" si="10"/>
        <v>1.0950007047989895E-4</v>
      </c>
      <c r="E20" s="67">
        <f t="shared" si="10"/>
        <v>-7.7390363961727547E-3</v>
      </c>
      <c r="F20" s="61">
        <f t="shared" si="10"/>
        <v>-1.0236228872693171E-2</v>
      </c>
      <c r="G20" s="61">
        <f t="shared" si="10"/>
        <v>0.24932866492842276</v>
      </c>
      <c r="H20" s="62">
        <f t="shared" si="10"/>
        <v>7.3184341517554263E-5</v>
      </c>
      <c r="I20" s="68">
        <f t="shared" si="10"/>
        <v>-2.3903867926811095E-4</v>
      </c>
      <c r="J20" s="59">
        <f>ABS(B20-B15)</f>
        <v>1.2011330707988321E-3</v>
      </c>
      <c r="K20" s="59">
        <f>ABS(J20/B20)*100</f>
        <v>1.4525424237152843E-2</v>
      </c>
      <c r="L20" s="36" t="s">
        <v>16</v>
      </c>
      <c r="M20" s="18">
        <f>IF(M18&lt;0,M19,(B18-SQRT(M18))/2)</f>
        <v>-4.0101940320142218</v>
      </c>
      <c r="N20" s="34" t="s">
        <v>29</v>
      </c>
      <c r="O20" s="17" t="str">
        <f>IF(M18&lt;0,-O19,"")</f>
        <v/>
      </c>
      <c r="P20" s="34" t="s">
        <v>21</v>
      </c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5"/>
      <c r="M21" s="35"/>
      <c r="N21" s="35"/>
      <c r="O21" s="35"/>
      <c r="P21" s="35"/>
      <c r="Q21" s="1"/>
    </row>
    <row r="22" spans="1:17" ht="15.6" x14ac:dyDescent="0.3">
      <c r="A22" s="3"/>
      <c r="B22" s="41" t="s">
        <v>24</v>
      </c>
      <c r="C22" s="54">
        <f t="shared" ref="C22:I22" si="11">C17</f>
        <v>5.0000000000000002E-5</v>
      </c>
      <c r="D22" s="58">
        <f t="shared" si="11"/>
        <v>2.1000000000000001E-4</v>
      </c>
      <c r="E22" s="58">
        <f t="shared" si="11"/>
        <v>-7.92E-3</v>
      </c>
      <c r="F22" s="58">
        <f t="shared" si="11"/>
        <v>-2.6669999999999999E-2</v>
      </c>
      <c r="G22" s="58">
        <f t="shared" si="11"/>
        <v>0.29082999999999998</v>
      </c>
      <c r="H22" s="58">
        <f t="shared" si="11"/>
        <v>0.58333000000000002</v>
      </c>
      <c r="I22" s="58">
        <f t="shared" si="11"/>
        <v>-2</v>
      </c>
      <c r="J22" s="3"/>
      <c r="K22" s="3"/>
      <c r="L22" s="35"/>
      <c r="M22" s="35"/>
      <c r="N22" s="35"/>
      <c r="O22" s="35"/>
      <c r="P22" s="35"/>
    </row>
    <row r="23" spans="1:17" ht="15.6" x14ac:dyDescent="0.3">
      <c r="A23" s="3" t="s">
        <v>19</v>
      </c>
      <c r="B23" s="46">
        <f>-(H17+B24*F20)/G20</f>
        <v>-2.0102769771711144</v>
      </c>
      <c r="C23" s="5"/>
      <c r="D23" s="59">
        <f t="shared" ref="D23:I23" si="12">$B23*C25</f>
        <v>-1.0051384885855573E-4</v>
      </c>
      <c r="E23" s="66">
        <f t="shared" si="12"/>
        <v>-2.2009748895872235E-4</v>
      </c>
      <c r="F23" s="66">
        <f t="shared" si="12"/>
        <v>1.5557574657914379E-2</v>
      </c>
      <c r="G23" s="66">
        <f t="shared" si="12"/>
        <v>2.0573531889561583E-2</v>
      </c>
      <c r="H23" s="66">
        <f t="shared" si="12"/>
        <v>-0.50121163453969664</v>
      </c>
      <c r="I23" s="66">
        <f t="shared" si="12"/>
        <v>-4.9238848930594372E-5</v>
      </c>
      <c r="J23" s="5"/>
      <c r="K23" s="5"/>
      <c r="L23" s="39" t="s">
        <v>12</v>
      </c>
      <c r="M23" s="31">
        <f>B23^2+4*B24</f>
        <v>36.12737578910523</v>
      </c>
      <c r="N23" s="35"/>
      <c r="O23" s="35"/>
      <c r="P23" s="35"/>
    </row>
    <row r="24" spans="1:17" ht="16.2" thickBot="1" x14ac:dyDescent="0.35">
      <c r="A24" s="3" t="s">
        <v>20</v>
      </c>
      <c r="B24" s="47">
        <f>-I17/G20</f>
        <v>8.0215405660402492</v>
      </c>
      <c r="C24" s="8"/>
      <c r="D24" s="9"/>
      <c r="E24" s="60">
        <f>$B24*C25</f>
        <v>4.0107702830201249E-4</v>
      </c>
      <c r="F24" s="60">
        <f>$B24*D25</f>
        <v>8.7824760280070917E-4</v>
      </c>
      <c r="G24" s="60">
        <f>$B24*E25</f>
        <v>-6.2078866566573306E-2</v>
      </c>
      <c r="H24" s="60">
        <f>$B24*F25</f>
        <v>-8.2093871895740009E-2</v>
      </c>
      <c r="I24" s="60">
        <f>$B24*G25</f>
        <v>1.9999679170027589</v>
      </c>
      <c r="J24" s="5"/>
      <c r="K24" s="5"/>
      <c r="L24" s="30" t="s">
        <v>14</v>
      </c>
      <c r="M24" s="40">
        <f>IF(M23&lt;0,B23/2,(B23+SQRT(M23))/2)</f>
        <v>2.000164149631817</v>
      </c>
      <c r="N24" s="30" t="s">
        <v>29</v>
      </c>
      <c r="O24" s="17" t="str">
        <f>IF(M23&lt;0,SQRT(ABS(M23))/2,"")</f>
        <v/>
      </c>
      <c r="P24" s="30" t="str">
        <f>IF(M23&lt;0,"i","")</f>
        <v/>
      </c>
    </row>
    <row r="25" spans="1:17" ht="15.6" x14ac:dyDescent="0.3">
      <c r="A25" s="3" t="s">
        <v>15</v>
      </c>
      <c r="B25" s="40">
        <f>SQRT(SUMSQ(B23:B24))</f>
        <v>8.2696025646686042</v>
      </c>
      <c r="C25" s="61">
        <f t="shared" ref="C25:I25" si="13">SUM(C22:C24)</f>
        <v>5.0000000000000002E-5</v>
      </c>
      <c r="D25" s="61">
        <f t="shared" si="13"/>
        <v>1.0948615114144428E-4</v>
      </c>
      <c r="E25" s="61">
        <f t="shared" si="13"/>
        <v>-7.7390204606567108E-3</v>
      </c>
      <c r="F25" s="61">
        <f t="shared" si="13"/>
        <v>-1.0234177739284912E-2</v>
      </c>
      <c r="G25" s="61">
        <f t="shared" si="13"/>
        <v>0.24932466532298825</v>
      </c>
      <c r="H25" s="62">
        <f t="shared" si="13"/>
        <v>2.4493564563368708E-5</v>
      </c>
      <c r="I25" s="62">
        <f t="shared" si="13"/>
        <v>-8.1321846171711343E-5</v>
      </c>
      <c r="J25" s="59">
        <f>ABS(B25-B20)</f>
        <v>4.2535381236241676E-4</v>
      </c>
      <c r="K25" s="59">
        <f>ABS(J25/B25)*100</f>
        <v>5.14358228265668E-3</v>
      </c>
      <c r="L25" s="36" t="s">
        <v>16</v>
      </c>
      <c r="M25" s="17">
        <f>IF(M23&lt;0,M24,(B23-SQRT(M23))/2)</f>
        <v>-4.010441126802931</v>
      </c>
      <c r="N25" s="38" t="s">
        <v>29</v>
      </c>
      <c r="O25" s="37" t="str">
        <f>IF(M23&lt;0,-O24,"")</f>
        <v/>
      </c>
      <c r="P25" s="38" t="s">
        <v>21</v>
      </c>
    </row>
    <row r="26" spans="1:17" x14ac:dyDescent="0.3">
      <c r="J26" s="10"/>
      <c r="K26" s="10"/>
    </row>
  </sheetData>
  <conditionalFormatting sqref="B10">
    <cfRule type="expression" dxfId="36" priority="1">
      <formula>K10&lt;$K$2</formula>
    </cfRule>
  </conditionalFormatting>
  <conditionalFormatting sqref="B15">
    <cfRule type="expression" dxfId="35" priority="7">
      <formula>K15&lt;$K$2</formula>
    </cfRule>
    <cfRule type="expression" dxfId="34" priority="8">
      <formula>J15&lt;$J$2</formula>
    </cfRule>
  </conditionalFormatting>
  <conditionalFormatting sqref="B20">
    <cfRule type="expression" dxfId="33" priority="5">
      <formula>K20&lt;$K$2</formula>
    </cfRule>
    <cfRule type="expression" dxfId="32" priority="6">
      <formula>J20&lt;$J$2</formula>
    </cfRule>
  </conditionalFormatting>
  <conditionalFormatting sqref="B25">
    <cfRule type="expression" dxfId="31" priority="3">
      <formula>K25&lt;$K$2</formula>
    </cfRule>
    <cfRule type="expression" dxfId="30" priority="4">
      <formula>J25&lt;$J$2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F091-CBAE-4F4A-965D-D4FD21E52E36}">
  <dimension ref="A1:Q25"/>
  <sheetViews>
    <sheetView zoomScaleNormal="150" zoomScaleSheetLayoutView="100" workbookViewId="0"/>
  </sheetViews>
  <sheetFormatPr baseColWidth="10" defaultColWidth="8.88671875" defaultRowHeight="14.4" x14ac:dyDescent="0.3"/>
  <cols>
    <col min="2" max="2" width="10.44140625" bestFit="1" customWidth="1"/>
    <col min="3" max="4" width="9.5546875" bestFit="1" customWidth="1"/>
    <col min="5" max="5" width="10.44140625" bestFit="1" customWidth="1"/>
    <col min="6" max="6" width="10.88671875" bestFit="1" customWidth="1"/>
    <col min="7" max="7" width="10.44140625" bestFit="1" customWidth="1"/>
    <col min="8" max="8" width="11.88671875" bestFit="1" customWidth="1"/>
    <col min="9" max="9" width="9.5546875" bestFit="1" customWidth="1"/>
  </cols>
  <sheetData>
    <row r="1" spans="1:17" ht="15.6" x14ac:dyDescent="0.3">
      <c r="A1" s="11" t="s">
        <v>0</v>
      </c>
      <c r="B1" s="3"/>
      <c r="C1" s="18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9" t="s">
        <v>8</v>
      </c>
      <c r="K1" s="15" t="s">
        <v>9</v>
      </c>
      <c r="L1" s="35"/>
      <c r="M1" s="35"/>
      <c r="N1" s="35"/>
      <c r="O1" s="35"/>
      <c r="P1" s="35"/>
      <c r="Q1" t="s">
        <v>25</v>
      </c>
    </row>
    <row r="2" spans="1:17" ht="15.6" x14ac:dyDescent="0.3">
      <c r="A2" s="3"/>
      <c r="B2" s="41" t="s">
        <v>10</v>
      </c>
      <c r="C2" s="54">
        <v>0</v>
      </c>
      <c r="D2" s="55">
        <v>1</v>
      </c>
      <c r="E2" s="7">
        <v>-9</v>
      </c>
      <c r="F2" s="7">
        <v>25</v>
      </c>
      <c r="G2" s="7">
        <v>-5</v>
      </c>
      <c r="H2" s="7">
        <v>-26</v>
      </c>
      <c r="I2" s="12">
        <v>24</v>
      </c>
      <c r="J2" s="20"/>
      <c r="K2" s="16">
        <v>0.1</v>
      </c>
      <c r="L2" s="2"/>
      <c r="M2" s="2"/>
      <c r="N2" s="35"/>
      <c r="O2" s="35"/>
      <c r="P2" s="35"/>
    </row>
    <row r="3" spans="1:17" ht="15.6" x14ac:dyDescent="0.3">
      <c r="A3" s="18" t="s">
        <v>11</v>
      </c>
      <c r="B3" s="69">
        <v>1.707710415979365</v>
      </c>
      <c r="C3" s="5"/>
      <c r="D3" s="59">
        <f t="shared" ref="D3:I3" si="0">$B3*C5</f>
        <v>0</v>
      </c>
      <c r="E3" s="66">
        <f t="shared" si="0"/>
        <v>1.707710415979365</v>
      </c>
      <c r="F3" s="66">
        <f t="shared" si="0"/>
        <v>-12.453118878969869</v>
      </c>
      <c r="G3" s="66">
        <f t="shared" si="0"/>
        <v>19.597720317551662</v>
      </c>
      <c r="H3" s="66">
        <f t="shared" si="0"/>
        <v>38.264229454095975</v>
      </c>
      <c r="I3" s="66">
        <f t="shared" si="0"/>
        <v>-4.2667960459752609E-2</v>
      </c>
      <c r="J3" s="5"/>
      <c r="K3" s="5"/>
      <c r="L3" s="30" t="s">
        <v>12</v>
      </c>
      <c r="M3" s="31">
        <f>B3^2+4*B4</f>
        <v>-1.3671662707829748</v>
      </c>
      <c r="N3" s="35"/>
      <c r="O3" s="35"/>
      <c r="P3" s="35"/>
      <c r="Q3" t="s">
        <v>26</v>
      </c>
    </row>
    <row r="4" spans="1:17" ht="16.2" thickBot="1" x14ac:dyDescent="0.35">
      <c r="A4" s="18" t="s">
        <v>13</v>
      </c>
      <c r="B4" s="70">
        <v>-1.0708602839068477</v>
      </c>
      <c r="C4" s="9"/>
      <c r="D4" s="9"/>
      <c r="E4" s="60">
        <f>$B4*C5</f>
        <v>0</v>
      </c>
      <c r="F4" s="60">
        <f>$B4*D5</f>
        <v>-1.0708602839068477</v>
      </c>
      <c r="G4" s="60">
        <f>$B4*E5</f>
        <v>7.8090232942752857</v>
      </c>
      <c r="H4" s="60">
        <f>$B4*F5</f>
        <v>-12.289214931762739</v>
      </c>
      <c r="I4" s="60">
        <f>$B4*G5</f>
        <v>-23.994491825588952</v>
      </c>
      <c r="J4" s="5"/>
      <c r="K4" s="5"/>
      <c r="L4" s="30" t="s">
        <v>14</v>
      </c>
      <c r="M4" s="17">
        <f>IF(M3&lt;0,B3/2,(B3+SQRT(M3))/2)</f>
        <v>0.85385520798968251</v>
      </c>
      <c r="N4" s="2" t="str">
        <f>IF(M3&lt;0,"+","")</f>
        <v>+</v>
      </c>
      <c r="O4" s="3">
        <f>IF(M3&lt;0,SQRT(ABS(M3))/2,"")</f>
        <v>0.58462942766828263</v>
      </c>
      <c r="P4" s="2" t="str">
        <f>IF(M3&lt;0,"i","")</f>
        <v>i</v>
      </c>
      <c r="Q4" t="s">
        <v>27</v>
      </c>
    </row>
    <row r="5" spans="1:17" ht="15.6" x14ac:dyDescent="0.3">
      <c r="A5" s="18" t="s">
        <v>15</v>
      </c>
      <c r="B5" s="37">
        <f>SQRT(SUMSQ(B3:B4))</f>
        <v>2.0156925887876529</v>
      </c>
      <c r="C5" s="67">
        <f t="shared" ref="C5:I5" si="1">SUM(C2:C4)</f>
        <v>0</v>
      </c>
      <c r="D5" s="61">
        <f t="shared" si="1"/>
        <v>1</v>
      </c>
      <c r="E5" s="67">
        <f t="shared" si="1"/>
        <v>-7.2922895840206348</v>
      </c>
      <c r="F5" s="61">
        <f t="shared" si="1"/>
        <v>11.476020837123283</v>
      </c>
      <c r="G5" s="61">
        <f t="shared" si="1"/>
        <v>22.406743611826947</v>
      </c>
      <c r="H5" s="62">
        <f t="shared" si="1"/>
        <v>-2.4985477666763956E-2</v>
      </c>
      <c r="I5" s="62">
        <f t="shared" si="1"/>
        <v>-3.7159786048704291E-2</v>
      </c>
      <c r="J5" s="5"/>
      <c r="K5" s="5"/>
      <c r="L5" s="30" t="s">
        <v>16</v>
      </c>
      <c r="M5" s="17">
        <f>IF(M3&lt;0,M4,(B3-SQRT(M3))/2)</f>
        <v>0.85385520798968251</v>
      </c>
      <c r="N5" s="33" t="str">
        <f>IF(M3&lt;0,"+","")</f>
        <v>+</v>
      </c>
      <c r="O5" s="3">
        <f>IF(M3&lt;0,-O4,"")</f>
        <v>-0.58462942766828263</v>
      </c>
      <c r="P5" s="33"/>
    </row>
    <row r="6" spans="1:17" ht="15.6" x14ac:dyDescent="0.3">
      <c r="A6" s="3"/>
      <c r="B6" s="3"/>
      <c r="C6" s="6"/>
      <c r="D6" s="6"/>
      <c r="E6" s="6"/>
      <c r="F6" s="6"/>
      <c r="G6" s="6"/>
      <c r="H6" s="6"/>
      <c r="I6" s="6"/>
      <c r="J6" s="3"/>
      <c r="K6" s="3"/>
      <c r="L6" s="35"/>
      <c r="M6" s="35"/>
      <c r="N6" s="35"/>
      <c r="O6" s="35"/>
      <c r="P6" s="35"/>
      <c r="Q6" t="s">
        <v>28</v>
      </c>
    </row>
    <row r="7" spans="1:17" ht="15.6" x14ac:dyDescent="0.3">
      <c r="A7" s="3"/>
      <c r="B7" s="41" t="s">
        <v>17</v>
      </c>
      <c r="C7" s="56">
        <f t="shared" ref="C7:I7" si="2">C2</f>
        <v>0</v>
      </c>
      <c r="D7" s="55">
        <f t="shared" si="2"/>
        <v>1</v>
      </c>
      <c r="E7" s="55">
        <f t="shared" si="2"/>
        <v>-9</v>
      </c>
      <c r="F7" s="55">
        <f t="shared" si="2"/>
        <v>25</v>
      </c>
      <c r="G7" s="55">
        <f t="shared" si="2"/>
        <v>-5</v>
      </c>
      <c r="H7" s="55">
        <f t="shared" si="2"/>
        <v>-26</v>
      </c>
      <c r="I7" s="55">
        <f t="shared" si="2"/>
        <v>24</v>
      </c>
      <c r="J7" s="3"/>
      <c r="K7" s="3"/>
      <c r="L7" s="2"/>
      <c r="M7" s="32" t="s">
        <v>18</v>
      </c>
      <c r="N7" s="35"/>
      <c r="O7" s="35"/>
      <c r="P7" s="35"/>
    </row>
    <row r="8" spans="1:17" ht="15.6" x14ac:dyDescent="0.3">
      <c r="A8" s="18" t="s">
        <v>19</v>
      </c>
      <c r="B8" s="46">
        <f>-(H2+B9*F5)/G5</f>
        <v>1.7089514079658947</v>
      </c>
      <c r="C8" s="5"/>
      <c r="D8" s="59">
        <f t="shared" ref="D8:I8" si="3">$B8*C10</f>
        <v>0</v>
      </c>
      <c r="E8" s="59">
        <f t="shared" si="3"/>
        <v>1.7089514079658947</v>
      </c>
      <c r="F8" s="59">
        <f t="shared" si="3"/>
        <v>-12.460047756904439</v>
      </c>
      <c r="G8" s="59">
        <f t="shared" si="3"/>
        <v>19.599700745969766</v>
      </c>
      <c r="H8" s="59">
        <f t="shared" si="3"/>
        <v>38.29621243578471</v>
      </c>
      <c r="I8" s="59">
        <f t="shared" si="3"/>
        <v>2.0270320958015106E-2</v>
      </c>
      <c r="J8" s="5"/>
      <c r="K8" s="5"/>
      <c r="L8" s="30" t="s">
        <v>12</v>
      </c>
      <c r="M8" s="31">
        <f>B8^2+4*B9</f>
        <v>-1.3639095273837119</v>
      </c>
      <c r="N8" s="35"/>
      <c r="O8" s="35"/>
      <c r="P8" s="35"/>
    </row>
    <row r="9" spans="1:17" ht="16.2" thickBot="1" x14ac:dyDescent="0.35">
      <c r="A9" s="18" t="s">
        <v>20</v>
      </c>
      <c r="B9" s="47">
        <f>-I2/G5</f>
        <v>-1.0711061105430815</v>
      </c>
      <c r="C9" s="8"/>
      <c r="D9" s="9"/>
      <c r="E9" s="60">
        <f>$B9*C10</f>
        <v>0</v>
      </c>
      <c r="F9" s="60">
        <f>$B9*D10</f>
        <v>-1.0711061105430815</v>
      </c>
      <c r="G9" s="60">
        <f>$B9*E10</f>
        <v>7.8094866991942604</v>
      </c>
      <c r="H9" s="60">
        <f>$B9*F10</f>
        <v>-12.284351173455349</v>
      </c>
      <c r="I9" s="60">
        <f>$B9*G10</f>
        <v>-24.002617604820493</v>
      </c>
      <c r="J9" s="5"/>
      <c r="K9" s="5"/>
      <c r="L9" s="30" t="s">
        <v>14</v>
      </c>
      <c r="M9" s="18">
        <f>IF(M8&lt;0,B8/2,(B8+SQRT(M8))/2)</f>
        <v>0.85447570398294737</v>
      </c>
      <c r="N9" s="30" t="s">
        <v>29</v>
      </c>
      <c r="O9" s="17">
        <f>IF(M8&lt;0,SQRT(ABS(M8))/2,"")</f>
        <v>0.58393268605715842</v>
      </c>
      <c r="P9" s="30" t="str">
        <f>IF(M8&lt;0,"i","")</f>
        <v>i</v>
      </c>
    </row>
    <row r="10" spans="1:17" ht="15.6" x14ac:dyDescent="0.3">
      <c r="A10" s="17" t="s">
        <v>15</v>
      </c>
      <c r="B10" s="37">
        <f>SQRT(SUMSQ(B8:B9))</f>
        <v>2.0168746155453845</v>
      </c>
      <c r="C10" s="61">
        <f t="shared" ref="C10:I10" si="4">SUM(C7:C9)</f>
        <v>0</v>
      </c>
      <c r="D10" s="61">
        <f t="shared" si="4"/>
        <v>1</v>
      </c>
      <c r="E10" s="61">
        <f t="shared" si="4"/>
        <v>-7.2910485920341053</v>
      </c>
      <c r="F10" s="61">
        <f t="shared" si="4"/>
        <v>11.46884613255248</v>
      </c>
      <c r="G10" s="61">
        <f t="shared" si="4"/>
        <v>22.409187445164026</v>
      </c>
      <c r="H10" s="62">
        <f t="shared" si="4"/>
        <v>1.1861262329361466E-2</v>
      </c>
      <c r="I10" s="62">
        <f t="shared" si="4"/>
        <v>1.7652716137522617E-2</v>
      </c>
      <c r="J10" s="59">
        <f>ABS(B10-B5)</f>
        <v>1.1820267577316024E-3</v>
      </c>
      <c r="K10" s="63">
        <f>ABS(J10/B10)*100</f>
        <v>5.8606853823283886E-2</v>
      </c>
      <c r="L10" s="30" t="s">
        <v>16</v>
      </c>
      <c r="M10" s="18">
        <f>IF(M8&lt;0,M9,(B8-SQRT(M8))/2)</f>
        <v>0.85447570398294737</v>
      </c>
      <c r="N10" s="34" t="s">
        <v>29</v>
      </c>
      <c r="O10" s="17">
        <f>IF(M8&lt;0,-O9,"")</f>
        <v>-0.58393268605715842</v>
      </c>
      <c r="P10" s="34" t="s">
        <v>21</v>
      </c>
    </row>
    <row r="11" spans="1:17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5"/>
      <c r="M11" s="35"/>
      <c r="N11" s="35"/>
      <c r="O11" s="35"/>
      <c r="P11" s="35"/>
    </row>
    <row r="12" spans="1:17" ht="15.6" x14ac:dyDescent="0.3">
      <c r="A12" s="3"/>
      <c r="B12" s="41" t="s">
        <v>22</v>
      </c>
      <c r="C12" s="54">
        <f t="shared" ref="C12:I12" si="5">C7</f>
        <v>0</v>
      </c>
      <c r="D12" s="57">
        <f t="shared" si="5"/>
        <v>1</v>
      </c>
      <c r="E12" s="55">
        <f t="shared" si="5"/>
        <v>-9</v>
      </c>
      <c r="F12" s="55">
        <f t="shared" si="5"/>
        <v>25</v>
      </c>
      <c r="G12" s="55">
        <f t="shared" si="5"/>
        <v>-5</v>
      </c>
      <c r="H12" s="55">
        <f t="shared" si="5"/>
        <v>-26</v>
      </c>
      <c r="I12" s="55">
        <f t="shared" si="5"/>
        <v>24</v>
      </c>
      <c r="J12" s="3"/>
      <c r="K12" s="3"/>
      <c r="L12" s="35"/>
      <c r="M12" s="35"/>
      <c r="N12" s="35"/>
      <c r="O12" s="35"/>
      <c r="P12" s="35"/>
    </row>
    <row r="13" spans="1:17" ht="15.6" x14ac:dyDescent="0.3">
      <c r="A13" s="18" t="s">
        <v>11</v>
      </c>
      <c r="B13" s="48">
        <f>-(H7+B14*F10)/G10</f>
        <v>1.7083623222638757</v>
      </c>
      <c r="C13" s="5"/>
      <c r="D13" s="63">
        <f t="shared" ref="D13:I13" si="6">$B13*C15</f>
        <v>0</v>
      </c>
      <c r="E13" s="59">
        <f t="shared" si="6"/>
        <v>1.7083623222638757</v>
      </c>
      <c r="F13" s="59">
        <f t="shared" si="6"/>
        <v>-12.45675907624406</v>
      </c>
      <c r="G13" s="59">
        <f t="shared" si="6"/>
        <v>19.598762423684793</v>
      </c>
      <c r="H13" s="59">
        <f t="shared" si="6"/>
        <v>38.281031373278473</v>
      </c>
      <c r="I13" s="59">
        <f t="shared" si="6"/>
        <v>-9.613593816911745E-3</v>
      </c>
      <c r="J13" s="5"/>
      <c r="K13" s="5"/>
      <c r="L13" s="30" t="s">
        <v>12</v>
      </c>
      <c r="M13" s="31">
        <f>B13^2+4*B14</f>
        <v>-1.3654553802486298</v>
      </c>
      <c r="N13" s="35"/>
      <c r="O13" s="35"/>
      <c r="P13" s="35"/>
    </row>
    <row r="14" spans="1:17" ht="16.2" thickBot="1" x14ac:dyDescent="0.35">
      <c r="A14" s="18" t="s">
        <v>13</v>
      </c>
      <c r="B14" s="47">
        <f>-I7/G10</f>
        <v>-1.070989301094863</v>
      </c>
      <c r="C14" s="8"/>
      <c r="D14" s="9"/>
      <c r="E14" s="60">
        <f>$B14*C15</f>
        <v>0</v>
      </c>
      <c r="F14" s="60">
        <f>$B14*D15</f>
        <v>-1.070989301094863</v>
      </c>
      <c r="G14" s="60">
        <f>$B14*E15</f>
        <v>7.8092659403155817</v>
      </c>
      <c r="H14" s="60">
        <f>$B14*F15</f>
        <v>-12.286658747338194</v>
      </c>
      <c r="I14" s="60">
        <f>$B14*G15</f>
        <v>-23.998758636474626</v>
      </c>
      <c r="J14" s="5"/>
      <c r="K14" s="5"/>
      <c r="L14" s="30" t="s">
        <v>14</v>
      </c>
      <c r="M14" s="18">
        <f>IF(M13&lt;0,B13/2,(B13+SQRT(M13))/2)</f>
        <v>0.85418116113193787</v>
      </c>
      <c r="N14" s="30" t="s">
        <v>29</v>
      </c>
      <c r="O14" s="17">
        <f>IF(M13&lt;0,SQRT(ABS(M13))/2,"")</f>
        <v>0.58426350652950887</v>
      </c>
      <c r="P14" s="30" t="str">
        <f>IF(M13&lt;0,"i","")</f>
        <v>i</v>
      </c>
    </row>
    <row r="15" spans="1:17" ht="15.6" x14ac:dyDescent="0.3">
      <c r="A15" s="18" t="s">
        <v>15</v>
      </c>
      <c r="B15" s="37">
        <f>SQRT(SUMSQ(B13:B14))</f>
        <v>2.0163134446783033</v>
      </c>
      <c r="C15" s="61">
        <f t="shared" ref="C15:I15" si="7">SUM(C12:C14)</f>
        <v>0</v>
      </c>
      <c r="D15" s="64">
        <f t="shared" si="7"/>
        <v>1</v>
      </c>
      <c r="E15" s="61">
        <f t="shared" si="7"/>
        <v>-7.2916376777361247</v>
      </c>
      <c r="F15" s="61">
        <f t="shared" si="7"/>
        <v>11.472251622661076</v>
      </c>
      <c r="G15" s="61">
        <f t="shared" si="7"/>
        <v>22.408028364000373</v>
      </c>
      <c r="H15" s="62">
        <f t="shared" si="7"/>
        <v>-5.6273740597205801E-3</v>
      </c>
      <c r="I15" s="62">
        <f t="shared" si="7"/>
        <v>-8.3722302915383295E-3</v>
      </c>
      <c r="J15" s="65">
        <f>ABS(B15-B10)</f>
        <v>5.6117086708118435E-4</v>
      </c>
      <c r="K15" s="63">
        <f>ABS(J15/B15)*100</f>
        <v>2.7831529297307121E-2</v>
      </c>
      <c r="L15" s="30" t="s">
        <v>16</v>
      </c>
      <c r="M15" s="18">
        <f>IF(M13&lt;0,M14,(B13-SQRT(M13))/2)</f>
        <v>0.85418116113193787</v>
      </c>
      <c r="N15" s="34" t="s">
        <v>29</v>
      </c>
      <c r="O15" s="17">
        <f>IF(M13&lt;0,-O14,"")</f>
        <v>-0.58426350652950887</v>
      </c>
      <c r="P15" s="34" t="s">
        <v>21</v>
      </c>
    </row>
    <row r="16" spans="1:17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5"/>
      <c r="M16" s="35"/>
      <c r="N16" s="35"/>
      <c r="O16" s="35"/>
      <c r="P16" s="35"/>
    </row>
    <row r="17" spans="1:17" ht="15.6" x14ac:dyDescent="0.3">
      <c r="A17" s="3"/>
      <c r="B17" s="41" t="s">
        <v>23</v>
      </c>
      <c r="C17" s="54">
        <f t="shared" ref="C17:I17" si="8">C12</f>
        <v>0</v>
      </c>
      <c r="D17" s="58">
        <f t="shared" si="8"/>
        <v>1</v>
      </c>
      <c r="E17" s="58">
        <f t="shared" si="8"/>
        <v>-9</v>
      </c>
      <c r="F17" s="58">
        <f t="shared" si="8"/>
        <v>25</v>
      </c>
      <c r="G17" s="58">
        <f t="shared" si="8"/>
        <v>-5</v>
      </c>
      <c r="H17" s="58">
        <f t="shared" si="8"/>
        <v>-26</v>
      </c>
      <c r="I17" s="58">
        <f t="shared" si="8"/>
        <v>24</v>
      </c>
      <c r="J17" s="3"/>
      <c r="K17" s="3"/>
      <c r="L17" s="35"/>
      <c r="M17" s="35"/>
      <c r="N17" s="35"/>
      <c r="O17" s="35"/>
      <c r="P17" s="35"/>
    </row>
    <row r="18" spans="1:17" ht="15.6" x14ac:dyDescent="0.3">
      <c r="A18" s="3" t="s">
        <v>19</v>
      </c>
      <c r="B18" s="46">
        <f>-(H12+B19*F15)/G15</f>
        <v>1.7086418165407102</v>
      </c>
      <c r="C18" s="5"/>
      <c r="D18" s="59">
        <f t="shared" ref="D18:I18" si="9">$B18*C20</f>
        <v>0</v>
      </c>
      <c r="E18" s="66">
        <f t="shared" si="9"/>
        <v>1.7086418165407102</v>
      </c>
      <c r="F18" s="66">
        <f t="shared" si="9"/>
        <v>-12.458319491634853</v>
      </c>
      <c r="G18" s="66">
        <f t="shared" si="9"/>
        <v>19.599208005756275</v>
      </c>
      <c r="H18" s="66">
        <f t="shared" si="9"/>
        <v>38.28823434014167</v>
      </c>
      <c r="I18" s="66">
        <f t="shared" si="9"/>
        <v>4.5632008721797415E-3</v>
      </c>
      <c r="J18" s="5"/>
      <c r="K18" s="5"/>
      <c r="L18" s="30" t="s">
        <v>12</v>
      </c>
      <c r="M18" s="31">
        <f>B18^2+4*B19</f>
        <v>-1.3647219397851971</v>
      </c>
      <c r="N18" s="35"/>
      <c r="O18" s="35"/>
      <c r="P18" s="35"/>
    </row>
    <row r="19" spans="1:17" ht="16.2" thickBot="1" x14ac:dyDescent="0.35">
      <c r="A19" s="3" t="s">
        <v>20</v>
      </c>
      <c r="B19" s="47">
        <f>-I12/G15</f>
        <v>-1.0710446992541838</v>
      </c>
      <c r="C19" s="8"/>
      <c r="D19" s="9"/>
      <c r="E19" s="60">
        <f>$B19*C20</f>
        <v>0</v>
      </c>
      <c r="F19" s="60">
        <f>$B19*D20</f>
        <v>-1.0710446992541838</v>
      </c>
      <c r="G19" s="60">
        <f>$B19*E20</f>
        <v>7.8093705327576863</v>
      </c>
      <c r="H19" s="60">
        <f>$B19*F20</f>
        <v>-12.285563680423522</v>
      </c>
      <c r="I19" s="60">
        <f>$B19*G20</f>
        <v>-24.000589261496444</v>
      </c>
      <c r="J19" s="5"/>
      <c r="K19" s="5"/>
      <c r="L19" s="30" t="s">
        <v>14</v>
      </c>
      <c r="M19" s="18">
        <f>IF(M18&lt;0,B18/2,(B18+SQRT(M18))/2)</f>
        <v>0.85432090827035512</v>
      </c>
      <c r="N19" s="30" t="s">
        <v>29</v>
      </c>
      <c r="O19" s="17">
        <f>IF(M18&lt;0,SQRT(ABS(M18))/2,"")</f>
        <v>0.58410656985373766</v>
      </c>
      <c r="P19" s="30" t="str">
        <f>IF(M18&lt;0,"i","")</f>
        <v>i</v>
      </c>
    </row>
    <row r="20" spans="1:17" ht="15.6" x14ac:dyDescent="0.3">
      <c r="A20" s="3" t="s">
        <v>15</v>
      </c>
      <c r="B20" s="40">
        <f>SQRT(SUMSQ(B18:B19))</f>
        <v>2.0165796798123359</v>
      </c>
      <c r="C20" s="61">
        <f t="shared" ref="C20:I20" si="10">SUM(C17:C19)</f>
        <v>0</v>
      </c>
      <c r="D20" s="61">
        <f t="shared" si="10"/>
        <v>1</v>
      </c>
      <c r="E20" s="67">
        <f t="shared" si="10"/>
        <v>-7.2913581834592893</v>
      </c>
      <c r="F20" s="61">
        <f t="shared" si="10"/>
        <v>11.470635809110963</v>
      </c>
      <c r="G20" s="61">
        <f t="shared" si="10"/>
        <v>22.408578538513961</v>
      </c>
      <c r="H20" s="62">
        <f t="shared" si="10"/>
        <v>2.6706597181487268E-3</v>
      </c>
      <c r="I20" s="68">
        <f t="shared" si="10"/>
        <v>3.9739393757365349E-3</v>
      </c>
      <c r="J20" s="59">
        <f>ABS(B20-B15)</f>
        <v>2.6623513403256638E-4</v>
      </c>
      <c r="K20" s="59">
        <f>ABS(J20/B20)*100</f>
        <v>1.3202311651644847E-2</v>
      </c>
      <c r="L20" s="36" t="s">
        <v>16</v>
      </c>
      <c r="M20" s="18">
        <f>IF(M18&lt;0,M19,(B18-SQRT(M18))/2)</f>
        <v>0.85432090827035512</v>
      </c>
      <c r="N20" s="34" t="s">
        <v>29</v>
      </c>
      <c r="O20" s="17">
        <f>IF(M18&lt;0,-O19,"")</f>
        <v>-0.58410656985373766</v>
      </c>
      <c r="P20" s="34" t="s">
        <v>21</v>
      </c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5"/>
      <c r="M21" s="35"/>
      <c r="N21" s="35"/>
      <c r="O21" s="35"/>
      <c r="P21" s="35"/>
      <c r="Q21" s="1"/>
    </row>
    <row r="22" spans="1:17" ht="15.6" x14ac:dyDescent="0.3">
      <c r="A22" s="3"/>
      <c r="B22" s="41" t="s">
        <v>24</v>
      </c>
      <c r="C22" s="54">
        <f t="shared" ref="C22:I22" si="11">C17</f>
        <v>0</v>
      </c>
      <c r="D22" s="58">
        <f t="shared" si="11"/>
        <v>1</v>
      </c>
      <c r="E22" s="58">
        <f t="shared" si="11"/>
        <v>-9</v>
      </c>
      <c r="F22" s="58">
        <f t="shared" si="11"/>
        <v>25</v>
      </c>
      <c r="G22" s="58">
        <f t="shared" si="11"/>
        <v>-5</v>
      </c>
      <c r="H22" s="58">
        <f t="shared" si="11"/>
        <v>-26</v>
      </c>
      <c r="I22" s="58">
        <f t="shared" si="11"/>
        <v>24</v>
      </c>
      <c r="J22" s="3"/>
      <c r="K22" s="3"/>
      <c r="L22" s="35"/>
      <c r="M22" s="35"/>
      <c r="N22" s="35"/>
      <c r="O22" s="35"/>
      <c r="P22" s="35"/>
    </row>
    <row r="23" spans="1:17" ht="15.6" x14ac:dyDescent="0.3">
      <c r="A23" s="3" t="s">
        <v>19</v>
      </c>
      <c r="B23" s="46">
        <f>-(H17+B24*F20)/G20</f>
        <v>1.7085091756248474</v>
      </c>
      <c r="C23" s="5"/>
      <c r="D23" s="59">
        <f t="shared" ref="D23:I23" si="12">$B23*C25</f>
        <v>0</v>
      </c>
      <c r="E23" s="66">
        <f t="shared" si="12"/>
        <v>1.7085091756248474</v>
      </c>
      <c r="F23" s="66">
        <f t="shared" si="12"/>
        <v>-12.45757897742933</v>
      </c>
      <c r="G23" s="66">
        <f t="shared" si="12"/>
        <v>19.598996632809623</v>
      </c>
      <c r="H23" s="66">
        <f t="shared" si="12"/>
        <v>38.284816043824691</v>
      </c>
      <c r="I23" s="66">
        <f t="shared" si="12"/>
        <v>-2.165142494362639E-3</v>
      </c>
      <c r="J23" s="5"/>
      <c r="K23" s="5"/>
      <c r="L23" s="39" t="s">
        <v>12</v>
      </c>
      <c r="M23" s="31">
        <f>B23^2+4*B24</f>
        <v>-1.3650700088379608</v>
      </c>
      <c r="N23" s="35"/>
      <c r="O23" s="35"/>
      <c r="P23" s="35"/>
    </row>
    <row r="24" spans="1:17" ht="16.2" thickBot="1" x14ac:dyDescent="0.35">
      <c r="A24" s="3" t="s">
        <v>20</v>
      </c>
      <c r="B24" s="47">
        <f>-I17/G20</f>
        <v>-1.0710184030080641</v>
      </c>
      <c r="C24" s="8"/>
      <c r="D24" s="9"/>
      <c r="E24" s="60">
        <f>$B24*C25</f>
        <v>0</v>
      </c>
      <c r="F24" s="60">
        <f>$B24*D25</f>
        <v>-1.0710184030080641</v>
      </c>
      <c r="G24" s="60">
        <f>$B24*E25</f>
        <v>7.8093208582702287</v>
      </c>
      <c r="H24" s="60">
        <f>$B24*F25</f>
        <v>-12.286083313866463</v>
      </c>
      <c r="I24" s="60">
        <f>$B24*G25</f>
        <v>-23.999720413394012</v>
      </c>
      <c r="J24" s="5"/>
      <c r="K24" s="5"/>
      <c r="L24" s="30" t="s">
        <v>14</v>
      </c>
      <c r="M24" s="40">
        <f>IF(M23&lt;0,B23/2,(B23+SQRT(M23))/2)</f>
        <v>0.85425458781242369</v>
      </c>
      <c r="N24" s="30" t="s">
        <v>29</v>
      </c>
      <c r="O24" s="17">
        <f>IF(M23&lt;0,SQRT(ABS(M23))/2,"")</f>
        <v>0.5841810525937059</v>
      </c>
      <c r="P24" s="30" t="str">
        <f>IF(M23&lt;0,"i","")</f>
        <v>i</v>
      </c>
    </row>
    <row r="25" spans="1:17" ht="15.6" x14ac:dyDescent="0.3">
      <c r="A25" s="3" t="s">
        <v>15</v>
      </c>
      <c r="B25" s="40">
        <f>SQRT(SUMSQ(B23:B24))</f>
        <v>2.0164533276959919</v>
      </c>
      <c r="C25" s="61">
        <f t="shared" ref="C25:I25" si="13">SUM(C22:C24)</f>
        <v>0</v>
      </c>
      <c r="D25" s="61">
        <f t="shared" si="13"/>
        <v>1</v>
      </c>
      <c r="E25" s="61">
        <f t="shared" si="13"/>
        <v>-7.2914908243751526</v>
      </c>
      <c r="F25" s="61">
        <f t="shared" si="13"/>
        <v>11.471402619562605</v>
      </c>
      <c r="G25" s="61">
        <f t="shared" si="13"/>
        <v>22.408317491079853</v>
      </c>
      <c r="H25" s="62">
        <f t="shared" si="13"/>
        <v>-1.2672700417724059E-3</v>
      </c>
      <c r="I25" s="62">
        <f t="shared" si="13"/>
        <v>-1.8855558883750234E-3</v>
      </c>
      <c r="J25" s="59">
        <f>ABS(B25-B20)</f>
        <v>1.2635211634393073E-4</v>
      </c>
      <c r="K25" s="59">
        <f>ABS(J25/B25)*100</f>
        <v>6.2660570720127302E-3</v>
      </c>
      <c r="L25" s="36" t="s">
        <v>16</v>
      </c>
      <c r="M25" s="17">
        <f>IF(M23&lt;0,M24,(B23-SQRT(M23))/2)</f>
        <v>0.85425458781242369</v>
      </c>
      <c r="N25" s="38" t="s">
        <v>29</v>
      </c>
      <c r="O25" s="37">
        <f>IF(M23&lt;0,-O24,"")</f>
        <v>-0.5841810525937059</v>
      </c>
      <c r="P25" s="38" t="s">
        <v>21</v>
      </c>
    </row>
  </sheetData>
  <conditionalFormatting sqref="B10">
    <cfRule type="expression" dxfId="29" priority="1">
      <formula>K10&lt;$K$2</formula>
    </cfRule>
  </conditionalFormatting>
  <conditionalFormatting sqref="B15">
    <cfRule type="expression" dxfId="28" priority="6">
      <formula>K15&lt;$K$2</formula>
    </cfRule>
    <cfRule type="expression" dxfId="27" priority="7">
      <formula>J15&lt;$J$2</formula>
    </cfRule>
  </conditionalFormatting>
  <conditionalFormatting sqref="B20">
    <cfRule type="expression" dxfId="26" priority="4">
      <formula>K20&lt;$K$2</formula>
    </cfRule>
    <cfRule type="expression" dxfId="25" priority="5">
      <formula>J20&lt;$J$2</formula>
    </cfRule>
  </conditionalFormatting>
  <conditionalFormatting sqref="B25">
    <cfRule type="expression" dxfId="24" priority="2">
      <formula>K25&lt;$K$2</formula>
    </cfRule>
    <cfRule type="expression" dxfId="23" priority="3">
      <formula>J25&lt;$J$2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821C-100E-4CD9-B3C3-03D21BA8B526}">
  <dimension ref="A1:Q29"/>
  <sheetViews>
    <sheetView zoomScaleNormal="150" zoomScaleSheetLayoutView="100" workbookViewId="0"/>
  </sheetViews>
  <sheetFormatPr baseColWidth="10" defaultColWidth="8.88671875" defaultRowHeight="14.4" x14ac:dyDescent="0.3"/>
  <cols>
    <col min="3" max="6" width="10.88671875" bestFit="1" customWidth="1"/>
  </cols>
  <sheetData>
    <row r="1" spans="1:16" ht="15.6" x14ac:dyDescent="0.3">
      <c r="A1" s="11" t="s">
        <v>0</v>
      </c>
      <c r="B1" s="3"/>
      <c r="C1" s="18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9" t="s">
        <v>8</v>
      </c>
      <c r="K1" s="15" t="s">
        <v>9</v>
      </c>
      <c r="L1" s="35"/>
      <c r="M1" s="35"/>
      <c r="N1" s="35"/>
      <c r="O1" s="35"/>
      <c r="P1" s="35"/>
    </row>
    <row r="2" spans="1:16" ht="15.6" x14ac:dyDescent="0.3">
      <c r="A2" s="3"/>
      <c r="B2" s="41" t="s">
        <v>10</v>
      </c>
      <c r="C2" s="54">
        <v>0</v>
      </c>
      <c r="D2" s="55">
        <v>0</v>
      </c>
      <c r="E2" s="7">
        <v>0</v>
      </c>
      <c r="F2" s="7">
        <v>1</v>
      </c>
      <c r="G2" s="12">
        <v>-7.2914908243751526</v>
      </c>
      <c r="H2" s="12">
        <v>11.471402619562605</v>
      </c>
      <c r="I2" s="12">
        <v>22.408317491079853</v>
      </c>
      <c r="J2" s="20">
        <v>0.01</v>
      </c>
      <c r="K2" s="16">
        <v>0.1</v>
      </c>
      <c r="L2" s="2"/>
      <c r="M2" s="2"/>
      <c r="N2" s="35"/>
      <c r="O2" s="35"/>
      <c r="P2" s="35"/>
    </row>
    <row r="3" spans="1:16" ht="15.6" x14ac:dyDescent="0.3">
      <c r="A3" s="17" t="s">
        <v>11</v>
      </c>
      <c r="B3" s="42"/>
      <c r="C3" s="3"/>
      <c r="D3" s="17">
        <f t="shared" ref="D3:I3" si="0">$B3*C5</f>
        <v>0</v>
      </c>
      <c r="E3" s="17">
        <f t="shared" si="0"/>
        <v>0</v>
      </c>
      <c r="F3" s="17">
        <f t="shared" si="0"/>
        <v>0</v>
      </c>
      <c r="G3" s="17">
        <f t="shared" si="0"/>
        <v>0</v>
      </c>
      <c r="H3" s="17">
        <f t="shared" si="0"/>
        <v>0</v>
      </c>
      <c r="I3" s="17">
        <f t="shared" si="0"/>
        <v>0</v>
      </c>
      <c r="J3" s="3"/>
      <c r="K3" s="3"/>
      <c r="L3" s="30" t="s">
        <v>12</v>
      </c>
      <c r="M3" s="31">
        <f>B3^2+4*B4</f>
        <v>24.530843656748203</v>
      </c>
      <c r="N3" s="35"/>
      <c r="O3" s="35"/>
      <c r="P3" s="35"/>
    </row>
    <row r="4" spans="1:16" ht="16.2" thickBot="1" x14ac:dyDescent="0.35">
      <c r="A4" s="17" t="s">
        <v>13</v>
      </c>
      <c r="B4" s="42">
        <v>6.1327109141870508</v>
      </c>
      <c r="C4" s="4"/>
      <c r="D4" s="4"/>
      <c r="E4" s="44">
        <f>$B4*C5</f>
        <v>0</v>
      </c>
      <c r="F4" s="44">
        <f>$B4*D5</f>
        <v>0</v>
      </c>
      <c r="G4" s="44">
        <f>$B4*E5</f>
        <v>0</v>
      </c>
      <c r="H4" s="44">
        <f>$B4*F5</f>
        <v>6.1327109141870508</v>
      </c>
      <c r="I4" s="44">
        <f>$B4*G5</f>
        <v>-44.716605359340235</v>
      </c>
      <c r="J4" s="3"/>
      <c r="K4" s="3"/>
      <c r="L4" s="30" t="s">
        <v>14</v>
      </c>
      <c r="M4" s="17">
        <f>IF(M3&lt;0,B3/2,(B3+SQRT(M3))/2)</f>
        <v>2.4764310840778614</v>
      </c>
      <c r="N4" s="2" t="str">
        <f>IF(M3&lt;0,"+","")</f>
        <v/>
      </c>
      <c r="O4" s="3" t="str">
        <f>IF(M3&lt;0,SQRT(ABS(M3))/2,"")</f>
        <v/>
      </c>
      <c r="P4" s="2" t="str">
        <f>IF(M3&lt;0,"i","")</f>
        <v/>
      </c>
    </row>
    <row r="5" spans="1:16" ht="15.6" x14ac:dyDescent="0.3">
      <c r="A5" s="17" t="s">
        <v>15</v>
      </c>
      <c r="B5" s="37">
        <f>SQRT(SUMSQ(B3:B4))</f>
        <v>6.1327109141870508</v>
      </c>
      <c r="C5" s="37">
        <f t="shared" ref="C5:I5" si="1">SUM(C2:C4)</f>
        <v>0</v>
      </c>
      <c r="D5" s="37">
        <f t="shared" si="1"/>
        <v>0</v>
      </c>
      <c r="E5" s="37">
        <f t="shared" si="1"/>
        <v>0</v>
      </c>
      <c r="F5" s="37">
        <f t="shared" si="1"/>
        <v>1</v>
      </c>
      <c r="G5" s="37">
        <f t="shared" si="1"/>
        <v>-7.2914908243751526</v>
      </c>
      <c r="H5" s="43">
        <f t="shared" si="1"/>
        <v>17.604113533749654</v>
      </c>
      <c r="I5" s="43">
        <f t="shared" si="1"/>
        <v>-22.308287868260383</v>
      </c>
      <c r="J5" s="3"/>
      <c r="K5" s="3"/>
      <c r="L5" s="30" t="s">
        <v>16</v>
      </c>
      <c r="M5" s="17">
        <f>IF(M3&lt;0,M4,(B3-SQRT(M3))/2)</f>
        <v>-2.4764310840778614</v>
      </c>
      <c r="N5" s="33" t="str">
        <f>IF(M3&lt;0,"+","")</f>
        <v/>
      </c>
      <c r="O5" s="3" t="str">
        <f>IF(M3&lt;0,-O4,"")</f>
        <v/>
      </c>
      <c r="P5" s="33"/>
    </row>
    <row r="6" spans="1:16" ht="15.6" x14ac:dyDescent="0.3">
      <c r="A6" s="3"/>
      <c r="B6" s="3"/>
      <c r="C6" s="6"/>
      <c r="D6" s="6"/>
      <c r="E6" s="6"/>
      <c r="F6" s="6"/>
      <c r="G6" s="6"/>
      <c r="H6" s="6"/>
      <c r="I6" s="6"/>
      <c r="J6" s="3"/>
      <c r="K6" s="3"/>
      <c r="L6" s="35"/>
      <c r="M6" s="35"/>
      <c r="N6" s="35"/>
      <c r="O6" s="35"/>
      <c r="P6" s="35"/>
    </row>
    <row r="7" spans="1:16" ht="15.6" x14ac:dyDescent="0.3">
      <c r="A7" s="3"/>
      <c r="B7" s="41" t="s">
        <v>17</v>
      </c>
      <c r="C7" s="45">
        <f t="shared" ref="C7:I7" si="2">C2</f>
        <v>0</v>
      </c>
      <c r="D7" s="21">
        <f t="shared" si="2"/>
        <v>0</v>
      </c>
      <c r="E7" s="21">
        <f t="shared" si="2"/>
        <v>0</v>
      </c>
      <c r="F7" s="21">
        <f t="shared" si="2"/>
        <v>1</v>
      </c>
      <c r="G7" s="21">
        <f t="shared" si="2"/>
        <v>-7.2914908243751526</v>
      </c>
      <c r="H7" s="24">
        <f t="shared" si="2"/>
        <v>11.471402619562605</v>
      </c>
      <c r="I7" s="24">
        <f t="shared" si="2"/>
        <v>22.408317491079853</v>
      </c>
      <c r="J7" s="3"/>
      <c r="K7" s="3"/>
      <c r="L7" s="2"/>
      <c r="M7" s="32" t="s">
        <v>18</v>
      </c>
      <c r="N7" s="35"/>
      <c r="O7" s="35"/>
      <c r="P7" s="35"/>
    </row>
    <row r="8" spans="1:16" ht="15.6" x14ac:dyDescent="0.3">
      <c r="A8" s="17" t="s">
        <v>19</v>
      </c>
      <c r="B8" s="46">
        <f>-(H2+B9*F5)/G5</f>
        <v>1.9947384926532126</v>
      </c>
      <c r="C8" s="3"/>
      <c r="D8" s="17">
        <f t="shared" ref="D8:I8" si="3">$B8*C10</f>
        <v>0</v>
      </c>
      <c r="E8" s="17">
        <f t="shared" si="3"/>
        <v>0</v>
      </c>
      <c r="F8" s="17">
        <f t="shared" si="3"/>
        <v>0</v>
      </c>
      <c r="G8" s="17">
        <f t="shared" si="3"/>
        <v>1.9947384926532126</v>
      </c>
      <c r="H8" s="17">
        <f t="shared" si="3"/>
        <v>-10.565635762136411</v>
      </c>
      <c r="I8" s="17">
        <f t="shared" si="3"/>
        <v>7.9370278669391903</v>
      </c>
      <c r="J8" s="3"/>
      <c r="K8" s="3"/>
      <c r="L8" s="30" t="s">
        <v>12</v>
      </c>
      <c r="M8" s="31">
        <f>B8^2+4*B9</f>
        <v>16.271840840657283</v>
      </c>
      <c r="N8" s="35"/>
      <c r="O8" s="35"/>
      <c r="P8" s="35"/>
    </row>
    <row r="9" spans="1:16" ht="16.2" thickBot="1" x14ac:dyDescent="0.35">
      <c r="A9" s="17" t="s">
        <v>20</v>
      </c>
      <c r="B9" s="46">
        <f>-I2/G5</f>
        <v>3.0732147966462184</v>
      </c>
      <c r="C9" s="13"/>
      <c r="D9" s="4"/>
      <c r="E9" s="44">
        <f>$B9*C10</f>
        <v>0</v>
      </c>
      <c r="F9" s="44">
        <f>$B9*D10</f>
        <v>0</v>
      </c>
      <c r="G9" s="44">
        <f>$B9*E10</f>
        <v>0</v>
      </c>
      <c r="H9" s="44">
        <f>$B9*F10</f>
        <v>3.0732147966462184</v>
      </c>
      <c r="I9" s="44">
        <f>$B9*G10</f>
        <v>-16.278057640018226</v>
      </c>
      <c r="J9" s="3"/>
      <c r="K9" s="3"/>
      <c r="L9" s="30" t="s">
        <v>14</v>
      </c>
      <c r="M9" s="17" t="e" cm="1">
        <f t="array" aca="1" ref="M9" ca="1">IF(M8&lt;0,B8/2,(B8+RAIZ(M8))/2)</f>
        <v>#NAME?</v>
      </c>
      <c r="N9" s="30" t="str">
        <f>IF(M8&lt;0,"+","")</f>
        <v/>
      </c>
      <c r="O9" s="17" t="str">
        <f>IF(M8&lt;0,SQRT(ABS(M8))/2,"")</f>
        <v/>
      </c>
      <c r="P9" s="30" t="str">
        <f>IF(M8&lt;0,"i","")</f>
        <v/>
      </c>
    </row>
    <row r="10" spans="1:16" ht="15.6" x14ac:dyDescent="0.3">
      <c r="A10" s="17" t="s">
        <v>15</v>
      </c>
      <c r="B10" s="17">
        <f>SQRT(SUMSQ(B8:B9))</f>
        <v>3.6638273486066</v>
      </c>
      <c r="C10" s="37">
        <f t="shared" ref="C10:I10" si="4">SUM(C7:C9)</f>
        <v>0</v>
      </c>
      <c r="D10" s="37">
        <f t="shared" si="4"/>
        <v>0</v>
      </c>
      <c r="E10" s="37">
        <f t="shared" si="4"/>
        <v>0</v>
      </c>
      <c r="F10" s="37">
        <f t="shared" si="4"/>
        <v>1</v>
      </c>
      <c r="G10" s="37">
        <f t="shared" si="4"/>
        <v>-5.2967523317219403</v>
      </c>
      <c r="H10" s="43">
        <f t="shared" si="4"/>
        <v>3.9789816540724123</v>
      </c>
      <c r="I10" s="43">
        <f t="shared" si="4"/>
        <v>14.067287718000816</v>
      </c>
      <c r="J10" s="17">
        <f>ABS(B10-B5)</f>
        <v>2.4688835655804509</v>
      </c>
      <c r="K10" s="18">
        <f>ABS(J10/B10)*100</f>
        <v>67.385368650610644</v>
      </c>
      <c r="L10" s="30" t="s">
        <v>16</v>
      </c>
      <c r="M10" s="17" t="e" cm="1">
        <f t="array" aca="1" ref="M10" ca="1">IF(M8&lt;0,M9,(B8-RAIZ(M8))/2)</f>
        <v>#NAME?</v>
      </c>
      <c r="N10" s="34" t="str">
        <f>IF(M8&lt;0,"+","")</f>
        <v/>
      </c>
      <c r="O10" s="17" t="str">
        <f>IF(M8&lt;0,-O9,"")</f>
        <v/>
      </c>
      <c r="P10" s="34" t="s">
        <v>21</v>
      </c>
    </row>
    <row r="11" spans="1:16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5"/>
      <c r="M11" s="35"/>
      <c r="N11" s="35"/>
      <c r="O11" s="35"/>
      <c r="P11" s="35"/>
    </row>
    <row r="12" spans="1:16" ht="15.6" x14ac:dyDescent="0.3">
      <c r="A12" s="3"/>
      <c r="B12" s="41" t="s">
        <v>22</v>
      </c>
      <c r="C12" s="22">
        <f t="shared" ref="C12:I12" si="5">C7</f>
        <v>0</v>
      </c>
      <c r="D12" s="21">
        <f t="shared" si="5"/>
        <v>0</v>
      </c>
      <c r="E12" s="21">
        <f t="shared" si="5"/>
        <v>0</v>
      </c>
      <c r="F12" s="21">
        <f t="shared" si="5"/>
        <v>1</v>
      </c>
      <c r="G12" s="21">
        <f t="shared" si="5"/>
        <v>-7.2914908243751526</v>
      </c>
      <c r="H12" s="24">
        <f t="shared" si="5"/>
        <v>11.471402619562605</v>
      </c>
      <c r="I12" s="24">
        <f t="shared" si="5"/>
        <v>22.408317491079853</v>
      </c>
      <c r="J12" s="3"/>
      <c r="K12" s="3"/>
      <c r="L12" s="35"/>
      <c r="M12" s="35"/>
      <c r="N12" s="35"/>
      <c r="O12" s="35"/>
      <c r="P12" s="35"/>
    </row>
    <row r="13" spans="1:16" ht="15.6" x14ac:dyDescent="0.3">
      <c r="A13" s="17" t="s">
        <v>11</v>
      </c>
      <c r="B13" s="48">
        <f>-(H7+B14*F10)/G10</f>
        <v>2.9644541464002181</v>
      </c>
      <c r="C13" s="3"/>
      <c r="D13" s="17">
        <f t="shared" ref="D13:I13" si="6">$B13*C15</f>
        <v>0</v>
      </c>
      <c r="E13" s="17">
        <f t="shared" si="6"/>
        <v>0</v>
      </c>
      <c r="F13" s="17">
        <f t="shared" si="6"/>
        <v>0</v>
      </c>
      <c r="G13" s="17">
        <f t="shared" si="6"/>
        <v>2.9644541464002181</v>
      </c>
      <c r="H13" s="17">
        <f t="shared" si="6"/>
        <v>-12.82730182164862</v>
      </c>
      <c r="I13" s="17">
        <f t="shared" si="6"/>
        <v>8.5218499029572214</v>
      </c>
      <c r="J13" s="3"/>
      <c r="K13" s="3"/>
      <c r="L13" s="30" t="s">
        <v>12</v>
      </c>
      <c r="M13" s="31">
        <f>B13^2+4*B14</f>
        <v>25.710295556771548</v>
      </c>
      <c r="N13" s="35"/>
      <c r="O13" s="35"/>
      <c r="P13" s="35"/>
    </row>
    <row r="14" spans="1:16" ht="16.2" thickBot="1" x14ac:dyDescent="0.35">
      <c r="A14" s="17" t="s">
        <v>13</v>
      </c>
      <c r="B14" s="46">
        <f>-I7/G10</f>
        <v>4.2305767926655262</v>
      </c>
      <c r="C14" s="13"/>
      <c r="D14" s="4"/>
      <c r="E14" s="44">
        <f>$B14*C15</f>
        <v>0</v>
      </c>
      <c r="F14" s="44">
        <f>$B14*D15</f>
        <v>0</v>
      </c>
      <c r="G14" s="44">
        <f>$B14*E15</f>
        <v>0</v>
      </c>
      <c r="H14" s="44">
        <f>$B14*F15</f>
        <v>4.2305767926655262</v>
      </c>
      <c r="I14" s="44">
        <f>$B14*G15</f>
        <v>-18.30586095085329</v>
      </c>
      <c r="J14" s="3"/>
      <c r="K14" s="3"/>
      <c r="L14" s="30" t="s">
        <v>14</v>
      </c>
      <c r="M14" s="17" t="e" cm="1">
        <f t="array" aca="1" ref="M14" ca="1">IF(M13&lt;0,B13/2,(B13+RAIZ(M13))/2)</f>
        <v>#NAME?</v>
      </c>
      <c r="N14" s="30" t="str">
        <f>IF(M13&lt;0,"+","")</f>
        <v/>
      </c>
      <c r="O14" s="17" t="str">
        <f>IF(M13&lt;0,SQRT(ABS(M13))/2,"")</f>
        <v/>
      </c>
      <c r="P14" s="30" t="str">
        <f>IF(M13&lt;0,"i","")</f>
        <v/>
      </c>
    </row>
    <row r="15" spans="1:16" ht="15.6" x14ac:dyDescent="0.3">
      <c r="A15" s="17" t="s">
        <v>15</v>
      </c>
      <c r="B15" s="17">
        <f>SQRT(SUMSQ(B13:B14))</f>
        <v>5.1658269797535397</v>
      </c>
      <c r="C15" s="37">
        <f t="shared" ref="C15:I15" si="7">SUM(C12:C14)</f>
        <v>0</v>
      </c>
      <c r="D15" s="37">
        <f t="shared" si="7"/>
        <v>0</v>
      </c>
      <c r="E15" s="37">
        <f t="shared" si="7"/>
        <v>0</v>
      </c>
      <c r="F15" s="37">
        <f t="shared" si="7"/>
        <v>1</v>
      </c>
      <c r="G15" s="37">
        <f t="shared" si="7"/>
        <v>-4.3270366779749345</v>
      </c>
      <c r="H15" s="43">
        <f t="shared" si="7"/>
        <v>2.8746775905795117</v>
      </c>
      <c r="I15" s="43">
        <f t="shared" si="7"/>
        <v>12.624306443183784</v>
      </c>
      <c r="J15" s="17">
        <f>ABS(B15-B10)</f>
        <v>1.5019996311469397</v>
      </c>
      <c r="K15" s="18">
        <f>ABS(J15/B15)*100</f>
        <v>29.075685984717197</v>
      </c>
      <c r="L15" s="30" t="s">
        <v>16</v>
      </c>
      <c r="M15" s="17" t="e" cm="1">
        <f t="array" aca="1" ref="M15" ca="1">IF(M13&lt;0,M14,(B13-RAIZ(M13))/2)</f>
        <v>#NAME?</v>
      </c>
      <c r="N15" s="34" t="str">
        <f>IF(M13&lt;0,"+","")</f>
        <v/>
      </c>
      <c r="O15" s="17" t="str">
        <f>IF(M13&lt;0,-O14,"")</f>
        <v/>
      </c>
      <c r="P15" s="34" t="s">
        <v>21</v>
      </c>
    </row>
    <row r="16" spans="1:16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5"/>
      <c r="M16" s="35"/>
      <c r="N16" s="35"/>
      <c r="O16" s="35"/>
      <c r="P16" s="35"/>
    </row>
    <row r="17" spans="1:17" ht="15.6" x14ac:dyDescent="0.3">
      <c r="A17" s="3"/>
      <c r="B17" s="41" t="s">
        <v>23</v>
      </c>
      <c r="C17" s="22">
        <f t="shared" ref="C17:I17" si="8">C12</f>
        <v>0</v>
      </c>
      <c r="D17" s="21">
        <f t="shared" si="8"/>
        <v>0</v>
      </c>
      <c r="E17" s="21">
        <f t="shared" si="8"/>
        <v>0</v>
      </c>
      <c r="F17" s="21">
        <f t="shared" si="8"/>
        <v>1</v>
      </c>
      <c r="G17" s="21">
        <f t="shared" si="8"/>
        <v>-7.2914908243751526</v>
      </c>
      <c r="H17" s="24">
        <f t="shared" si="8"/>
        <v>11.471402619562605</v>
      </c>
      <c r="I17" s="24">
        <f t="shared" si="8"/>
        <v>22.408317491079853</v>
      </c>
      <c r="J17" s="3"/>
      <c r="K17" s="3"/>
      <c r="L17" s="35"/>
      <c r="M17" s="35"/>
      <c r="N17" s="35"/>
      <c r="O17" s="35"/>
      <c r="P17" s="35"/>
    </row>
    <row r="18" spans="1:17" ht="15.6" x14ac:dyDescent="0.3">
      <c r="A18" s="3" t="s">
        <v>19</v>
      </c>
      <c r="B18" s="46">
        <f>-(H12+B19*F15)/G15</f>
        <v>3.8479169576858605</v>
      </c>
      <c r="C18" s="3"/>
      <c r="D18" s="17">
        <f t="shared" ref="D18:I18" si="9">$B18*C20</f>
        <v>0</v>
      </c>
      <c r="E18" s="17">
        <f t="shared" si="9"/>
        <v>0</v>
      </c>
      <c r="F18" s="17">
        <f t="shared" si="9"/>
        <v>0</v>
      </c>
      <c r="G18" s="17">
        <f t="shared" si="9"/>
        <v>3.8479169576858605</v>
      </c>
      <c r="H18" s="17">
        <f t="shared" si="9"/>
        <v>-13.250586276677597</v>
      </c>
      <c r="I18" s="17">
        <f t="shared" si="9"/>
        <v>13.080961117458889</v>
      </c>
      <c r="J18" s="3"/>
      <c r="K18" s="3"/>
      <c r="L18" s="30" t="s">
        <v>12</v>
      </c>
      <c r="M18" s="31">
        <f>B18^2+4*B19</f>
        <v>35.521165673829756</v>
      </c>
      <c r="N18" s="35"/>
      <c r="O18" s="35"/>
      <c r="P18" s="35"/>
    </row>
    <row r="19" spans="1:17" ht="16.2" thickBot="1" x14ac:dyDescent="0.35">
      <c r="A19" s="3" t="s">
        <v>20</v>
      </c>
      <c r="B19" s="46">
        <f>-I12/G15</f>
        <v>5.1786751901458361</v>
      </c>
      <c r="C19" s="13"/>
      <c r="D19" s="4"/>
      <c r="E19" s="44">
        <f>$B19*C20</f>
        <v>0</v>
      </c>
      <c r="F19" s="44">
        <f>$B19*D20</f>
        <v>0</v>
      </c>
      <c r="G19" s="44">
        <f>$B19*E20</f>
        <v>0</v>
      </c>
      <c r="H19" s="44">
        <f>$B19*F20</f>
        <v>5.1786751901458361</v>
      </c>
      <c r="I19" s="44">
        <f>$B19*G20</f>
        <v>-17.833150548858402</v>
      </c>
      <c r="J19" s="3"/>
      <c r="K19" s="3"/>
      <c r="L19" s="30" t="s">
        <v>14</v>
      </c>
      <c r="M19" s="17" t="e" cm="1">
        <f t="array" aca="1" ref="M19" ca="1">IF(M18&lt;0,B18/2,(B18+RAIZ(M18))/2)</f>
        <v>#NAME?</v>
      </c>
      <c r="N19" s="30" t="str">
        <f>IF(M18&lt;0,"+","")</f>
        <v/>
      </c>
      <c r="O19" s="17" t="str">
        <f>IF(M18&lt;0,SQRT(ABS(M18))/2,"")</f>
        <v/>
      </c>
      <c r="P19" s="30" t="str">
        <f>IF(M18&lt;0,"i","")</f>
        <v/>
      </c>
    </row>
    <row r="20" spans="1:17" ht="15.6" x14ac:dyDescent="0.3">
      <c r="A20" s="3" t="s">
        <v>15</v>
      </c>
      <c r="B20" s="17">
        <f>SQRT(SUMSQ(B18:B19))</f>
        <v>6.4517549270162471</v>
      </c>
      <c r="C20" s="37">
        <f t="shared" ref="C20:I20" si="10">SUM(C17:C19)</f>
        <v>0</v>
      </c>
      <c r="D20" s="37">
        <f t="shared" si="10"/>
        <v>0</v>
      </c>
      <c r="E20" s="37">
        <f t="shared" si="10"/>
        <v>0</v>
      </c>
      <c r="F20" s="37">
        <f t="shared" si="10"/>
        <v>1</v>
      </c>
      <c r="G20" s="37">
        <f t="shared" si="10"/>
        <v>-3.4435738666892921</v>
      </c>
      <c r="H20" s="43">
        <f t="shared" si="10"/>
        <v>3.3994915330308446</v>
      </c>
      <c r="I20" s="43">
        <f t="shared" si="10"/>
        <v>17.656128059680338</v>
      </c>
      <c r="J20" s="17">
        <f>ABS(B20-B15)</f>
        <v>1.2859279472627074</v>
      </c>
      <c r="K20" s="17">
        <f>ABS(J20/B20)*100</f>
        <v>19.93144441798276</v>
      </c>
      <c r="L20" s="30" t="s">
        <v>16</v>
      </c>
      <c r="M20" s="17" t="e" cm="1">
        <f t="array" aca="1" ref="M20" ca="1">IF(M18&lt;0,M19,(B18-RAIZ(M18))/2)</f>
        <v>#NAME?</v>
      </c>
      <c r="N20" s="34" t="str">
        <f>IF(M18&lt;0,"+","")</f>
        <v/>
      </c>
      <c r="O20" s="17" t="str">
        <f>IF(M18&lt;0,-O19,"")</f>
        <v/>
      </c>
      <c r="P20" s="34" t="s">
        <v>21</v>
      </c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5"/>
      <c r="M21" s="35"/>
      <c r="N21" s="35"/>
      <c r="O21" s="35"/>
      <c r="P21" s="35"/>
      <c r="Q21" s="1"/>
    </row>
    <row r="22" spans="1:17" ht="15.6" x14ac:dyDescent="0.3">
      <c r="A22" s="3"/>
      <c r="B22" s="41" t="s">
        <v>24</v>
      </c>
      <c r="C22" s="22">
        <f t="shared" ref="C22:I22" si="11">C17</f>
        <v>0</v>
      </c>
      <c r="D22" s="21">
        <f t="shared" si="11"/>
        <v>0</v>
      </c>
      <c r="E22" s="21">
        <f t="shared" si="11"/>
        <v>0</v>
      </c>
      <c r="F22" s="21">
        <f t="shared" si="11"/>
        <v>1</v>
      </c>
      <c r="G22" s="21">
        <f t="shared" si="11"/>
        <v>-7.2914908243751526</v>
      </c>
      <c r="H22" s="24">
        <f t="shared" si="11"/>
        <v>11.471402619562605</v>
      </c>
      <c r="I22" s="24">
        <f t="shared" si="11"/>
        <v>22.408317491079853</v>
      </c>
      <c r="J22" s="3"/>
      <c r="K22" s="3"/>
      <c r="L22" s="35"/>
      <c r="M22" s="35"/>
      <c r="N22" s="35"/>
      <c r="O22" s="35"/>
      <c r="P22" s="35"/>
    </row>
    <row r="23" spans="1:17" ht="15.6" x14ac:dyDescent="0.3">
      <c r="A23" s="3" t="s">
        <v>19</v>
      </c>
      <c r="B23" s="46">
        <f>-(H17+B24*F20)/G20</f>
        <v>5.2209386478435187</v>
      </c>
      <c r="C23" s="3"/>
      <c r="D23" s="17">
        <f t="shared" ref="D23:I23" si="12">$B23*C25</f>
        <v>0</v>
      </c>
      <c r="E23" s="17">
        <f t="shared" si="12"/>
        <v>0</v>
      </c>
      <c r="F23" s="17">
        <f t="shared" si="12"/>
        <v>0</v>
      </c>
      <c r="G23" s="17">
        <f t="shared" si="12"/>
        <v>5.2209386478435187</v>
      </c>
      <c r="H23" s="17">
        <f t="shared" si="12"/>
        <v>-10.810225880830524</v>
      </c>
      <c r="I23" s="17">
        <f t="shared" si="12"/>
        <v>37.426100335185183</v>
      </c>
      <c r="J23" s="3"/>
      <c r="K23" s="3"/>
      <c r="L23" s="30" t="s">
        <v>12</v>
      </c>
      <c r="M23" s="31">
        <f>B23^2+4*B24</f>
        <v>53.287341435503961</v>
      </c>
      <c r="N23" s="35"/>
      <c r="O23" s="35"/>
      <c r="P23" s="35"/>
    </row>
    <row r="24" spans="1:17" ht="16.2" thickBot="1" x14ac:dyDescent="0.35">
      <c r="A24" s="3" t="s">
        <v>20</v>
      </c>
      <c r="B24" s="46">
        <f>-I17/G20</f>
        <v>6.5072852677394639</v>
      </c>
      <c r="C24" s="13"/>
      <c r="D24" s="4"/>
      <c r="E24" s="44">
        <f>$B24*C25</f>
        <v>0</v>
      </c>
      <c r="F24" s="44">
        <f>$B24*D25</f>
        <v>0</v>
      </c>
      <c r="G24" s="44">
        <f>$B24*E25</f>
        <v>0</v>
      </c>
      <c r="H24" s="44">
        <f>$B24*F25</f>
        <v>6.5072852677394639</v>
      </c>
      <c r="I24" s="44">
        <f>$B24*G25</f>
        <v>-13.473673674430183</v>
      </c>
      <c r="J24" s="3"/>
      <c r="K24" s="3"/>
      <c r="L24" s="30" t="s">
        <v>14</v>
      </c>
      <c r="M24" s="17" t="e" cm="1">
        <f t="array" aca="1" ref="M24" ca="1">IF(M23&lt;0,B23/2,(B23+RAIZ(M23))/2)</f>
        <v>#NAME?</v>
      </c>
      <c r="N24" s="30" t="str">
        <f>IF(M23&lt;0,"+","")</f>
        <v/>
      </c>
      <c r="O24" s="17" t="str">
        <f>IF(M23&lt;0,SQRT(ABS(M23))/2,"")</f>
        <v/>
      </c>
      <c r="P24" s="30" t="str">
        <f>IF(M23&lt;0,"i","")</f>
        <v/>
      </c>
    </row>
    <row r="25" spans="1:17" ht="15.6" x14ac:dyDescent="0.3">
      <c r="A25" s="3" t="s">
        <v>15</v>
      </c>
      <c r="B25" s="17">
        <f>SQRT(SUMSQ(B23:B24))</f>
        <v>8.3428389604669455</v>
      </c>
      <c r="C25" s="37">
        <f t="shared" ref="C25:I25" si="13">SUM(C22:C24)</f>
        <v>0</v>
      </c>
      <c r="D25" s="37">
        <f t="shared" si="13"/>
        <v>0</v>
      </c>
      <c r="E25" s="37">
        <f t="shared" si="13"/>
        <v>0</v>
      </c>
      <c r="F25" s="37">
        <f t="shared" si="13"/>
        <v>1</v>
      </c>
      <c r="G25" s="37">
        <f t="shared" si="13"/>
        <v>-2.0705521765316339</v>
      </c>
      <c r="H25" s="43">
        <f t="shared" si="13"/>
        <v>7.168462006471545</v>
      </c>
      <c r="I25" s="43">
        <f t="shared" si="13"/>
        <v>46.360744151834858</v>
      </c>
      <c r="J25" s="17">
        <f>ABS(B25-B20)</f>
        <v>1.8910840334506984</v>
      </c>
      <c r="K25" s="17">
        <f>ABS(J25/B25)*100</f>
        <v>22.667152541379693</v>
      </c>
      <c r="L25" s="30" t="s">
        <v>16</v>
      </c>
      <c r="M25" s="17" t="e" cm="1">
        <f t="array" aca="1" ref="M25" ca="1">IF(M23&lt;0,M24,(B23-RAIZ(M23))/2)</f>
        <v>#NAME?</v>
      </c>
      <c r="N25" s="34" t="str">
        <f>IF(M23&lt;0,"+","")</f>
        <v/>
      </c>
      <c r="O25" s="17" t="str">
        <f>IF(M23&lt;0,-O24,"")</f>
        <v/>
      </c>
      <c r="P25" s="34" t="s">
        <v>21</v>
      </c>
    </row>
    <row r="26" spans="1:17" x14ac:dyDescent="0.3">
      <c r="J26" s="10"/>
      <c r="K26" s="10"/>
    </row>
    <row r="29" spans="1:17" x14ac:dyDescent="0.3">
      <c r="F29" t="s">
        <v>30</v>
      </c>
    </row>
  </sheetData>
  <conditionalFormatting sqref="B10">
    <cfRule type="expression" dxfId="22" priority="7">
      <formula xml:space="preserve"> K10 &lt; $K$2</formula>
    </cfRule>
    <cfRule type="expression" dxfId="21" priority="8">
      <formula>J10 &lt; $J$2</formula>
    </cfRule>
  </conditionalFormatting>
  <conditionalFormatting sqref="B15">
    <cfRule type="expression" dxfId="20" priority="5">
      <formula>K15&lt;$K$2</formula>
    </cfRule>
    <cfRule type="expression" dxfId="19" priority="6">
      <formula>J15&lt;$J$2</formula>
    </cfRule>
  </conditionalFormatting>
  <conditionalFormatting sqref="B20">
    <cfRule type="expression" dxfId="18" priority="3">
      <formula>K20&lt;$K$2</formula>
    </cfRule>
    <cfRule type="expression" dxfId="17" priority="4">
      <formula>J20&lt;$J$2</formula>
    </cfRule>
  </conditionalFormatting>
  <conditionalFormatting sqref="B25">
    <cfRule type="expression" dxfId="16" priority="1">
      <formula>K25&lt;$K$2</formula>
    </cfRule>
    <cfRule type="expression" dxfId="15" priority="2">
      <formula>J25&lt;$J$2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1348-A5A6-415E-8B99-0B6387EB5FC3}">
  <dimension ref="A1:Q29"/>
  <sheetViews>
    <sheetView tabSelected="1" zoomScaleNormal="150" zoomScaleSheetLayoutView="100" workbookViewId="0">
      <selection activeCell="B10" sqref="B10"/>
    </sheetView>
  </sheetViews>
  <sheetFormatPr baseColWidth="10" defaultColWidth="8.88671875" defaultRowHeight="14.4" x14ac:dyDescent="0.3"/>
  <cols>
    <col min="2" max="2" width="10" bestFit="1" customWidth="1"/>
    <col min="3" max="5" width="10.88671875" bestFit="1" customWidth="1"/>
    <col min="6" max="6" width="11.44140625" bestFit="1" customWidth="1"/>
    <col min="7" max="9" width="9.109375" bestFit="1" customWidth="1"/>
  </cols>
  <sheetData>
    <row r="1" spans="1:16" ht="15.6" x14ac:dyDescent="0.3">
      <c r="A1" s="71" t="s">
        <v>0</v>
      </c>
      <c r="B1" s="6"/>
      <c r="C1" s="72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73" t="s">
        <v>7</v>
      </c>
      <c r="J1" s="19" t="s">
        <v>8</v>
      </c>
      <c r="K1" s="15" t="s">
        <v>9</v>
      </c>
      <c r="L1" s="35"/>
      <c r="M1" s="35"/>
      <c r="N1" s="35"/>
      <c r="O1" s="35"/>
      <c r="P1" s="35"/>
    </row>
    <row r="2" spans="1:16" ht="15.6" x14ac:dyDescent="0.3">
      <c r="A2" s="6"/>
      <c r="B2" s="74" t="s">
        <v>10</v>
      </c>
      <c r="C2" s="22">
        <v>0</v>
      </c>
      <c r="D2" s="21">
        <v>0</v>
      </c>
      <c r="E2" s="14">
        <v>0</v>
      </c>
      <c r="F2" s="14">
        <v>-1</v>
      </c>
      <c r="G2" s="14">
        <v>2</v>
      </c>
      <c r="H2" s="14">
        <v>3</v>
      </c>
      <c r="I2" s="14">
        <v>0</v>
      </c>
      <c r="J2" s="20">
        <v>0.05</v>
      </c>
      <c r="K2" s="16"/>
      <c r="L2" s="2"/>
      <c r="M2" s="2"/>
      <c r="N2" s="35"/>
      <c r="O2" s="35"/>
      <c r="P2" s="35"/>
    </row>
    <row r="3" spans="1:16" ht="15.6" x14ac:dyDescent="0.3">
      <c r="A3" s="73" t="s">
        <v>11</v>
      </c>
      <c r="B3" s="42">
        <v>-1.0165289256198347</v>
      </c>
      <c r="C3" s="6"/>
      <c r="D3" s="73">
        <f t="shared" ref="D3:I3" si="0">$B3*C5</f>
        <v>0</v>
      </c>
      <c r="E3" s="73">
        <f t="shared" si="0"/>
        <v>0</v>
      </c>
      <c r="F3" s="73">
        <f t="shared" si="0"/>
        <v>0</v>
      </c>
      <c r="G3" s="73">
        <f t="shared" si="0"/>
        <v>1.0165289256198347</v>
      </c>
      <c r="H3" s="73">
        <f t="shared" si="0"/>
        <v>-3.0663889078614845</v>
      </c>
      <c r="I3" s="73">
        <f t="shared" si="0"/>
        <v>6.7486245181509086E-2</v>
      </c>
      <c r="J3" s="3"/>
      <c r="K3" s="3"/>
      <c r="L3" s="30" t="s">
        <v>12</v>
      </c>
      <c r="M3" s="31">
        <f>B3^2+4*B4</f>
        <v>1.0333310566218152</v>
      </c>
      <c r="N3" s="35"/>
      <c r="O3" s="35"/>
      <c r="P3" s="35"/>
    </row>
    <row r="4" spans="1:16" ht="16.2" thickBot="1" x14ac:dyDescent="0.35">
      <c r="A4" s="73" t="s">
        <v>13</v>
      </c>
      <c r="B4" s="42">
        <v>0</v>
      </c>
      <c r="C4" s="75"/>
      <c r="D4" s="75"/>
      <c r="E4" s="76">
        <f>$B4*C5</f>
        <v>0</v>
      </c>
      <c r="F4" s="76">
        <f>$B4*D5</f>
        <v>0</v>
      </c>
      <c r="G4" s="76">
        <f>$B4*E5</f>
        <v>0</v>
      </c>
      <c r="H4" s="76">
        <f>$B4*F5</f>
        <v>0</v>
      </c>
      <c r="I4" s="76">
        <f>$B4*G5</f>
        <v>0</v>
      </c>
      <c r="J4" s="3"/>
      <c r="K4" s="3"/>
      <c r="L4" s="30" t="s">
        <v>14</v>
      </c>
      <c r="M4" s="17">
        <f>IF(M3&lt;0,B3/2,(B3+SQRT(M3))/2)</f>
        <v>0</v>
      </c>
      <c r="N4" s="2" t="str">
        <f>IF(M3&lt;0,"+","")</f>
        <v/>
      </c>
      <c r="O4" s="3" t="str">
        <f>IF(M3&lt;0,SQRT(ABS(M3))/2,"")</f>
        <v/>
      </c>
      <c r="P4" s="2" t="str">
        <f>IF(M3&lt;0,"i","")</f>
        <v/>
      </c>
    </row>
    <row r="5" spans="1:16" ht="15.6" x14ac:dyDescent="0.3">
      <c r="A5" s="73" t="s">
        <v>15</v>
      </c>
      <c r="B5" s="77">
        <f>SQRT(SUMSQ(B3:B4))</f>
        <v>1.0165289256198347</v>
      </c>
      <c r="C5" s="77">
        <f t="shared" ref="C5:I5" si="1">SUM(C2:C4)</f>
        <v>0</v>
      </c>
      <c r="D5" s="77">
        <f t="shared" si="1"/>
        <v>0</v>
      </c>
      <c r="E5" s="77">
        <f t="shared" si="1"/>
        <v>0</v>
      </c>
      <c r="F5" s="77">
        <f t="shared" si="1"/>
        <v>-1</v>
      </c>
      <c r="G5" s="77">
        <f t="shared" si="1"/>
        <v>3.0165289256198347</v>
      </c>
      <c r="H5" s="78">
        <f t="shared" si="1"/>
        <v>-6.6388907861484547E-2</v>
      </c>
      <c r="I5" s="78">
        <f t="shared" si="1"/>
        <v>6.7486245181509086E-2</v>
      </c>
      <c r="J5" s="3"/>
      <c r="K5" s="3"/>
      <c r="L5" s="30" t="s">
        <v>16</v>
      </c>
      <c r="M5" s="17">
        <f>IF(M3&lt;0,M4,(B3-SQRT(M3))/2)</f>
        <v>-1.0165289256198347</v>
      </c>
      <c r="N5" s="33" t="str">
        <f>IF(M3&lt;0,"+","")</f>
        <v/>
      </c>
      <c r="O5" s="3" t="str">
        <f>IF(M3&lt;0,-O4,"")</f>
        <v/>
      </c>
      <c r="P5" s="33"/>
    </row>
    <row r="6" spans="1:16" ht="15.6" x14ac:dyDescent="0.3">
      <c r="A6" s="6"/>
      <c r="B6" s="6"/>
      <c r="C6" s="6"/>
      <c r="D6" s="6"/>
      <c r="E6" s="6"/>
      <c r="F6" s="6"/>
      <c r="G6" s="6"/>
      <c r="H6" s="6"/>
      <c r="I6" s="6"/>
      <c r="J6" s="3"/>
      <c r="K6" s="3"/>
      <c r="L6" s="35"/>
      <c r="M6" s="35"/>
      <c r="N6" s="35"/>
      <c r="O6" s="35"/>
      <c r="P6" s="35"/>
    </row>
    <row r="7" spans="1:16" ht="15.6" x14ac:dyDescent="0.3">
      <c r="A7" s="6"/>
      <c r="B7" s="74" t="s">
        <v>17</v>
      </c>
      <c r="C7" s="45">
        <f t="shared" ref="C7:I7" si="2">C2</f>
        <v>0</v>
      </c>
      <c r="D7" s="21">
        <f t="shared" si="2"/>
        <v>0</v>
      </c>
      <c r="E7" s="21">
        <f t="shared" si="2"/>
        <v>0</v>
      </c>
      <c r="F7" s="21">
        <f t="shared" si="2"/>
        <v>-1</v>
      </c>
      <c r="G7" s="21">
        <f t="shared" si="2"/>
        <v>2</v>
      </c>
      <c r="H7" s="21">
        <f t="shared" si="2"/>
        <v>3</v>
      </c>
      <c r="I7" s="21">
        <f t="shared" si="2"/>
        <v>0</v>
      </c>
      <c r="J7" s="3"/>
      <c r="K7" s="3"/>
      <c r="L7" s="2"/>
      <c r="M7" s="32" t="s">
        <v>18</v>
      </c>
      <c r="N7" s="35"/>
      <c r="O7" s="35"/>
      <c r="P7" s="35"/>
    </row>
    <row r="8" spans="1:16" ht="15.6" x14ac:dyDescent="0.3">
      <c r="A8" s="73" t="s">
        <v>19</v>
      </c>
      <c r="B8" s="42">
        <f>-(H2+B9*F5)/G5</f>
        <v>-0.9945205479452055</v>
      </c>
      <c r="C8" s="6"/>
      <c r="D8" s="73">
        <f t="shared" ref="D8:I8" si="3">$B8*C10</f>
        <v>0</v>
      </c>
      <c r="E8" s="73">
        <f t="shared" si="3"/>
        <v>0</v>
      </c>
      <c r="F8" s="73">
        <f t="shared" si="3"/>
        <v>0</v>
      </c>
      <c r="G8" s="73">
        <f t="shared" si="3"/>
        <v>0.9945205479452055</v>
      </c>
      <c r="H8" s="73">
        <f t="shared" si="3"/>
        <v>-2.9781122161756426</v>
      </c>
      <c r="I8" s="73">
        <f t="shared" si="3"/>
        <v>-2.1767850762306137E-2</v>
      </c>
      <c r="J8" s="3"/>
      <c r="K8" s="3"/>
      <c r="L8" s="30" t="s">
        <v>12</v>
      </c>
      <c r="M8" s="31">
        <f>B8^2+4*B9</f>
        <v>0.98907112028523181</v>
      </c>
      <c r="N8" s="35"/>
      <c r="O8" s="35"/>
      <c r="P8" s="35"/>
    </row>
    <row r="9" spans="1:16" ht="16.2" thickBot="1" x14ac:dyDescent="0.35">
      <c r="A9" s="73" t="s">
        <v>20</v>
      </c>
      <c r="B9" s="42">
        <f>-I2/G5</f>
        <v>0</v>
      </c>
      <c r="C9" s="79"/>
      <c r="D9" s="75"/>
      <c r="E9" s="76">
        <f>$B9*C10</f>
        <v>0</v>
      </c>
      <c r="F9" s="76">
        <f>$B9*D10</f>
        <v>0</v>
      </c>
      <c r="G9" s="76">
        <f>$B9*E10</f>
        <v>0</v>
      </c>
      <c r="H9" s="76">
        <f>$B9*F10</f>
        <v>0</v>
      </c>
      <c r="I9" s="76">
        <f>$B9*G10</f>
        <v>0</v>
      </c>
      <c r="J9" s="3"/>
      <c r="K9" s="3"/>
      <c r="L9" s="30" t="s">
        <v>14</v>
      </c>
      <c r="M9" s="17" t="e" cm="1">
        <f t="array" aca="1" ref="M9" ca="1">IF(M8&lt;0,B8/2,(B8+RAIZ(M8))/2)</f>
        <v>#NAME?</v>
      </c>
      <c r="N9" s="30" t="str">
        <f>IF(M8&lt;0,"+","")</f>
        <v/>
      </c>
      <c r="O9" s="17" t="str">
        <f>IF(M8&lt;0,SQRT(ABS(M8))/2,"")</f>
        <v/>
      </c>
      <c r="P9" s="30" t="str">
        <f>IF(M8&lt;0,"i","")</f>
        <v/>
      </c>
    </row>
    <row r="10" spans="1:16" ht="15.6" x14ac:dyDescent="0.3">
      <c r="A10" s="73" t="s">
        <v>15</v>
      </c>
      <c r="B10" s="73">
        <f>SQRT(SUMSQ(B8:B9))</f>
        <v>0.9945205479452055</v>
      </c>
      <c r="C10" s="77">
        <f t="shared" ref="C10:I10" si="4">SUM(C7:C9)</f>
        <v>0</v>
      </c>
      <c r="D10" s="77">
        <f t="shared" si="4"/>
        <v>0</v>
      </c>
      <c r="E10" s="77">
        <f t="shared" si="4"/>
        <v>0</v>
      </c>
      <c r="F10" s="77">
        <f t="shared" si="4"/>
        <v>-1</v>
      </c>
      <c r="G10" s="77">
        <f t="shared" si="4"/>
        <v>2.9945205479452053</v>
      </c>
      <c r="H10" s="78">
        <f t="shared" si="4"/>
        <v>2.188778382435741E-2</v>
      </c>
      <c r="I10" s="78">
        <f t="shared" si="4"/>
        <v>-2.1767850762306137E-2</v>
      </c>
      <c r="J10" s="17">
        <f>ABS(B10-B5)</f>
        <v>2.2008377674629154E-2</v>
      </c>
      <c r="K10" s="18">
        <f>ABS(J10/B10)*100</f>
        <v>2.2129635953828211</v>
      </c>
      <c r="L10" s="30" t="s">
        <v>16</v>
      </c>
      <c r="M10" s="17" t="e" cm="1">
        <f t="array" aca="1" ref="M10" ca="1">IF(M8&lt;0,M9,(B8-RAIZ(M8))/2)</f>
        <v>#NAME?</v>
      </c>
      <c r="N10" s="34" t="str">
        <f>IF(M8&lt;0,"+","")</f>
        <v/>
      </c>
      <c r="O10" s="17" t="str">
        <f>IF(M8&lt;0,-O9,"")</f>
        <v/>
      </c>
      <c r="P10" s="34" t="s">
        <v>21</v>
      </c>
    </row>
    <row r="11" spans="1:16" ht="15.6" x14ac:dyDescent="0.3">
      <c r="A11" s="6"/>
      <c r="B11" s="6"/>
      <c r="C11" s="6"/>
      <c r="D11" s="6"/>
      <c r="E11" s="6"/>
      <c r="F11" s="6"/>
      <c r="G11" s="6"/>
      <c r="H11" s="6"/>
      <c r="I11" s="6"/>
      <c r="J11" s="3"/>
      <c r="K11" s="3"/>
      <c r="L11" s="35"/>
      <c r="M11" s="35"/>
      <c r="N11" s="35"/>
      <c r="O11" s="35"/>
      <c r="P11" s="35"/>
    </row>
    <row r="12" spans="1:16" ht="15.6" x14ac:dyDescent="0.3">
      <c r="A12" s="6"/>
      <c r="B12" s="74" t="s">
        <v>22</v>
      </c>
      <c r="C12" s="22">
        <f t="shared" ref="C12:I12" si="5">C7</f>
        <v>0</v>
      </c>
      <c r="D12" s="21">
        <f t="shared" si="5"/>
        <v>0</v>
      </c>
      <c r="E12" s="21">
        <f t="shared" si="5"/>
        <v>0</v>
      </c>
      <c r="F12" s="21">
        <f t="shared" si="5"/>
        <v>-1</v>
      </c>
      <c r="G12" s="21">
        <f t="shared" si="5"/>
        <v>2</v>
      </c>
      <c r="H12" s="21">
        <f t="shared" si="5"/>
        <v>3</v>
      </c>
      <c r="I12" s="21">
        <f t="shared" si="5"/>
        <v>0</v>
      </c>
      <c r="J12" s="3"/>
      <c r="K12" s="3"/>
      <c r="L12" s="35"/>
      <c r="M12" s="35"/>
      <c r="N12" s="35"/>
      <c r="O12" s="35"/>
      <c r="P12" s="35"/>
    </row>
    <row r="13" spans="1:16" ht="15.6" x14ac:dyDescent="0.3">
      <c r="A13" s="73" t="s">
        <v>11</v>
      </c>
      <c r="B13" s="80">
        <f>-(H7+B14*F10)/G10</f>
        <v>-1.0018298261665142</v>
      </c>
      <c r="C13" s="6"/>
      <c r="D13" s="73">
        <f t="shared" ref="D13:I13" si="6">$B13*C15</f>
        <v>0</v>
      </c>
      <c r="E13" s="73">
        <f t="shared" si="6"/>
        <v>0</v>
      </c>
      <c r="F13" s="73">
        <f t="shared" si="6"/>
        <v>0</v>
      </c>
      <c r="G13" s="73">
        <f t="shared" si="6"/>
        <v>1.0018298261665142</v>
      </c>
      <c r="H13" s="73">
        <f t="shared" si="6"/>
        <v>-3.0073226529298562</v>
      </c>
      <c r="I13" s="73">
        <f t="shared" si="6"/>
        <v>7.336052111795585E-3</v>
      </c>
      <c r="J13" s="3"/>
      <c r="K13" s="3"/>
      <c r="L13" s="30" t="s">
        <v>12</v>
      </c>
      <c r="M13" s="31">
        <f>B13^2+4*B14</f>
        <v>1.0036630005968279</v>
      </c>
      <c r="N13" s="35"/>
      <c r="O13" s="35"/>
      <c r="P13" s="35"/>
    </row>
    <row r="14" spans="1:16" ht="16.2" thickBot="1" x14ac:dyDescent="0.35">
      <c r="A14" s="73" t="s">
        <v>13</v>
      </c>
      <c r="B14" s="42">
        <f>-I7/G10</f>
        <v>0</v>
      </c>
      <c r="C14" s="79"/>
      <c r="D14" s="75"/>
      <c r="E14" s="76">
        <f>$B14*C15</f>
        <v>0</v>
      </c>
      <c r="F14" s="76">
        <f>$B14*D15</f>
        <v>0</v>
      </c>
      <c r="G14" s="76">
        <f>$B14*E15</f>
        <v>0</v>
      </c>
      <c r="H14" s="76">
        <f>$B14*F15</f>
        <v>0</v>
      </c>
      <c r="I14" s="76">
        <f>$B14*G15</f>
        <v>0</v>
      </c>
      <c r="J14" s="3"/>
      <c r="K14" s="3"/>
      <c r="L14" s="30" t="s">
        <v>14</v>
      </c>
      <c r="M14" s="17" t="e" cm="1">
        <f t="array" aca="1" ref="M14" ca="1">IF(M13&lt;0,B13/2,(B13+RAIZ(M13))/2)</f>
        <v>#NAME?</v>
      </c>
      <c r="N14" s="30" t="str">
        <f>IF(M13&lt;0,"+","")</f>
        <v/>
      </c>
      <c r="O14" s="17" t="str">
        <f>IF(M13&lt;0,SQRT(ABS(M13))/2,"")</f>
        <v/>
      </c>
      <c r="P14" s="30" t="str">
        <f>IF(M13&lt;0,"i","")</f>
        <v/>
      </c>
    </row>
    <row r="15" spans="1:16" ht="15.6" x14ac:dyDescent="0.3">
      <c r="A15" s="73" t="s">
        <v>15</v>
      </c>
      <c r="B15" s="73">
        <f>SQRT(SUMSQ(B13:B14))</f>
        <v>1.0018298261665142</v>
      </c>
      <c r="C15" s="77">
        <f t="shared" ref="C15:I15" si="7">SUM(C12:C14)</f>
        <v>0</v>
      </c>
      <c r="D15" s="77">
        <f t="shared" si="7"/>
        <v>0</v>
      </c>
      <c r="E15" s="77">
        <f t="shared" si="7"/>
        <v>0</v>
      </c>
      <c r="F15" s="77">
        <f t="shared" si="7"/>
        <v>-1</v>
      </c>
      <c r="G15" s="77">
        <f t="shared" si="7"/>
        <v>3.0018298261665142</v>
      </c>
      <c r="H15" s="78">
        <f t="shared" si="7"/>
        <v>-7.3226529298562326E-3</v>
      </c>
      <c r="I15" s="78">
        <f t="shared" si="7"/>
        <v>7.336052111795585E-3</v>
      </c>
      <c r="J15" s="17">
        <f>ABS(B15-B10)</f>
        <v>7.3092782213086682E-3</v>
      </c>
      <c r="K15" s="18">
        <f>ABS(J15/B15)*100</f>
        <v>0.7295927941452397</v>
      </c>
      <c r="L15" s="30" t="s">
        <v>16</v>
      </c>
      <c r="M15" s="17" t="e" cm="1">
        <f t="array" aca="1" ref="M15" ca="1">IF(M13&lt;0,M14,(B13-RAIZ(M13))/2)</f>
        <v>#NAME?</v>
      </c>
      <c r="N15" s="34" t="str">
        <f>IF(M13&lt;0,"+","")</f>
        <v/>
      </c>
      <c r="O15" s="17" t="str">
        <f>IF(M13&lt;0,-O14,"")</f>
        <v/>
      </c>
      <c r="P15" s="34" t="s">
        <v>21</v>
      </c>
    </row>
    <row r="16" spans="1:16" ht="15.6" x14ac:dyDescent="0.3">
      <c r="A16" s="6"/>
      <c r="B16" s="6"/>
      <c r="C16" s="6"/>
      <c r="D16" s="6"/>
      <c r="E16" s="6"/>
      <c r="F16" s="6"/>
      <c r="G16" s="6"/>
      <c r="H16" s="6"/>
      <c r="I16" s="6"/>
      <c r="J16" s="3"/>
      <c r="K16" s="3"/>
      <c r="L16" s="35"/>
      <c r="M16" s="35"/>
      <c r="N16" s="35"/>
      <c r="O16" s="35"/>
      <c r="P16" s="35"/>
    </row>
    <row r="17" spans="1:17" ht="15.6" x14ac:dyDescent="0.3">
      <c r="A17" s="6"/>
      <c r="B17" s="74" t="s">
        <v>23</v>
      </c>
      <c r="C17" s="22">
        <f t="shared" ref="C17:I17" si="8">C12</f>
        <v>0</v>
      </c>
      <c r="D17" s="21">
        <f t="shared" si="8"/>
        <v>0</v>
      </c>
      <c r="E17" s="21">
        <f t="shared" si="8"/>
        <v>0</v>
      </c>
      <c r="F17" s="21">
        <f t="shared" si="8"/>
        <v>-1</v>
      </c>
      <c r="G17" s="21">
        <f t="shared" si="8"/>
        <v>2</v>
      </c>
      <c r="H17" s="21">
        <f t="shared" si="8"/>
        <v>3</v>
      </c>
      <c r="I17" s="21">
        <f t="shared" si="8"/>
        <v>0</v>
      </c>
      <c r="J17" s="3"/>
      <c r="K17" s="3"/>
      <c r="L17" s="35"/>
      <c r="M17" s="35"/>
      <c r="N17" s="35"/>
      <c r="O17" s="35"/>
      <c r="P17" s="35"/>
    </row>
    <row r="18" spans="1:17" ht="15.6" x14ac:dyDescent="0.3">
      <c r="A18" s="6" t="s">
        <v>19</v>
      </c>
      <c r="B18" s="42">
        <f>-(H12+B19*F15)/G15</f>
        <v>-0.9993904297470283</v>
      </c>
      <c r="C18" s="6"/>
      <c r="D18" s="73">
        <f t="shared" ref="D18:I18" si="9">$B18*C20</f>
        <v>0</v>
      </c>
      <c r="E18" s="73">
        <f t="shared" si="9"/>
        <v>0</v>
      </c>
      <c r="F18" s="73">
        <f t="shared" si="9"/>
        <v>0</v>
      </c>
      <c r="G18" s="73">
        <f t="shared" si="9"/>
        <v>0.9993904297470283</v>
      </c>
      <c r="H18" s="73">
        <f t="shared" si="9"/>
        <v>-2.9975620905640064</v>
      </c>
      <c r="I18" s="73">
        <f t="shared" si="9"/>
        <v>-2.4364233589220254E-3</v>
      </c>
      <c r="J18" s="3"/>
      <c r="K18" s="3"/>
      <c r="L18" s="30" t="s">
        <v>12</v>
      </c>
      <c r="M18" s="31">
        <f>B18^2+4*B19</f>
        <v>0.99878123106994987</v>
      </c>
      <c r="N18" s="35"/>
      <c r="O18" s="35"/>
      <c r="P18" s="35"/>
    </row>
    <row r="19" spans="1:17" ht="16.2" thickBot="1" x14ac:dyDescent="0.35">
      <c r="A19" s="6" t="s">
        <v>20</v>
      </c>
      <c r="B19" s="42">
        <f>-I12/G15</f>
        <v>0</v>
      </c>
      <c r="C19" s="79"/>
      <c r="D19" s="75"/>
      <c r="E19" s="76">
        <f>$B19*C20</f>
        <v>0</v>
      </c>
      <c r="F19" s="76">
        <f>$B19*D20</f>
        <v>0</v>
      </c>
      <c r="G19" s="76">
        <f>$B19*E20</f>
        <v>0</v>
      </c>
      <c r="H19" s="76">
        <f>$B19*F20</f>
        <v>0</v>
      </c>
      <c r="I19" s="76">
        <f>$B19*G20</f>
        <v>0</v>
      </c>
      <c r="J19" s="3"/>
      <c r="K19" s="3"/>
      <c r="L19" s="30" t="s">
        <v>14</v>
      </c>
      <c r="M19" s="17" t="e" cm="1">
        <f t="array" aca="1" ref="M19" ca="1">IF(M18&lt;0,B18/2,(B18+RAIZ(M18))/2)</f>
        <v>#NAME?</v>
      </c>
      <c r="N19" s="30" t="str">
        <f>IF(M18&lt;0,"+","")</f>
        <v/>
      </c>
      <c r="O19" s="17" t="str">
        <f>IF(M18&lt;0,SQRT(ABS(M18))/2,"")</f>
        <v/>
      </c>
      <c r="P19" s="30" t="str">
        <f>IF(M18&lt;0,"i","")</f>
        <v/>
      </c>
    </row>
    <row r="20" spans="1:17" ht="15.6" x14ac:dyDescent="0.3">
      <c r="A20" s="6" t="s">
        <v>15</v>
      </c>
      <c r="B20" s="73">
        <f>SQRT(SUMSQ(B18:B19))</f>
        <v>0.9993904297470283</v>
      </c>
      <c r="C20" s="77">
        <f t="shared" ref="C20:I20" si="10">SUM(C17:C19)</f>
        <v>0</v>
      </c>
      <c r="D20" s="77">
        <f t="shared" si="10"/>
        <v>0</v>
      </c>
      <c r="E20" s="77">
        <f t="shared" si="10"/>
        <v>0</v>
      </c>
      <c r="F20" s="77">
        <f t="shared" si="10"/>
        <v>-1</v>
      </c>
      <c r="G20" s="77">
        <f t="shared" si="10"/>
        <v>2.9993904297470282</v>
      </c>
      <c r="H20" s="78">
        <f t="shared" si="10"/>
        <v>2.437909435993646E-3</v>
      </c>
      <c r="I20" s="78">
        <f t="shared" si="10"/>
        <v>-2.4364233589220254E-3</v>
      </c>
      <c r="J20" s="17">
        <f>ABS(B20-B15)</f>
        <v>2.439396419485873E-3</v>
      </c>
      <c r="K20" s="17">
        <f>ABS(J20/B20)*100</f>
        <v>0.24408843099521654</v>
      </c>
      <c r="L20" s="30" t="s">
        <v>16</v>
      </c>
      <c r="M20" s="17" t="e" cm="1">
        <f t="array" aca="1" ref="M20" ca="1">IF(M18&lt;0,M19,(B18-RAIZ(M18))/2)</f>
        <v>#NAME?</v>
      </c>
      <c r="N20" s="34" t="str">
        <f>IF(M18&lt;0,"+","")</f>
        <v/>
      </c>
      <c r="O20" s="17" t="str">
        <f>IF(M18&lt;0,-O19,"")</f>
        <v/>
      </c>
      <c r="P20" s="34" t="s">
        <v>21</v>
      </c>
    </row>
    <row r="21" spans="1:17" ht="15.6" x14ac:dyDescent="0.3">
      <c r="A21" s="6"/>
      <c r="B21" s="6"/>
      <c r="C21" s="6"/>
      <c r="D21" s="6"/>
      <c r="E21" s="6"/>
      <c r="F21" s="6"/>
      <c r="G21" s="6"/>
      <c r="H21" s="6"/>
      <c r="I21" s="6"/>
      <c r="J21" s="3"/>
      <c r="K21" s="3"/>
      <c r="L21" s="35"/>
      <c r="M21" s="35"/>
      <c r="N21" s="35"/>
      <c r="O21" s="35"/>
      <c r="P21" s="35"/>
      <c r="Q21" s="1"/>
    </row>
    <row r="22" spans="1:17" ht="15.6" x14ac:dyDescent="0.3">
      <c r="A22" s="6"/>
      <c r="B22" s="74" t="s">
        <v>24</v>
      </c>
      <c r="C22" s="22">
        <f t="shared" ref="C22:I22" si="11">C17</f>
        <v>0</v>
      </c>
      <c r="D22" s="21">
        <f t="shared" si="11"/>
        <v>0</v>
      </c>
      <c r="E22" s="21">
        <f t="shared" si="11"/>
        <v>0</v>
      </c>
      <c r="F22" s="21">
        <f t="shared" si="11"/>
        <v>-1</v>
      </c>
      <c r="G22" s="21">
        <f t="shared" si="11"/>
        <v>2</v>
      </c>
      <c r="H22" s="21">
        <f t="shared" si="11"/>
        <v>3</v>
      </c>
      <c r="I22" s="21">
        <f t="shared" si="11"/>
        <v>0</v>
      </c>
      <c r="J22" s="3"/>
      <c r="K22" s="3"/>
      <c r="L22" s="35"/>
      <c r="M22" s="35"/>
      <c r="N22" s="35"/>
      <c r="O22" s="35"/>
      <c r="P22" s="35"/>
    </row>
    <row r="23" spans="1:17" ht="15.6" x14ac:dyDescent="0.3">
      <c r="A23" s="6" t="s">
        <v>19</v>
      </c>
      <c r="B23" s="42">
        <f>-(H17+B24*F20)/G20</f>
        <v>-1.0002032313789249</v>
      </c>
      <c r="C23" s="6"/>
      <c r="D23" s="73">
        <f t="shared" ref="D23:I23" si="12">$B23*C25</f>
        <v>0</v>
      </c>
      <c r="E23" s="73">
        <f t="shared" si="12"/>
        <v>0</v>
      </c>
      <c r="F23" s="73">
        <f t="shared" si="12"/>
        <v>0</v>
      </c>
      <c r="G23" s="73">
        <f t="shared" si="12"/>
        <v>1.0002032313789249</v>
      </c>
      <c r="H23" s="73">
        <f t="shared" si="12"/>
        <v>-3.0008129668186929</v>
      </c>
      <c r="I23" s="73">
        <f t="shared" si="12"/>
        <v>8.1313203906050043E-4</v>
      </c>
      <c r="J23" s="3"/>
      <c r="K23" s="3"/>
      <c r="L23" s="30" t="s">
        <v>12</v>
      </c>
      <c r="M23" s="31">
        <f>B23^2+4*B24</f>
        <v>1.0004065040608432</v>
      </c>
      <c r="N23" s="35"/>
      <c r="O23" s="35"/>
      <c r="P23" s="35"/>
    </row>
    <row r="24" spans="1:17" ht="16.2" thickBot="1" x14ac:dyDescent="0.35">
      <c r="A24" s="6" t="s">
        <v>20</v>
      </c>
      <c r="B24" s="42">
        <f>-I17/G20</f>
        <v>0</v>
      </c>
      <c r="C24" s="79"/>
      <c r="D24" s="75"/>
      <c r="E24" s="76">
        <f>$B24*C25</f>
        <v>0</v>
      </c>
      <c r="F24" s="76">
        <f>$B24*D25</f>
        <v>0</v>
      </c>
      <c r="G24" s="76">
        <f>$B24*E25</f>
        <v>0</v>
      </c>
      <c r="H24" s="76">
        <f>$B24*F25</f>
        <v>0</v>
      </c>
      <c r="I24" s="76">
        <f>$B24*G25</f>
        <v>0</v>
      </c>
      <c r="J24" s="3"/>
      <c r="K24" s="3"/>
      <c r="L24" s="30" t="s">
        <v>14</v>
      </c>
      <c r="M24" s="17" t="e" cm="1">
        <f t="array" aca="1" ref="M24" ca="1">IF(M23&lt;0,B23/2,(B23+RAIZ(M23))/2)</f>
        <v>#NAME?</v>
      </c>
      <c r="N24" s="30" t="str">
        <f>IF(M23&lt;0,"+","")</f>
        <v/>
      </c>
      <c r="O24" s="17" t="str">
        <f>IF(M23&lt;0,SQRT(ABS(M23))/2,"")</f>
        <v/>
      </c>
      <c r="P24" s="30" t="str">
        <f>IF(M23&lt;0,"i","")</f>
        <v/>
      </c>
    </row>
    <row r="25" spans="1:17" ht="15.6" x14ac:dyDescent="0.3">
      <c r="A25" s="6" t="s">
        <v>15</v>
      </c>
      <c r="B25" s="73">
        <f>SQRT(SUMSQ(B23:B24))</f>
        <v>1.0002032313789249</v>
      </c>
      <c r="C25" s="77">
        <f t="shared" ref="C25:I25" si="13">SUM(C22:C24)</f>
        <v>0</v>
      </c>
      <c r="D25" s="77">
        <f t="shared" si="13"/>
        <v>0</v>
      </c>
      <c r="E25" s="77">
        <f t="shared" si="13"/>
        <v>0</v>
      </c>
      <c r="F25" s="77">
        <f t="shared" si="13"/>
        <v>-1</v>
      </c>
      <c r="G25" s="77">
        <f t="shared" si="13"/>
        <v>3.0002032313789249</v>
      </c>
      <c r="H25" s="78">
        <f t="shared" si="13"/>
        <v>-8.1296681869291731E-4</v>
      </c>
      <c r="I25" s="78">
        <f t="shared" si="13"/>
        <v>8.1313203906050043E-4</v>
      </c>
      <c r="J25" s="17">
        <f>ABS(B25-B20)</f>
        <v>8.1280163189656474E-4</v>
      </c>
      <c r="K25" s="17">
        <f>ABS(J25/B25)*100</f>
        <v>8.1263647866444119E-2</v>
      </c>
      <c r="L25" s="30" t="s">
        <v>16</v>
      </c>
      <c r="M25" s="17" t="e" cm="1">
        <f t="array" aca="1" ref="M25" ca="1">IF(M23&lt;0,M24,(B23-RAIZ(M23))/2)</f>
        <v>#NAME?</v>
      </c>
      <c r="N25" s="34" t="str">
        <f>IF(M23&lt;0,"+","")</f>
        <v/>
      </c>
      <c r="O25" s="17" t="str">
        <f>IF(M23&lt;0,-O24,"")</f>
        <v/>
      </c>
      <c r="P25" s="34" t="s">
        <v>21</v>
      </c>
    </row>
    <row r="26" spans="1:17" x14ac:dyDescent="0.3">
      <c r="J26" s="10"/>
      <c r="K26" s="10"/>
    </row>
    <row r="29" spans="1:17" x14ac:dyDescent="0.3">
      <c r="F29" t="s">
        <v>30</v>
      </c>
    </row>
  </sheetData>
  <conditionalFormatting sqref="B10">
    <cfRule type="expression" dxfId="8" priority="8">
      <formula>J10 &lt; $J$2</formula>
    </cfRule>
  </conditionalFormatting>
  <conditionalFormatting sqref="B15">
    <cfRule type="expression" dxfId="14" priority="5">
      <formula>K15&lt;$K$2</formula>
    </cfRule>
    <cfRule type="expression" dxfId="13" priority="6">
      <formula>J15&lt;$J$2</formula>
    </cfRule>
  </conditionalFormatting>
  <conditionalFormatting sqref="B20">
    <cfRule type="expression" dxfId="12" priority="3">
      <formula>K20&lt;$K$2</formula>
    </cfRule>
    <cfRule type="expression" dxfId="11" priority="4">
      <formula>J20&lt;$J$2</formula>
    </cfRule>
  </conditionalFormatting>
  <conditionalFormatting sqref="B25">
    <cfRule type="expression" dxfId="10" priority="1">
      <formula>K25&lt;$K$2</formula>
    </cfRule>
    <cfRule type="expression" dxfId="9" priority="2">
      <formula>J25&lt;$J$2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Primer ejercicio</vt:lpstr>
      <vt:lpstr>Segundo ejercicio</vt:lpstr>
      <vt:lpstr>Tercer ejercicio</vt:lpstr>
      <vt:lpstr>T-E2</vt:lpstr>
      <vt:lpstr>Hoja4</vt:lpstr>
      <vt:lpstr>Hoja3</vt:lpstr>
      <vt:lpstr>Tarea 6-A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MONSERRAT MUÑOZ SAN AGUSTIN</dc:creator>
  <cp:keywords/>
  <dc:description/>
  <cp:lastModifiedBy>Victoria Muñoz</cp:lastModifiedBy>
  <cp:revision/>
  <dcterms:created xsi:type="dcterms:W3CDTF">2024-03-01T18:03:33Z</dcterms:created>
  <dcterms:modified xsi:type="dcterms:W3CDTF">2024-05-19T22:51:33Z</dcterms:modified>
  <cp:category/>
  <cp:contentStatus/>
</cp:coreProperties>
</file>