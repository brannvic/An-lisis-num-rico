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https://d.docs.live.net/63cee1f57fb1c6e5/Escritorio/Vico/Segundo semestre/Analisis/"/>
    </mc:Choice>
  </mc:AlternateContent>
  <xr:revisionPtr revIDLastSave="531" documentId="13_ncr:1_{6B00AF01-23A3-41CC-984B-16988F6E8BFF}" xr6:coauthVersionLast="47" xr6:coauthVersionMax="47" xr10:uidLastSave="{F5A972F3-8A7A-437A-807C-D5C880D1E953}"/>
  <bookViews>
    <workbookView xWindow="-108" yWindow="-108" windowWidth="23256" windowHeight="13176" firstSheet="9" activeTab="10" xr2:uid="{BE3499C9-F485-4EB3-B2C3-C41064A9C6DD}"/>
  </bookViews>
  <sheets>
    <sheet name="Gauss-Jordan (4x4)" sheetId="2" r:id="rId1"/>
    <sheet name="EJERCICIO EXAMEN 2017" sheetId="18" r:id="rId2"/>
    <sheet name="Gauss-Jordan (3x3)" sheetId="3" r:id="rId3"/>
    <sheet name="Gauss-Jordan (2X2)" sheetId="1" r:id="rId4"/>
    <sheet name="T4-E1" sheetId="5" r:id="rId5"/>
    <sheet name="T4-E2" sheetId="6" r:id="rId6"/>
    <sheet name="T4-E3" sheetId="7" r:id="rId7"/>
    <sheet name="T4-E4" sheetId="10" r:id="rId8"/>
    <sheet name="T4-E5" sheetId="9" r:id="rId9"/>
    <sheet name="T4-E6" sheetId="8" r:id="rId10"/>
    <sheet name="Gauss-Jordan (4x4) T4-E7" sheetId="4" r:id="rId11"/>
    <sheet name="T4-E8" sheetId="11" r:id="rId12"/>
    <sheet name="T4-E9" sheetId="12" r:id="rId13"/>
    <sheet name="T4-E10" sheetId="13" r:id="rId14"/>
    <sheet name="T4-E11" sheetId="17" r:id="rId15"/>
    <sheet name="T4-E12" sheetId="14" r:id="rId16"/>
    <sheet name="T4-E13" sheetId="15" r:id="rId17"/>
    <sheet name="T4-E14" sheetId="16" r:id="rId18"/>
  </sheets>
  <definedNames>
    <definedName name="_xlnm._FilterDatabase" localSheetId="3" hidden="1">'Gauss-Jordan (2X2)'!$F$20:$G$20</definedName>
    <definedName name="_xlnm._FilterDatabase" localSheetId="0" hidden="1">'Gauss-Jordan (4x4)'!$H$49:$I$50</definedName>
    <definedName name="_xlnm._FilterDatabase" localSheetId="10" hidden="1">'Gauss-Jordan (4x4) T4-E7'!$H$49:$I$50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4" l="1"/>
  <c r="B18" i="4"/>
  <c r="B15" i="4"/>
  <c r="G7" i="4"/>
  <c r="B10" i="4"/>
  <c r="E15" i="4" s="1"/>
  <c r="D33" i="8"/>
  <c r="B6" i="18"/>
  <c r="F6" i="18"/>
  <c r="C7" i="18"/>
  <c r="B7" i="18"/>
  <c r="C6" i="18"/>
  <c r="C11" i="18"/>
  <c r="C15" i="18"/>
  <c r="F14" i="18"/>
  <c r="D8" i="18"/>
  <c r="B8" i="18"/>
  <c r="D6" i="18"/>
  <c r="D12" i="18"/>
  <c r="D16" i="18"/>
  <c r="C8" i="18"/>
  <c r="C12" i="18"/>
  <c r="C16" i="18"/>
  <c r="D7" i="18"/>
  <c r="D11" i="18"/>
  <c r="D15" i="18"/>
  <c r="D20" i="18"/>
  <c r="E8" i="18"/>
  <c r="E6" i="18"/>
  <c r="E12" i="18"/>
  <c r="E16" i="18"/>
  <c r="E7" i="18"/>
  <c r="E11" i="18"/>
  <c r="E15" i="18"/>
  <c r="E20" i="18"/>
  <c r="E24" i="18"/>
  <c r="E28" i="18"/>
  <c r="D24" i="18"/>
  <c r="D28" i="18"/>
  <c r="E32" i="18"/>
  <c r="D32" i="18"/>
  <c r="C20" i="18"/>
  <c r="C24" i="18"/>
  <c r="C28" i="18"/>
  <c r="C32" i="18"/>
  <c r="B12" i="18"/>
  <c r="B16" i="18"/>
  <c r="B11" i="18"/>
  <c r="B15" i="18"/>
  <c r="B20" i="18"/>
  <c r="B24" i="18"/>
  <c r="B28" i="18"/>
  <c r="B32" i="18"/>
  <c r="E19" i="18"/>
  <c r="E23" i="18"/>
  <c r="D19" i="18"/>
  <c r="D23" i="18"/>
  <c r="E27" i="18"/>
  <c r="C19" i="18"/>
  <c r="C23" i="18"/>
  <c r="C27" i="18"/>
  <c r="E31" i="18"/>
  <c r="D27" i="18"/>
  <c r="D31" i="18"/>
  <c r="C31" i="18"/>
  <c r="B19" i="18"/>
  <c r="B23" i="18"/>
  <c r="B27" i="18"/>
  <c r="B31" i="18"/>
  <c r="E10" i="18"/>
  <c r="E14" i="18"/>
  <c r="C10" i="18"/>
  <c r="C14" i="18"/>
  <c r="E18" i="18"/>
  <c r="E22" i="18"/>
  <c r="D10" i="18"/>
  <c r="D14" i="18"/>
  <c r="D18" i="18"/>
  <c r="D22" i="18"/>
  <c r="E26" i="18"/>
  <c r="B10" i="18"/>
  <c r="B14" i="18"/>
  <c r="B18" i="18"/>
  <c r="B22" i="18"/>
  <c r="B26" i="18"/>
  <c r="E30" i="18"/>
  <c r="D26" i="18"/>
  <c r="D30" i="18"/>
  <c r="C18" i="18"/>
  <c r="C22" i="18"/>
  <c r="C26" i="18"/>
  <c r="C30" i="18"/>
  <c r="B30" i="18"/>
  <c r="F22" i="18"/>
  <c r="G2" i="18" a="1"/>
  <c r="G2" i="18"/>
  <c r="G3" i="18"/>
  <c r="G4" i="18"/>
  <c r="E6" i="11"/>
  <c r="E10" i="11"/>
  <c r="E14" i="11"/>
  <c r="D6" i="11"/>
  <c r="D10" i="11"/>
  <c r="D14" i="11"/>
  <c r="C6" i="11"/>
  <c r="C10" i="11"/>
  <c r="C14" i="11"/>
  <c r="B6" i="11"/>
  <c r="B10" i="11"/>
  <c r="B14" i="11"/>
  <c r="E6" i="13"/>
  <c r="E10" i="13"/>
  <c r="E14" i="13"/>
  <c r="D6" i="13"/>
  <c r="D10" i="13"/>
  <c r="D14" i="13"/>
  <c r="C6" i="13"/>
  <c r="C10" i="13"/>
  <c r="C14" i="13"/>
  <c r="B6" i="13"/>
  <c r="F6" i="13"/>
  <c r="D8" i="13"/>
  <c r="D5" i="14"/>
  <c r="D8" i="14"/>
  <c r="D11" i="14"/>
  <c r="C5" i="14"/>
  <c r="C8" i="14"/>
  <c r="C11" i="14"/>
  <c r="B5" i="14"/>
  <c r="E5" i="14"/>
  <c r="D5" i="17"/>
  <c r="D8" i="17"/>
  <c r="D11" i="17"/>
  <c r="C5" i="17"/>
  <c r="C8" i="17"/>
  <c r="C11" i="17"/>
  <c r="B5" i="17"/>
  <c r="E5" i="17"/>
  <c r="C6" i="17"/>
  <c r="D5" i="16"/>
  <c r="D8" i="16"/>
  <c r="D11" i="16"/>
  <c r="C5" i="16"/>
  <c r="C8" i="16"/>
  <c r="C11" i="16"/>
  <c r="B5" i="16"/>
  <c r="E5" i="16"/>
  <c r="D5" i="15"/>
  <c r="D8" i="15"/>
  <c r="D11" i="15"/>
  <c r="C5" i="15"/>
  <c r="C8" i="15"/>
  <c r="C11" i="15"/>
  <c r="B5" i="15"/>
  <c r="E5" i="15"/>
  <c r="E6" i="12"/>
  <c r="E10" i="12"/>
  <c r="E14" i="12"/>
  <c r="D6" i="12"/>
  <c r="D10" i="12"/>
  <c r="D14" i="12"/>
  <c r="C6" i="12"/>
  <c r="C10" i="12"/>
  <c r="C14" i="12"/>
  <c r="B6" i="12"/>
  <c r="B10" i="12"/>
  <c r="B14" i="12"/>
  <c r="F7" i="8"/>
  <c r="F12" i="8"/>
  <c r="F17" i="8"/>
  <c r="E7" i="8"/>
  <c r="E12" i="8"/>
  <c r="E17" i="8"/>
  <c r="D7" i="8"/>
  <c r="D12" i="8"/>
  <c r="D17" i="8"/>
  <c r="C7" i="8"/>
  <c r="C12" i="8"/>
  <c r="C17" i="8"/>
  <c r="B7" i="8"/>
  <c r="B12" i="8"/>
  <c r="B17" i="8"/>
  <c r="C19" i="2"/>
  <c r="F7" i="9"/>
  <c r="F12" i="9"/>
  <c r="F17" i="9"/>
  <c r="E7" i="9"/>
  <c r="E12" i="9"/>
  <c r="E17" i="9"/>
  <c r="D7" i="9"/>
  <c r="D12" i="9"/>
  <c r="D17" i="9"/>
  <c r="C7" i="9"/>
  <c r="C12" i="9"/>
  <c r="C17" i="9"/>
  <c r="B7" i="9"/>
  <c r="G7" i="9"/>
  <c r="E6" i="10"/>
  <c r="E10" i="10"/>
  <c r="E14" i="10"/>
  <c r="D6" i="10"/>
  <c r="D10" i="10"/>
  <c r="D14" i="10"/>
  <c r="C6" i="10"/>
  <c r="C10" i="10"/>
  <c r="C14" i="10"/>
  <c r="B6" i="10"/>
  <c r="F6" i="10"/>
  <c r="E6" i="7"/>
  <c r="E10" i="7"/>
  <c r="E14" i="7"/>
  <c r="D6" i="7"/>
  <c r="D10" i="7"/>
  <c r="D14" i="7"/>
  <c r="C6" i="7"/>
  <c r="C10" i="7"/>
  <c r="C14" i="7"/>
  <c r="B6" i="7"/>
  <c r="B10" i="7"/>
  <c r="B14" i="7"/>
  <c r="E6" i="6"/>
  <c r="E10" i="6"/>
  <c r="E14" i="6"/>
  <c r="D6" i="6"/>
  <c r="D10" i="6"/>
  <c r="D14" i="6"/>
  <c r="C6" i="6"/>
  <c r="C10" i="6"/>
  <c r="C14" i="6"/>
  <c r="B6" i="6"/>
  <c r="B10" i="6"/>
  <c r="B14" i="6"/>
  <c r="D5" i="5"/>
  <c r="D8" i="5"/>
  <c r="D11" i="5"/>
  <c r="C5" i="5"/>
  <c r="C8" i="5"/>
  <c r="C11" i="5"/>
  <c r="B5" i="5"/>
  <c r="E5" i="5"/>
  <c r="C15" i="1"/>
  <c r="B7" i="2"/>
  <c r="B12" i="2"/>
  <c r="B17" i="2"/>
  <c r="C7" i="2"/>
  <c r="C12" i="2"/>
  <c r="C17" i="2"/>
  <c r="D7" i="2"/>
  <c r="D12" i="2"/>
  <c r="D17" i="2"/>
  <c r="E7" i="2"/>
  <c r="E12" i="2"/>
  <c r="E17" i="2"/>
  <c r="F7" i="2"/>
  <c r="F12" i="2"/>
  <c r="F17" i="2"/>
  <c r="G7" i="2"/>
  <c r="B8" i="2"/>
  <c r="B13" i="2"/>
  <c r="C8" i="2"/>
  <c r="C13" i="2"/>
  <c r="D8" i="2"/>
  <c r="D13" i="2"/>
  <c r="E8" i="2"/>
  <c r="E13" i="2"/>
  <c r="F8" i="2"/>
  <c r="F13" i="2"/>
  <c r="B9" i="2"/>
  <c r="B14" i="2"/>
  <c r="C9" i="2"/>
  <c r="C14" i="2"/>
  <c r="D9" i="2"/>
  <c r="D14" i="2"/>
  <c r="E9" i="2"/>
  <c r="E14" i="2"/>
  <c r="F9" i="2"/>
  <c r="F14" i="2"/>
  <c r="B10" i="2"/>
  <c r="B15" i="2"/>
  <c r="C10" i="2"/>
  <c r="C15" i="2"/>
  <c r="D10" i="2"/>
  <c r="D15" i="2"/>
  <c r="E10" i="2"/>
  <c r="E15" i="2"/>
  <c r="F10" i="2"/>
  <c r="F15" i="2"/>
  <c r="B7" i="4"/>
  <c r="B12" i="4"/>
  <c r="B17" i="4"/>
  <c r="C7" i="4"/>
  <c r="C12" i="4"/>
  <c r="C17" i="4"/>
  <c r="D7" i="4"/>
  <c r="D12" i="4"/>
  <c r="D17" i="4"/>
  <c r="E7" i="4"/>
  <c r="E12" i="4"/>
  <c r="E17" i="4"/>
  <c r="F7" i="4"/>
  <c r="F12" i="4"/>
  <c r="F17" i="4"/>
  <c r="B8" i="4"/>
  <c r="B13" i="4" s="1"/>
  <c r="C8" i="4"/>
  <c r="C13" i="4" s="1"/>
  <c r="D8" i="4"/>
  <c r="E8" i="4"/>
  <c r="F8" i="4"/>
  <c r="F13" i="4" s="1"/>
  <c r="B9" i="4"/>
  <c r="B14" i="4" s="1"/>
  <c r="C9" i="4"/>
  <c r="C14" i="4"/>
  <c r="D9" i="4"/>
  <c r="D14" i="4"/>
  <c r="E9" i="4"/>
  <c r="E14" i="4" s="1"/>
  <c r="F9" i="4"/>
  <c r="F14" i="4" s="1"/>
  <c r="C10" i="4"/>
  <c r="D10" i="4"/>
  <c r="D15" i="4"/>
  <c r="E10" i="4"/>
  <c r="F10" i="4"/>
  <c r="B6" i="3"/>
  <c r="B10" i="3"/>
  <c r="B14" i="3"/>
  <c r="C6" i="3"/>
  <c r="C10" i="3"/>
  <c r="C14" i="3"/>
  <c r="D6" i="3"/>
  <c r="D10" i="3"/>
  <c r="D14" i="3"/>
  <c r="E6" i="3"/>
  <c r="E10" i="3"/>
  <c r="E14" i="3"/>
  <c r="F6" i="3"/>
  <c r="B7" i="3"/>
  <c r="B11" i="3"/>
  <c r="C7" i="3"/>
  <c r="C11" i="3"/>
  <c r="D7" i="3"/>
  <c r="D11" i="3"/>
  <c r="E7" i="3"/>
  <c r="E11" i="3"/>
  <c r="B8" i="3"/>
  <c r="B12" i="3"/>
  <c r="C8" i="3"/>
  <c r="C12" i="3"/>
  <c r="D8" i="3"/>
  <c r="D12" i="3"/>
  <c r="E8" i="3"/>
  <c r="E12" i="3"/>
  <c r="C6" i="1"/>
  <c r="D6" i="1"/>
  <c r="B6" i="1"/>
  <c r="C5" i="1"/>
  <c r="D5" i="1"/>
  <c r="B5" i="1"/>
  <c r="E5" i="1"/>
  <c r="C8" i="1"/>
  <c r="C11" i="1"/>
  <c r="D8" i="1"/>
  <c r="D11" i="1"/>
  <c r="B8" i="17"/>
  <c r="B11" i="17"/>
  <c r="F6" i="11"/>
  <c r="B10" i="13"/>
  <c r="B14" i="13"/>
  <c r="D7" i="13"/>
  <c r="D11" i="13"/>
  <c r="E7" i="13"/>
  <c r="E11" i="13"/>
  <c r="E8" i="13"/>
  <c r="B7" i="13"/>
  <c r="B11" i="13"/>
  <c r="C8" i="13"/>
  <c r="C7" i="13"/>
  <c r="C11" i="13"/>
  <c r="B8" i="13"/>
  <c r="B12" i="13"/>
  <c r="B6" i="14"/>
  <c r="B9" i="14"/>
  <c r="C6" i="14"/>
  <c r="D6" i="14"/>
  <c r="B8" i="14"/>
  <c r="B11" i="14"/>
  <c r="B8" i="16"/>
  <c r="B11" i="16"/>
  <c r="B8" i="15"/>
  <c r="B11" i="15"/>
  <c r="D6" i="17"/>
  <c r="B6" i="17"/>
  <c r="B9" i="17"/>
  <c r="B6" i="16"/>
  <c r="B9" i="16"/>
  <c r="C6" i="16"/>
  <c r="D6" i="16"/>
  <c r="B6" i="15"/>
  <c r="B9" i="15"/>
  <c r="D6" i="15"/>
  <c r="C6" i="15"/>
  <c r="F6" i="12"/>
  <c r="B7" i="12"/>
  <c r="B11" i="12"/>
  <c r="G7" i="8"/>
  <c r="F10" i="8"/>
  <c r="F8" i="8"/>
  <c r="D9" i="8"/>
  <c r="B8" i="8"/>
  <c r="B13" i="8"/>
  <c r="E9" i="8"/>
  <c r="F9" i="8"/>
  <c r="F14" i="8"/>
  <c r="D8" i="8"/>
  <c r="B10" i="8"/>
  <c r="B15" i="8"/>
  <c r="C8" i="8"/>
  <c r="E8" i="8"/>
  <c r="C10" i="8"/>
  <c r="C15" i="8"/>
  <c r="D10" i="8"/>
  <c r="B9" i="8"/>
  <c r="B14" i="8"/>
  <c r="E10" i="8"/>
  <c r="C9" i="8"/>
  <c r="B12" i="9"/>
  <c r="B17" i="9"/>
  <c r="F10" i="9"/>
  <c r="C9" i="9"/>
  <c r="E10" i="9"/>
  <c r="B9" i="9"/>
  <c r="B14" i="9"/>
  <c r="B10" i="9"/>
  <c r="B15" i="9"/>
  <c r="D8" i="9"/>
  <c r="D13" i="9"/>
  <c r="F9" i="9"/>
  <c r="F14" i="9"/>
  <c r="C8" i="9"/>
  <c r="E9" i="9"/>
  <c r="B8" i="9"/>
  <c r="B13" i="9"/>
  <c r="E8" i="9"/>
  <c r="F8" i="9"/>
  <c r="F13" i="9"/>
  <c r="D9" i="9"/>
  <c r="D14" i="9"/>
  <c r="C10" i="9"/>
  <c r="D10" i="9"/>
  <c r="B10" i="10"/>
  <c r="B14" i="10"/>
  <c r="E8" i="10"/>
  <c r="D8" i="10"/>
  <c r="B8" i="10"/>
  <c r="B12" i="10"/>
  <c r="D7" i="10"/>
  <c r="C7" i="10"/>
  <c r="B7" i="10"/>
  <c r="B11" i="10"/>
  <c r="E7" i="10"/>
  <c r="C8" i="10"/>
  <c r="F6" i="7"/>
  <c r="F6" i="6"/>
  <c r="B6" i="5"/>
  <c r="B9" i="5"/>
  <c r="C6" i="5"/>
  <c r="C9" i="5"/>
  <c r="D6" i="5"/>
  <c r="D9" i="5"/>
  <c r="B8" i="5"/>
  <c r="B11" i="5"/>
  <c r="B18" i="2"/>
  <c r="B23" i="2"/>
  <c r="B28" i="2"/>
  <c r="C18" i="2"/>
  <c r="D18" i="2"/>
  <c r="D23" i="2"/>
  <c r="D28" i="2"/>
  <c r="E18" i="2"/>
  <c r="E23" i="2"/>
  <c r="E28" i="2"/>
  <c r="F18" i="2"/>
  <c r="F23" i="2"/>
  <c r="F28" i="2"/>
  <c r="F22" i="2"/>
  <c r="F27" i="2"/>
  <c r="E22" i="2"/>
  <c r="E27" i="2"/>
  <c r="D22" i="2"/>
  <c r="D27" i="2"/>
  <c r="C22" i="2"/>
  <c r="C27" i="2"/>
  <c r="B22" i="2"/>
  <c r="B27" i="2"/>
  <c r="B15" i="3"/>
  <c r="B19" i="3"/>
  <c r="B23" i="3"/>
  <c r="C15" i="3"/>
  <c r="D15" i="3"/>
  <c r="D19" i="3"/>
  <c r="D23" i="3"/>
  <c r="E15" i="3"/>
  <c r="E19" i="3"/>
  <c r="E23" i="3"/>
  <c r="E18" i="3"/>
  <c r="E22" i="3"/>
  <c r="D18" i="3"/>
  <c r="D22" i="3"/>
  <c r="C18" i="3"/>
  <c r="C22" i="3"/>
  <c r="B18" i="3"/>
  <c r="B22" i="3"/>
  <c r="B9" i="1"/>
  <c r="B8" i="1"/>
  <c r="B11" i="1"/>
  <c r="B8" i="11"/>
  <c r="B12" i="11"/>
  <c r="E7" i="11"/>
  <c r="D7" i="11"/>
  <c r="C7" i="11"/>
  <c r="B7" i="11"/>
  <c r="B11" i="11"/>
  <c r="E8" i="11"/>
  <c r="D8" i="11"/>
  <c r="C8" i="11"/>
  <c r="C9" i="16"/>
  <c r="C12" i="16"/>
  <c r="E12" i="13"/>
  <c r="C12" i="13"/>
  <c r="D15" i="13"/>
  <c r="D19" i="13"/>
  <c r="D23" i="13"/>
  <c r="D12" i="13"/>
  <c r="C8" i="12"/>
  <c r="D8" i="12"/>
  <c r="D9" i="14"/>
  <c r="C9" i="14"/>
  <c r="C9" i="15"/>
  <c r="C12" i="15"/>
  <c r="C9" i="17"/>
  <c r="D9" i="17"/>
  <c r="D9" i="16"/>
  <c r="D9" i="15"/>
  <c r="E8" i="12"/>
  <c r="B8" i="12"/>
  <c r="B12" i="12"/>
  <c r="D7" i="12"/>
  <c r="D11" i="12"/>
  <c r="E7" i="12"/>
  <c r="E11" i="12"/>
  <c r="C7" i="12"/>
  <c r="C11" i="12"/>
  <c r="F13" i="8"/>
  <c r="C13" i="8"/>
  <c r="D15" i="8"/>
  <c r="F15" i="8"/>
  <c r="E13" i="8"/>
  <c r="D14" i="8"/>
  <c r="E14" i="8"/>
  <c r="D13" i="8"/>
  <c r="C14" i="8"/>
  <c r="E15" i="8"/>
  <c r="C15" i="9"/>
  <c r="C14" i="9"/>
  <c r="E13" i="9"/>
  <c r="E15" i="9"/>
  <c r="E14" i="9"/>
  <c r="F15" i="9"/>
  <c r="D15" i="9"/>
  <c r="C13" i="9"/>
  <c r="D12" i="10"/>
  <c r="E11" i="10"/>
  <c r="C11" i="10"/>
  <c r="E15" i="10"/>
  <c r="E19" i="10"/>
  <c r="E23" i="10"/>
  <c r="E12" i="10"/>
  <c r="C12" i="10"/>
  <c r="D11" i="10"/>
  <c r="C7" i="7"/>
  <c r="D7" i="7"/>
  <c r="B7" i="7"/>
  <c r="B11" i="7"/>
  <c r="E8" i="7"/>
  <c r="D8" i="7"/>
  <c r="C8" i="7"/>
  <c r="B8" i="7"/>
  <c r="B12" i="7"/>
  <c r="E7" i="7"/>
  <c r="E11" i="7"/>
  <c r="B7" i="6"/>
  <c r="B11" i="6"/>
  <c r="D8" i="6"/>
  <c r="C8" i="6"/>
  <c r="B8" i="6"/>
  <c r="B12" i="6"/>
  <c r="E8" i="6"/>
  <c r="E7" i="6"/>
  <c r="E11" i="6"/>
  <c r="D7" i="6"/>
  <c r="C7" i="6"/>
  <c r="D12" i="5"/>
  <c r="D15" i="5"/>
  <c r="C12" i="5"/>
  <c r="B12" i="5"/>
  <c r="B15" i="5"/>
  <c r="C23" i="2"/>
  <c r="C28" i="2"/>
  <c r="G18" i="2"/>
  <c r="C19" i="3"/>
  <c r="C23" i="3"/>
  <c r="F14" i="3"/>
  <c r="D9" i="1"/>
  <c r="C9" i="1"/>
  <c r="E12" i="12"/>
  <c r="C12" i="11"/>
  <c r="E12" i="11"/>
  <c r="D12" i="11"/>
  <c r="E11" i="11"/>
  <c r="C11" i="11"/>
  <c r="D11" i="11"/>
  <c r="B12" i="16"/>
  <c r="B15" i="16"/>
  <c r="D12" i="16"/>
  <c r="D15" i="16"/>
  <c r="D12" i="15"/>
  <c r="D15" i="15"/>
  <c r="B12" i="15"/>
  <c r="B15" i="15"/>
  <c r="B15" i="13"/>
  <c r="B19" i="13"/>
  <c r="B23" i="13"/>
  <c r="E15" i="13"/>
  <c r="E19" i="13"/>
  <c r="E23" i="13"/>
  <c r="C15" i="13"/>
  <c r="C19" i="13"/>
  <c r="C23" i="13"/>
  <c r="D12" i="14"/>
  <c r="D15" i="14"/>
  <c r="C12" i="14"/>
  <c r="B12" i="14"/>
  <c r="B15" i="14"/>
  <c r="D12" i="17"/>
  <c r="D15" i="17"/>
  <c r="C12" i="17"/>
  <c r="B12" i="17"/>
  <c r="B15" i="17"/>
  <c r="C15" i="16"/>
  <c r="C18" i="16"/>
  <c r="C14" i="16"/>
  <c r="C15" i="15"/>
  <c r="C18" i="15"/>
  <c r="C14" i="15"/>
  <c r="D15" i="12"/>
  <c r="D19" i="12"/>
  <c r="D23" i="12"/>
  <c r="D12" i="12"/>
  <c r="E15" i="12"/>
  <c r="E19" i="12"/>
  <c r="E23" i="12"/>
  <c r="C15" i="12"/>
  <c r="B15" i="12"/>
  <c r="B19" i="12"/>
  <c r="B23" i="12"/>
  <c r="C12" i="12"/>
  <c r="F18" i="8"/>
  <c r="F23" i="8"/>
  <c r="F28" i="8"/>
  <c r="B18" i="8"/>
  <c r="B23" i="8"/>
  <c r="B28" i="8"/>
  <c r="D18" i="8"/>
  <c r="D23" i="8"/>
  <c r="D28" i="8"/>
  <c r="C18" i="8"/>
  <c r="E18" i="8"/>
  <c r="E23" i="8"/>
  <c r="E28" i="8"/>
  <c r="D18" i="9"/>
  <c r="D23" i="9"/>
  <c r="D28" i="9"/>
  <c r="C18" i="9"/>
  <c r="B18" i="9"/>
  <c r="B23" i="9"/>
  <c r="B28" i="9"/>
  <c r="F18" i="9"/>
  <c r="F23" i="9"/>
  <c r="F28" i="9"/>
  <c r="E18" i="9"/>
  <c r="E23" i="9"/>
  <c r="E28" i="9"/>
  <c r="D15" i="10"/>
  <c r="D19" i="10"/>
  <c r="D23" i="10"/>
  <c r="B15" i="10"/>
  <c r="B19" i="10"/>
  <c r="B23" i="10"/>
  <c r="C15" i="10"/>
  <c r="C19" i="10"/>
  <c r="C23" i="10"/>
  <c r="C12" i="7"/>
  <c r="C11" i="7"/>
  <c r="B15" i="7"/>
  <c r="B19" i="7"/>
  <c r="B23" i="7"/>
  <c r="D12" i="7"/>
  <c r="E12" i="7"/>
  <c r="D11" i="7"/>
  <c r="D11" i="6"/>
  <c r="E12" i="6"/>
  <c r="C11" i="6"/>
  <c r="D12" i="6"/>
  <c r="E15" i="6"/>
  <c r="E19" i="6"/>
  <c r="E23" i="6"/>
  <c r="C12" i="6"/>
  <c r="B14" i="5"/>
  <c r="B17" i="5"/>
  <c r="C15" i="5"/>
  <c r="C18" i="5"/>
  <c r="D14" i="5"/>
  <c r="C14" i="5"/>
  <c r="B19" i="2"/>
  <c r="C24" i="2"/>
  <c r="D19" i="2"/>
  <c r="D24" i="2"/>
  <c r="E19" i="2"/>
  <c r="E24" i="2"/>
  <c r="F19" i="2"/>
  <c r="F24" i="2"/>
  <c r="B20" i="2"/>
  <c r="C20" i="2"/>
  <c r="C25" i="2"/>
  <c r="D20" i="2"/>
  <c r="D25" i="2"/>
  <c r="E20" i="2"/>
  <c r="E25" i="2"/>
  <c r="F20" i="2"/>
  <c r="F25" i="2"/>
  <c r="B16" i="3"/>
  <c r="C16" i="3"/>
  <c r="C20" i="3"/>
  <c r="D16" i="3"/>
  <c r="D20" i="3"/>
  <c r="E16" i="3"/>
  <c r="E20" i="3"/>
  <c r="C18" i="1"/>
  <c r="C12" i="1"/>
  <c r="D12" i="1"/>
  <c r="B12" i="1"/>
  <c r="D15" i="1"/>
  <c r="D18" i="1"/>
  <c r="B15" i="1"/>
  <c r="B18" i="1"/>
  <c r="E15" i="11"/>
  <c r="E19" i="11"/>
  <c r="E23" i="11"/>
  <c r="D15" i="11"/>
  <c r="D19" i="11"/>
  <c r="D23" i="11"/>
  <c r="C15" i="11"/>
  <c r="B15" i="11"/>
  <c r="B19" i="11"/>
  <c r="B23" i="11"/>
  <c r="D14" i="16"/>
  <c r="B14" i="16"/>
  <c r="B17" i="16"/>
  <c r="D14" i="15"/>
  <c r="B14" i="15"/>
  <c r="B17" i="15"/>
  <c r="C18" i="13"/>
  <c r="C22" i="13"/>
  <c r="B18" i="13"/>
  <c r="B22" i="13"/>
  <c r="E18" i="13"/>
  <c r="E22" i="13"/>
  <c r="D18" i="13"/>
  <c r="D22" i="13"/>
  <c r="F14" i="13"/>
  <c r="B16" i="13"/>
  <c r="C15" i="14"/>
  <c r="C18" i="14"/>
  <c r="C14" i="14"/>
  <c r="D14" i="14"/>
  <c r="B14" i="14"/>
  <c r="B17" i="14"/>
  <c r="C15" i="17"/>
  <c r="C18" i="17"/>
  <c r="D14" i="17"/>
  <c r="C14" i="17"/>
  <c r="B14" i="17"/>
  <c r="B17" i="17"/>
  <c r="B18" i="16"/>
  <c r="D18" i="16"/>
  <c r="D18" i="15"/>
  <c r="B18" i="15"/>
  <c r="B18" i="12"/>
  <c r="B22" i="12"/>
  <c r="D18" i="12"/>
  <c r="D22" i="12"/>
  <c r="C19" i="12"/>
  <c r="C23" i="12"/>
  <c r="F14" i="12"/>
  <c r="E16" i="12"/>
  <c r="E18" i="12"/>
  <c r="E22" i="12"/>
  <c r="C18" i="12"/>
  <c r="C22" i="12"/>
  <c r="C23" i="8"/>
  <c r="C28" i="8"/>
  <c r="G18" i="8"/>
  <c r="F22" i="8"/>
  <c r="F27" i="8"/>
  <c r="C22" i="8"/>
  <c r="C27" i="8"/>
  <c r="B22" i="8"/>
  <c r="B27" i="8"/>
  <c r="D22" i="8"/>
  <c r="D27" i="8"/>
  <c r="E22" i="8"/>
  <c r="E27" i="8"/>
  <c r="C23" i="9"/>
  <c r="C28" i="9"/>
  <c r="G18" i="9"/>
  <c r="C19" i="9"/>
  <c r="B22" i="9"/>
  <c r="B27" i="9"/>
  <c r="D22" i="9"/>
  <c r="D27" i="9"/>
  <c r="C22" i="9"/>
  <c r="C27" i="9"/>
  <c r="E22" i="9"/>
  <c r="E27" i="9"/>
  <c r="F22" i="9"/>
  <c r="F27" i="9"/>
  <c r="C18" i="10"/>
  <c r="C22" i="10"/>
  <c r="B18" i="10"/>
  <c r="B22" i="10"/>
  <c r="D18" i="10"/>
  <c r="D22" i="10"/>
  <c r="E18" i="10"/>
  <c r="E22" i="10"/>
  <c r="F14" i="10"/>
  <c r="E16" i="10"/>
  <c r="D16" i="10"/>
  <c r="D15" i="7"/>
  <c r="D19" i="7"/>
  <c r="D23" i="7"/>
  <c r="C15" i="7"/>
  <c r="F14" i="7"/>
  <c r="E15" i="7"/>
  <c r="E19" i="7"/>
  <c r="E23" i="7"/>
  <c r="D15" i="6"/>
  <c r="D19" i="6"/>
  <c r="D23" i="6"/>
  <c r="B15" i="6"/>
  <c r="B19" i="6"/>
  <c r="B23" i="6"/>
  <c r="C15" i="6"/>
  <c r="C19" i="6"/>
  <c r="C23" i="6"/>
  <c r="F14" i="6"/>
  <c r="D17" i="5"/>
  <c r="C17" i="5"/>
  <c r="B18" i="5"/>
  <c r="D18" i="5"/>
  <c r="F2" i="5" a="1"/>
  <c r="F2" i="5"/>
  <c r="B25" i="2"/>
  <c r="C29" i="2"/>
  <c r="C34" i="2"/>
  <c r="C39" i="2"/>
  <c r="D29" i="2"/>
  <c r="E29" i="2"/>
  <c r="E34" i="2"/>
  <c r="E39" i="2"/>
  <c r="F29" i="2"/>
  <c r="F34" i="2"/>
  <c r="F39" i="2"/>
  <c r="B24" i="2"/>
  <c r="B29" i="2"/>
  <c r="B34" i="2"/>
  <c r="B39" i="2"/>
  <c r="C24" i="3"/>
  <c r="C28" i="3"/>
  <c r="D24" i="3"/>
  <c r="E24" i="3"/>
  <c r="E28" i="3"/>
  <c r="B20" i="3"/>
  <c r="B24" i="3"/>
  <c r="B28" i="3"/>
  <c r="C14" i="1"/>
  <c r="D14" i="1"/>
  <c r="B14" i="1"/>
  <c r="B17" i="1"/>
  <c r="C17" i="14"/>
  <c r="F14" i="11"/>
  <c r="C19" i="11"/>
  <c r="C23" i="11"/>
  <c r="B18" i="11"/>
  <c r="B22" i="11"/>
  <c r="C18" i="11"/>
  <c r="C22" i="11"/>
  <c r="D18" i="11"/>
  <c r="D22" i="11"/>
  <c r="E18" i="11"/>
  <c r="E22" i="11"/>
  <c r="D17" i="16"/>
  <c r="F2" i="16" a="1"/>
  <c r="F2" i="16"/>
  <c r="C17" i="16"/>
  <c r="D17" i="15"/>
  <c r="C17" i="15"/>
  <c r="E16" i="13"/>
  <c r="E20" i="13"/>
  <c r="C16" i="13"/>
  <c r="C20" i="13"/>
  <c r="D16" i="13"/>
  <c r="D20" i="13"/>
  <c r="D24" i="13"/>
  <c r="B18" i="14"/>
  <c r="D18" i="14"/>
  <c r="D17" i="14"/>
  <c r="D17" i="17"/>
  <c r="D18" i="17"/>
  <c r="B18" i="17"/>
  <c r="C17" i="17"/>
  <c r="F2" i="15" a="1"/>
  <c r="F2" i="15"/>
  <c r="C16" i="12"/>
  <c r="C20" i="12"/>
  <c r="B16" i="12"/>
  <c r="D16" i="12"/>
  <c r="E20" i="8"/>
  <c r="B19" i="8"/>
  <c r="B24" i="8"/>
  <c r="D20" i="8"/>
  <c r="D25" i="8"/>
  <c r="B20" i="8"/>
  <c r="E19" i="8"/>
  <c r="D19" i="8"/>
  <c r="F20" i="8"/>
  <c r="F19" i="8"/>
  <c r="C19" i="8"/>
  <c r="C24" i="8"/>
  <c r="C20" i="8"/>
  <c r="C25" i="8"/>
  <c r="E20" i="9"/>
  <c r="B19" i="9"/>
  <c r="D20" i="9"/>
  <c r="F19" i="9"/>
  <c r="E19" i="9"/>
  <c r="D19" i="9"/>
  <c r="F20" i="9"/>
  <c r="C20" i="9"/>
  <c r="C25" i="9"/>
  <c r="B20" i="9"/>
  <c r="C24" i="9"/>
  <c r="C16" i="10"/>
  <c r="C20" i="10"/>
  <c r="B16" i="10"/>
  <c r="B20" i="10"/>
  <c r="D20" i="10"/>
  <c r="E20" i="10"/>
  <c r="D18" i="7"/>
  <c r="D22" i="7"/>
  <c r="B18" i="7"/>
  <c r="B22" i="7"/>
  <c r="C18" i="7"/>
  <c r="C22" i="7"/>
  <c r="E18" i="7"/>
  <c r="E22" i="7"/>
  <c r="C19" i="7"/>
  <c r="C23" i="7"/>
  <c r="E16" i="7"/>
  <c r="D16" i="7"/>
  <c r="C16" i="7"/>
  <c r="C20" i="7"/>
  <c r="B16" i="7"/>
  <c r="B18" i="6"/>
  <c r="B22" i="6"/>
  <c r="C18" i="6"/>
  <c r="C22" i="6"/>
  <c r="D18" i="6"/>
  <c r="D22" i="6"/>
  <c r="E18" i="6"/>
  <c r="E22" i="6"/>
  <c r="E16" i="6"/>
  <c r="C16" i="6"/>
  <c r="C20" i="6"/>
  <c r="B16" i="6"/>
  <c r="D16" i="6"/>
  <c r="D34" i="2"/>
  <c r="D39" i="2"/>
  <c r="G29" i="2"/>
  <c r="B32" i="2"/>
  <c r="B37" i="2"/>
  <c r="C32" i="2"/>
  <c r="C37" i="2"/>
  <c r="D32" i="2"/>
  <c r="D37" i="2"/>
  <c r="E32" i="2"/>
  <c r="E37" i="2"/>
  <c r="F32" i="2"/>
  <c r="F37" i="2"/>
  <c r="F33" i="2"/>
  <c r="F38" i="2"/>
  <c r="E33" i="2"/>
  <c r="E38" i="2"/>
  <c r="D33" i="2"/>
  <c r="D38" i="2"/>
  <c r="B33" i="2"/>
  <c r="B38" i="2"/>
  <c r="C33" i="2"/>
  <c r="C38" i="2"/>
  <c r="D28" i="3"/>
  <c r="F22" i="3"/>
  <c r="B26" i="3"/>
  <c r="B30" i="3"/>
  <c r="C26" i="3"/>
  <c r="C30" i="3"/>
  <c r="D26" i="3"/>
  <c r="D30" i="3"/>
  <c r="E26" i="3"/>
  <c r="E30" i="3"/>
  <c r="E27" i="3"/>
  <c r="D27" i="3"/>
  <c r="B27" i="3"/>
  <c r="C27" i="3"/>
  <c r="C31" i="3"/>
  <c r="C32" i="3"/>
  <c r="D17" i="1"/>
  <c r="C17" i="1"/>
  <c r="F2" i="17" a="1"/>
  <c r="F2" i="17"/>
  <c r="F2" i="14" a="1"/>
  <c r="F2" i="14"/>
  <c r="E16" i="11"/>
  <c r="D16" i="11"/>
  <c r="C16" i="11"/>
  <c r="C20" i="11"/>
  <c r="B16" i="11"/>
  <c r="B20" i="13"/>
  <c r="B24" i="13"/>
  <c r="B28" i="13"/>
  <c r="C24" i="13"/>
  <c r="C28" i="13"/>
  <c r="E24" i="13"/>
  <c r="E28" i="13"/>
  <c r="D28" i="13"/>
  <c r="D32" i="13"/>
  <c r="F22" i="13"/>
  <c r="D27" i="13"/>
  <c r="D26" i="13"/>
  <c r="B20" i="12"/>
  <c r="D20" i="12"/>
  <c r="C24" i="12"/>
  <c r="C28" i="12"/>
  <c r="D24" i="12"/>
  <c r="D28" i="12"/>
  <c r="E20" i="12"/>
  <c r="F24" i="8"/>
  <c r="D24" i="8"/>
  <c r="B29" i="8"/>
  <c r="B34" i="8"/>
  <c r="B39" i="8"/>
  <c r="B25" i="8"/>
  <c r="E24" i="8"/>
  <c r="E25" i="8"/>
  <c r="F25" i="8"/>
  <c r="D25" i="9"/>
  <c r="B25" i="9"/>
  <c r="E25" i="9"/>
  <c r="B24" i="9"/>
  <c r="F25" i="9"/>
  <c r="D24" i="9"/>
  <c r="E24" i="9"/>
  <c r="F24" i="9"/>
  <c r="B24" i="10"/>
  <c r="B28" i="10"/>
  <c r="C24" i="10"/>
  <c r="C28" i="10"/>
  <c r="D24" i="10"/>
  <c r="D26" i="10"/>
  <c r="E24" i="10"/>
  <c r="E28" i="10"/>
  <c r="B20" i="7"/>
  <c r="D20" i="7"/>
  <c r="E20" i="7"/>
  <c r="B20" i="6"/>
  <c r="E20" i="6"/>
  <c r="D20" i="6"/>
  <c r="B30" i="2"/>
  <c r="C30" i="2"/>
  <c r="D30" i="2"/>
  <c r="D35" i="2"/>
  <c r="E30" i="2"/>
  <c r="E35" i="2"/>
  <c r="F30" i="2"/>
  <c r="B31" i="3"/>
  <c r="D31" i="3"/>
  <c r="E31" i="3"/>
  <c r="D32" i="3"/>
  <c r="B32" i="3"/>
  <c r="E32" i="3"/>
  <c r="D20" i="11"/>
  <c r="D24" i="11"/>
  <c r="C24" i="11"/>
  <c r="C28" i="11"/>
  <c r="E20" i="11"/>
  <c r="E24" i="11"/>
  <c r="E28" i="11"/>
  <c r="B20" i="11"/>
  <c r="B24" i="11"/>
  <c r="B28" i="11"/>
  <c r="C26" i="13"/>
  <c r="C27" i="13"/>
  <c r="C31" i="13"/>
  <c r="B26" i="13"/>
  <c r="B30" i="13"/>
  <c r="B27" i="13"/>
  <c r="E26" i="13"/>
  <c r="B32" i="13"/>
  <c r="E27" i="13"/>
  <c r="C32" i="13"/>
  <c r="E32" i="13"/>
  <c r="E24" i="12"/>
  <c r="E27" i="12"/>
  <c r="B24" i="12"/>
  <c r="B28" i="12"/>
  <c r="B32" i="12"/>
  <c r="C27" i="12"/>
  <c r="C31" i="12"/>
  <c r="D27" i="12"/>
  <c r="F22" i="12"/>
  <c r="D32" i="12"/>
  <c r="C32" i="12"/>
  <c r="C26" i="12"/>
  <c r="D26" i="12"/>
  <c r="E29" i="8"/>
  <c r="E34" i="8"/>
  <c r="E39" i="8"/>
  <c r="F29" i="8"/>
  <c r="F34" i="8"/>
  <c r="F39" i="8"/>
  <c r="C29" i="8"/>
  <c r="C34" i="8"/>
  <c r="C39" i="8"/>
  <c r="D29" i="8"/>
  <c r="D32" i="8"/>
  <c r="D37" i="8"/>
  <c r="D34" i="8"/>
  <c r="D39" i="8"/>
  <c r="G29" i="8"/>
  <c r="B33" i="8"/>
  <c r="B38" i="8"/>
  <c r="D38" i="8"/>
  <c r="F35" i="2"/>
  <c r="B29" i="9"/>
  <c r="B34" i="9"/>
  <c r="B39" i="9"/>
  <c r="F29" i="9"/>
  <c r="F34" i="9"/>
  <c r="F39" i="9"/>
  <c r="E29" i="9"/>
  <c r="E34" i="9"/>
  <c r="E39" i="9"/>
  <c r="D29" i="9"/>
  <c r="C29" i="9"/>
  <c r="C34" i="9"/>
  <c r="C39" i="9"/>
  <c r="D27" i="10"/>
  <c r="E27" i="10"/>
  <c r="B26" i="10"/>
  <c r="B30" i="10"/>
  <c r="B27" i="10"/>
  <c r="D28" i="10"/>
  <c r="C32" i="10"/>
  <c r="C27" i="10"/>
  <c r="C31" i="10"/>
  <c r="C26" i="10"/>
  <c r="E26" i="10"/>
  <c r="F22" i="10"/>
  <c r="E24" i="7"/>
  <c r="E28" i="7"/>
  <c r="D24" i="7"/>
  <c r="C24" i="7"/>
  <c r="C28" i="7"/>
  <c r="B24" i="7"/>
  <c r="B28" i="7"/>
  <c r="D24" i="6"/>
  <c r="B24" i="6"/>
  <c r="B28" i="6"/>
  <c r="C24" i="6"/>
  <c r="C28" i="6"/>
  <c r="E24" i="6"/>
  <c r="E28" i="6"/>
  <c r="D40" i="2"/>
  <c r="D45" i="2"/>
  <c r="E40" i="2"/>
  <c r="F40" i="2"/>
  <c r="F45" i="2"/>
  <c r="C35" i="2"/>
  <c r="C40" i="2"/>
  <c r="C45" i="2"/>
  <c r="B35" i="2"/>
  <c r="B40" i="2"/>
  <c r="B45" i="2"/>
  <c r="F2" i="1" a="1"/>
  <c r="F2" i="1"/>
  <c r="E28" i="12"/>
  <c r="E32" i="12"/>
  <c r="D28" i="11"/>
  <c r="D32" i="11"/>
  <c r="F22" i="11"/>
  <c r="D27" i="11"/>
  <c r="E27" i="11"/>
  <c r="B27" i="11"/>
  <c r="B31" i="11"/>
  <c r="E26" i="11"/>
  <c r="B26" i="11"/>
  <c r="B30" i="11"/>
  <c r="D26" i="11"/>
  <c r="D30" i="11"/>
  <c r="C26" i="11"/>
  <c r="C27" i="11"/>
  <c r="C31" i="11"/>
  <c r="D31" i="13"/>
  <c r="B31" i="13"/>
  <c r="C30" i="13"/>
  <c r="E31" i="13"/>
  <c r="D30" i="13"/>
  <c r="E30" i="13"/>
  <c r="G2" i="13" a="1"/>
  <c r="G4" i="13"/>
  <c r="B26" i="12"/>
  <c r="B30" i="12"/>
  <c r="E26" i="12"/>
  <c r="B27" i="12"/>
  <c r="B31" i="12"/>
  <c r="D31" i="12"/>
  <c r="E31" i="12"/>
  <c r="B32" i="8"/>
  <c r="B37" i="8"/>
  <c r="C33" i="8"/>
  <c r="C38" i="8"/>
  <c r="E33" i="8"/>
  <c r="E38" i="8"/>
  <c r="F33" i="8"/>
  <c r="F38" i="8"/>
  <c r="E32" i="8"/>
  <c r="E37" i="8"/>
  <c r="F32" i="8"/>
  <c r="F37" i="8"/>
  <c r="C32" i="8"/>
  <c r="C37" i="8"/>
  <c r="D30" i="8"/>
  <c r="D35" i="8"/>
  <c r="C30" i="8"/>
  <c r="B30" i="8"/>
  <c r="F30" i="8"/>
  <c r="E30" i="8"/>
  <c r="D34" i="9"/>
  <c r="D39" i="9"/>
  <c r="G29" i="9"/>
  <c r="D33" i="9"/>
  <c r="D38" i="9"/>
  <c r="E33" i="9"/>
  <c r="E38" i="9"/>
  <c r="F33" i="9"/>
  <c r="F38" i="9"/>
  <c r="B33" i="9"/>
  <c r="B38" i="9"/>
  <c r="E32" i="9"/>
  <c r="E37" i="9"/>
  <c r="D32" i="9"/>
  <c r="D37" i="9"/>
  <c r="B32" i="9"/>
  <c r="B37" i="9"/>
  <c r="C32" i="9"/>
  <c r="C37" i="9"/>
  <c r="C33" i="9"/>
  <c r="C38" i="9"/>
  <c r="F32" i="9"/>
  <c r="F37" i="9"/>
  <c r="E32" i="10"/>
  <c r="D31" i="10"/>
  <c r="E30" i="10"/>
  <c r="C30" i="10"/>
  <c r="E31" i="10"/>
  <c r="D30" i="10"/>
  <c r="D32" i="10"/>
  <c r="B32" i="10"/>
  <c r="B31" i="10"/>
  <c r="F22" i="7"/>
  <c r="D28" i="7"/>
  <c r="D32" i="7"/>
  <c r="E27" i="7"/>
  <c r="D27" i="7"/>
  <c r="B27" i="7"/>
  <c r="D26" i="7"/>
  <c r="C26" i="7"/>
  <c r="E26" i="7"/>
  <c r="C27" i="7"/>
  <c r="C31" i="7"/>
  <c r="B26" i="7"/>
  <c r="B30" i="7"/>
  <c r="D28" i="6"/>
  <c r="D32" i="6"/>
  <c r="F22" i="6"/>
  <c r="B27" i="6"/>
  <c r="E27" i="6"/>
  <c r="D27" i="6"/>
  <c r="C27" i="6"/>
  <c r="C31" i="6"/>
  <c r="B26" i="6"/>
  <c r="B30" i="6"/>
  <c r="D26" i="6"/>
  <c r="E26" i="6"/>
  <c r="C26" i="6"/>
  <c r="E45" i="2"/>
  <c r="B44" i="2"/>
  <c r="F44" i="2"/>
  <c r="E44" i="2"/>
  <c r="C44" i="2"/>
  <c r="C43" i="2"/>
  <c r="C48" i="2"/>
  <c r="B43" i="2"/>
  <c r="B48" i="2"/>
  <c r="D43" i="2"/>
  <c r="E43" i="2"/>
  <c r="F43" i="2"/>
  <c r="F42" i="2"/>
  <c r="E42" i="2"/>
  <c r="D42" i="2"/>
  <c r="C42" i="2"/>
  <c r="B42" i="2"/>
  <c r="B47" i="2"/>
  <c r="D44" i="2"/>
  <c r="D49" i="2"/>
  <c r="D50" i="2"/>
  <c r="D30" i="12"/>
  <c r="E30" i="12"/>
  <c r="E31" i="11"/>
  <c r="D31" i="11"/>
  <c r="C30" i="11"/>
  <c r="C32" i="11"/>
  <c r="B32" i="11"/>
  <c r="E30" i="11"/>
  <c r="E32" i="11"/>
  <c r="G2" i="13"/>
  <c r="G3" i="13"/>
  <c r="C30" i="12"/>
  <c r="G2" i="12" a="1"/>
  <c r="G4" i="12"/>
  <c r="E35" i="8"/>
  <c r="D40" i="8"/>
  <c r="D45" i="8"/>
  <c r="F35" i="8"/>
  <c r="C35" i="8"/>
  <c r="B35" i="8"/>
  <c r="F48" i="2"/>
  <c r="E48" i="2"/>
  <c r="D48" i="2"/>
  <c r="D30" i="9"/>
  <c r="D35" i="9"/>
  <c r="C30" i="9"/>
  <c r="C35" i="9"/>
  <c r="F30" i="9"/>
  <c r="E30" i="9"/>
  <c r="B30" i="9"/>
  <c r="B35" i="9"/>
  <c r="G2" i="10" a="1"/>
  <c r="G3" i="10"/>
  <c r="E31" i="7"/>
  <c r="B31" i="7"/>
  <c r="E30" i="7"/>
  <c r="B32" i="7"/>
  <c r="C30" i="7"/>
  <c r="C32" i="7"/>
  <c r="D30" i="7"/>
  <c r="E32" i="7"/>
  <c r="D31" i="7"/>
  <c r="C30" i="6"/>
  <c r="E30" i="6"/>
  <c r="D30" i="6"/>
  <c r="E32" i="6"/>
  <c r="D31" i="6"/>
  <c r="E31" i="6"/>
  <c r="B31" i="6"/>
  <c r="B32" i="6"/>
  <c r="C32" i="6"/>
  <c r="C47" i="2"/>
  <c r="D47" i="2"/>
  <c r="E47" i="2"/>
  <c r="F47" i="2"/>
  <c r="C49" i="2"/>
  <c r="E49" i="2"/>
  <c r="F49" i="2"/>
  <c r="B49" i="2"/>
  <c r="E50" i="2"/>
  <c r="B50" i="2"/>
  <c r="C50" i="2"/>
  <c r="F50" i="2"/>
  <c r="G2" i="3" a="1"/>
  <c r="G2" i="3"/>
  <c r="G3" i="3"/>
  <c r="G4" i="3"/>
  <c r="H2" i="2" a="1"/>
  <c r="H5" i="2"/>
  <c r="G2" i="11" a="1"/>
  <c r="G4" i="11"/>
  <c r="G3" i="12"/>
  <c r="G2" i="12"/>
  <c r="C40" i="8"/>
  <c r="C45" i="8"/>
  <c r="F40" i="8"/>
  <c r="F45" i="8"/>
  <c r="E40" i="8"/>
  <c r="C44" i="8"/>
  <c r="B40" i="8"/>
  <c r="B45" i="8"/>
  <c r="H4" i="2"/>
  <c r="H2" i="2"/>
  <c r="H3" i="2"/>
  <c r="E35" i="9"/>
  <c r="F35" i="9"/>
  <c r="G2" i="10"/>
  <c r="G4" i="10"/>
  <c r="G2" i="7" a="1"/>
  <c r="G2" i="6" a="1"/>
  <c r="G3" i="6"/>
  <c r="G2" i="11"/>
  <c r="G3" i="11"/>
  <c r="E42" i="8"/>
  <c r="B43" i="8"/>
  <c r="E43" i="8"/>
  <c r="E45" i="8"/>
  <c r="E50" i="8"/>
  <c r="D44" i="8"/>
  <c r="D49" i="8"/>
  <c r="D43" i="8"/>
  <c r="D48" i="8" s="1"/>
  <c r="C42" i="8"/>
  <c r="C47" i="8"/>
  <c r="D42" i="8"/>
  <c r="D47" i="8"/>
  <c r="F42" i="8"/>
  <c r="E44" i="8"/>
  <c r="B42" i="8"/>
  <c r="B47" i="8"/>
  <c r="B44" i="8"/>
  <c r="F43" i="8"/>
  <c r="F44" i="8"/>
  <c r="F49" i="8"/>
  <c r="C43" i="8"/>
  <c r="C48" i="8"/>
  <c r="D40" i="9"/>
  <c r="D45" i="9"/>
  <c r="C40" i="9"/>
  <c r="C45" i="9"/>
  <c r="F40" i="9"/>
  <c r="F45" i="9"/>
  <c r="E40" i="9"/>
  <c r="B40" i="9"/>
  <c r="B45" i="9"/>
  <c r="G2" i="7"/>
  <c r="G4" i="7"/>
  <c r="G3" i="7"/>
  <c r="G2" i="6"/>
  <c r="G4" i="6"/>
  <c r="E49" i="8"/>
  <c r="F48" i="8"/>
  <c r="B49" i="8"/>
  <c r="F50" i="8"/>
  <c r="B48" i="8"/>
  <c r="C50" i="8"/>
  <c r="B50" i="8"/>
  <c r="C49" i="8"/>
  <c r="D50" i="8"/>
  <c r="E48" i="8"/>
  <c r="F47" i="8"/>
  <c r="E47" i="8"/>
  <c r="H2" i="8" a="1"/>
  <c r="H2" i="8"/>
  <c r="E45" i="9"/>
  <c r="E50" i="9"/>
  <c r="E44" i="9"/>
  <c r="B44" i="9"/>
  <c r="F44" i="9"/>
  <c r="C44" i="9"/>
  <c r="F43" i="9"/>
  <c r="F42" i="9"/>
  <c r="F47" i="9"/>
  <c r="C43" i="9"/>
  <c r="C48" i="9"/>
  <c r="B42" i="9"/>
  <c r="B47" i="9"/>
  <c r="D43" i="9"/>
  <c r="D44" i="9"/>
  <c r="D49" i="9"/>
  <c r="D42" i="9"/>
  <c r="E43" i="9"/>
  <c r="E42" i="9"/>
  <c r="E47" i="9"/>
  <c r="B43" i="9"/>
  <c r="C42" i="9"/>
  <c r="B50" i="9"/>
  <c r="F50" i="9"/>
  <c r="C50" i="9"/>
  <c r="H3" i="8"/>
  <c r="H5" i="8"/>
  <c r="H4" i="8"/>
  <c r="D50" i="9"/>
  <c r="C47" i="9"/>
  <c r="C49" i="9"/>
  <c r="D47" i="9"/>
  <c r="F49" i="9"/>
  <c r="F48" i="9"/>
  <c r="B48" i="9"/>
  <c r="H2" i="9" a="1"/>
  <c r="E48" i="9"/>
  <c r="B49" i="9"/>
  <c r="D48" i="9"/>
  <c r="E49" i="9"/>
  <c r="H2" i="9"/>
  <c r="H5" i="9"/>
  <c r="H4" i="9"/>
  <c r="H3" i="9"/>
  <c r="E18" i="4" l="1"/>
  <c r="E23" i="4" s="1"/>
  <c r="E28" i="4" s="1"/>
  <c r="C18" i="4"/>
  <c r="D18" i="4"/>
  <c r="D23" i="4" s="1"/>
  <c r="D28" i="4" s="1"/>
  <c r="F18" i="4"/>
  <c r="F23" i="4" s="1"/>
  <c r="F28" i="4" s="1"/>
  <c r="B23" i="4"/>
  <c r="B28" i="4" s="1"/>
  <c r="E13" i="4"/>
  <c r="E19" i="4" s="1"/>
  <c r="C15" i="4"/>
  <c r="C20" i="4" s="1"/>
  <c r="C25" i="4" s="1"/>
  <c r="F15" i="4"/>
  <c r="D13" i="4"/>
  <c r="G18" i="4"/>
  <c r="E20" i="4" s="1"/>
  <c r="C22" i="4"/>
  <c r="C27" i="4" s="1"/>
  <c r="D22" i="4"/>
  <c r="D27" i="4" s="1"/>
  <c r="E22" i="4"/>
  <c r="E27" i="4" s="1"/>
  <c r="D20" i="4"/>
  <c r="D19" i="4"/>
  <c r="C23" i="4"/>
  <c r="C28" i="4" s="1"/>
  <c r="C19" i="4"/>
  <c r="C24" i="4" s="1"/>
  <c r="F20" i="4" l="1"/>
  <c r="F22" i="4"/>
  <c r="F27" i="4" s="1"/>
  <c r="B22" i="4"/>
  <c r="B27" i="4" s="1"/>
  <c r="B24" i="4"/>
  <c r="F19" i="4"/>
  <c r="F24" i="4" s="1"/>
  <c r="B25" i="4"/>
  <c r="D24" i="4"/>
  <c r="D29" i="4" s="1"/>
  <c r="E24" i="4"/>
  <c r="D25" i="4"/>
  <c r="E25" i="4"/>
  <c r="F25" i="4"/>
  <c r="C29" i="4"/>
  <c r="C34" i="4" s="1"/>
  <c r="C39" i="4" s="1"/>
  <c r="B29" i="4" l="1"/>
  <c r="B34" i="4" s="1"/>
  <c r="B39" i="4" s="1"/>
  <c r="F29" i="4"/>
  <c r="F34" i="4" s="1"/>
  <c r="F39" i="4" s="1"/>
  <c r="E29" i="4"/>
  <c r="E34" i="4" s="1"/>
  <c r="E39" i="4" s="1"/>
  <c r="D32" i="4"/>
  <c r="D37" i="4" s="1"/>
  <c r="C32" i="4"/>
  <c r="C37" i="4" s="1"/>
  <c r="C33" i="4"/>
  <c r="C38" i="4" s="1"/>
  <c r="D34" i="4"/>
  <c r="D39" i="4" s="1"/>
  <c r="G29" i="4"/>
  <c r="D33" i="4"/>
  <c r="D38" i="4" s="1"/>
  <c r="F32" i="4"/>
  <c r="F37" i="4" s="1"/>
  <c r="F33" i="4"/>
  <c r="F38" i="4" s="1"/>
  <c r="B33" i="4"/>
  <c r="B38" i="4" s="1"/>
  <c r="E33" i="4"/>
  <c r="E38" i="4" s="1"/>
  <c r="B32" i="4" l="1"/>
  <c r="B37" i="4" s="1"/>
  <c r="E32" i="4"/>
  <c r="E37" i="4" s="1"/>
  <c r="E30" i="4"/>
  <c r="B30" i="4"/>
  <c r="C30" i="4"/>
  <c r="F30" i="4"/>
  <c r="D30" i="4"/>
  <c r="D35" i="4" s="1"/>
  <c r="B35" i="4" l="1"/>
  <c r="B40" i="4" s="1"/>
  <c r="B45" i="4" s="1"/>
  <c r="E35" i="4"/>
  <c r="E40" i="4" s="1"/>
  <c r="D40" i="4"/>
  <c r="D45" i="4" s="1"/>
  <c r="F35" i="4"/>
  <c r="C35" i="4"/>
  <c r="C40" i="4" s="1"/>
  <c r="C45" i="4" s="1"/>
  <c r="F40" i="4" l="1"/>
  <c r="F45" i="4" s="1"/>
  <c r="E45" i="4"/>
  <c r="E50" i="4" s="1"/>
  <c r="D42" i="4"/>
  <c r="B42" i="4"/>
  <c r="B47" i="4" s="1"/>
  <c r="E42" i="4"/>
  <c r="E47" i="4" s="1"/>
  <c r="C44" i="4"/>
  <c r="F44" i="4"/>
  <c r="F49" i="4" s="1"/>
  <c r="E44" i="4"/>
  <c r="B44" i="4"/>
  <c r="E43" i="4"/>
  <c r="B43" i="4"/>
  <c r="C42" i="4"/>
  <c r="F43" i="4"/>
  <c r="D44" i="4"/>
  <c r="D49" i="4" s="1"/>
  <c r="F42" i="4"/>
  <c r="F47" i="4" s="1"/>
  <c r="C43" i="4"/>
  <c r="C48" i="4" s="1"/>
  <c r="D43" i="4"/>
  <c r="B50" i="4"/>
  <c r="C47" i="4" l="1"/>
  <c r="D50" i="4"/>
  <c r="D48" i="4"/>
  <c r="F48" i="4"/>
  <c r="B48" i="4"/>
  <c r="E48" i="4"/>
  <c r="C49" i="4"/>
  <c r="D47" i="4"/>
  <c r="B49" i="4"/>
  <c r="F50" i="4"/>
  <c r="H2" i="4" s="1" a="1"/>
  <c r="E49" i="4"/>
  <c r="C50" i="4"/>
  <c r="H3" i="4" l="1"/>
  <c r="H2" i="4"/>
  <c r="H5" i="4"/>
  <c r="H4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<sst xmlns="http://schemas.openxmlformats.org/spreadsheetml/2006/main" count="239" uniqueCount="38">
  <si>
    <t>GAUSS-JORDAN</t>
  </si>
  <si>
    <t xml:space="preserve"> A</t>
  </si>
  <si>
    <t>B</t>
  </si>
  <si>
    <t xml:space="preserve"> Bandera</t>
  </si>
  <si>
    <t>Comprobación</t>
  </si>
  <si>
    <t>AX=B</t>
  </si>
  <si>
    <t>pivote 1</t>
  </si>
  <si>
    <t>operaciones 1</t>
  </si>
  <si>
    <t>pivote 2</t>
  </si>
  <si>
    <t>operaciones 2</t>
  </si>
  <si>
    <t>pivote 3</t>
  </si>
  <si>
    <t>operaciones 3</t>
  </si>
  <si>
    <t>pivote 4</t>
  </si>
  <si>
    <t>operaciones 4</t>
  </si>
  <si>
    <t>X</t>
  </si>
  <si>
    <t>final</t>
  </si>
  <si>
    <t>A</t>
  </si>
  <si>
    <t>Bandera</t>
  </si>
  <si>
    <t>bandera</t>
  </si>
  <si>
    <t>Comprobacion</t>
  </si>
  <si>
    <t>Pivote 1</t>
  </si>
  <si>
    <t>Operaciones 1</t>
  </si>
  <si>
    <t>Pivote 2</t>
  </si>
  <si>
    <t>Operaciones 2</t>
  </si>
  <si>
    <t>Final</t>
  </si>
  <si>
    <t xml:space="preserve"> </t>
  </si>
  <si>
    <t>OBLIGATORIAMENTE DEBE SER RESPETADO LAS MAYUSCULAS Y MINUSCULAS</t>
  </si>
  <si>
    <t>Para el word</t>
  </si>
  <si>
    <t>La solucion del sistema es:</t>
  </si>
  <si>
    <t>x=y=z=w=1</t>
  </si>
  <si>
    <t>ya esta pero me gustaria comparar, nuevamente error de no dar un 0 (G2)</t>
  </si>
  <si>
    <t xml:space="preserve">primer ecuacion </t>
  </si>
  <si>
    <t>a+b+c</t>
  </si>
  <si>
    <t>segunda ecuacion</t>
  </si>
  <si>
    <t>b=2c</t>
  </si>
  <si>
    <t>tercera ecuacion</t>
  </si>
  <si>
    <t>a=4(b+c)</t>
  </si>
  <si>
    <t>kik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</si>
</sst>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"/>
    <numFmt numFmtId="165" formatCode="0.0"/>
    <numFmt numFmtId="166" formatCode="0E+00"/>
    <numFmt numFmtId="167" formatCode="0.000"/>
    <numFmt numFmtId="168" formatCode="0.0E+00"/>
    <numFmt numFmtId="169" formatCode="0.00000"/>
  </numFmts>
  <fonts count="23" x14ac:knownFonts="1">
    <font>
      <sz val="11"/>
      <color theme="1"/>
      <name val="Aptos Narrow"/>
      <family val="2"/>
      <scheme val="minor"/>
    </font>
    <font>
      <b/>
      <sz val="12"/>
      <color rgb="FFFF0000"/>
      <name val="Arial"/>
      <family val="2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b/>
      <sz val="12"/>
      <color theme="1"/>
      <name val="Arial"/>
      <family val="2"/>
    </font>
    <font>
      <b/>
      <sz val="12"/>
      <color theme="2"/>
      <name val="Arial"/>
      <family val="2"/>
    </font>
    <font>
      <b/>
      <i/>
      <sz val="12"/>
      <color rgb="FFFF0000"/>
      <name val="Arial"/>
      <family val="2"/>
    </font>
    <font>
      <sz val="12"/>
      <name val="Arial"/>
      <family val="2"/>
    </font>
    <font>
      <sz val="12"/>
      <color rgb="FFE049F2"/>
      <name val="Arial"/>
      <family val="2"/>
    </font>
    <font>
      <b/>
      <i/>
      <sz val="12"/>
      <color theme="1"/>
      <name val="Arial"/>
      <family val="2"/>
    </font>
    <font>
      <b/>
      <sz val="12"/>
      <name val="Arial"/>
      <family val="2"/>
    </font>
    <font>
      <b/>
      <sz val="11"/>
      <color theme="1"/>
      <name val="Aptos Narrow"/>
      <family val="2"/>
      <scheme val="minor"/>
    </font>
    <font>
      <b/>
      <sz val="10"/>
      <color rgb="FFFF0000"/>
      <name val="Arial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b/>
      <sz val="10"/>
      <color theme="1"/>
      <name val="Arial"/>
      <family val="2"/>
    </font>
    <font>
      <b/>
      <i/>
      <sz val="10"/>
      <color theme="1"/>
      <name val="Arial"/>
      <family val="2"/>
    </font>
    <font>
      <b/>
      <sz val="10"/>
      <color theme="2"/>
      <name val="Arial"/>
      <family val="2"/>
    </font>
    <font>
      <sz val="10"/>
      <color theme="1"/>
      <name val="Aptos Narrow"/>
      <family val="2"/>
      <scheme val="minor"/>
    </font>
    <font>
      <b/>
      <sz val="10"/>
      <name val="Arial"/>
      <family val="2"/>
    </font>
    <font>
      <b/>
      <i/>
      <sz val="10"/>
      <color rgb="FFFF000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EFA9F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/>
    <xf numFmtId="0" fontId="2" fillId="0" borderId="0" xfId="0" applyFont="1"/>
    <xf numFmtId="0" fontId="2" fillId="0" borderId="0" xfId="0" applyFont="1" applyAlignment="1">
      <alignment horizontal="center"/>
    </xf>
    <xf numFmtId="0" fontId="3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4" borderId="0" xfId="0" applyFont="1" applyFill="1" applyAlignment="1">
      <alignment horizontal="center"/>
    </xf>
    <xf numFmtId="0" fontId="2" fillId="5" borderId="0" xfId="0" applyFont="1" applyFill="1" applyAlignment="1">
      <alignment horizontal="center" vertical="center"/>
    </xf>
    <xf numFmtId="0" fontId="5" fillId="0" borderId="0" xfId="0" applyFont="1" applyAlignment="1">
      <alignment horizontal="center"/>
    </xf>
    <xf numFmtId="0" fontId="2" fillId="8" borderId="0" xfId="0" applyFont="1" applyFill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1" fontId="2" fillId="0" borderId="0" xfId="0" applyNumberFormat="1" applyFont="1" applyAlignment="1">
      <alignment horizontal="center" vertical="center"/>
    </xf>
    <xf numFmtId="0" fontId="1" fillId="11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10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10" fillId="9" borderId="0" xfId="0" applyFont="1" applyFill="1" applyAlignment="1">
      <alignment horizontal="center" vertical="center"/>
    </xf>
    <xf numFmtId="0" fontId="9" fillId="7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0" fillId="0" borderId="0" xfId="0" applyFont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164" fontId="6" fillId="2" borderId="3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1" fontId="9" fillId="0" borderId="0" xfId="0" applyNumberFormat="1" applyFont="1" applyAlignment="1">
      <alignment horizontal="center" vertical="center"/>
    </xf>
    <xf numFmtId="166" fontId="2" fillId="7" borderId="1" xfId="0" applyNumberFormat="1" applyFont="1" applyFill="1" applyBorder="1" applyAlignment="1">
      <alignment horizontal="center" vertical="center"/>
    </xf>
    <xf numFmtId="165" fontId="7" fillId="0" borderId="0" xfId="0" applyNumberFormat="1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164" fontId="2" fillId="8" borderId="0" xfId="0" applyNumberFormat="1" applyFont="1" applyFill="1" applyAlignment="1">
      <alignment horizontal="center" vertical="center"/>
    </xf>
    <xf numFmtId="164" fontId="2" fillId="0" borderId="0" xfId="0" applyNumberFormat="1" applyFont="1" applyAlignment="1">
      <alignment horizontal="center"/>
    </xf>
    <xf numFmtId="164" fontId="1" fillId="2" borderId="3" xfId="0" applyNumberFormat="1" applyFont="1" applyFill="1" applyBorder="1" applyAlignment="1">
      <alignment horizontal="center"/>
    </xf>
    <xf numFmtId="168" fontId="2" fillId="7" borderId="1" xfId="0" applyNumberFormat="1" applyFont="1" applyFill="1" applyBorder="1" applyAlignment="1">
      <alignment horizontal="center" vertical="center"/>
    </xf>
    <xf numFmtId="169" fontId="7" fillId="0" borderId="0" xfId="0" applyNumberFormat="1" applyFont="1" applyAlignment="1">
      <alignment horizontal="center" vertical="center"/>
    </xf>
    <xf numFmtId="164" fontId="2" fillId="0" borderId="0" xfId="0" applyNumberFormat="1" applyFont="1"/>
    <xf numFmtId="164" fontId="0" fillId="0" borderId="0" xfId="0" applyNumberFormat="1"/>
    <xf numFmtId="0" fontId="11" fillId="8" borderId="0" xfId="0" applyFont="1" applyFill="1"/>
    <xf numFmtId="0" fontId="11" fillId="8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5" fillId="9" borderId="0" xfId="0" applyFont="1" applyFill="1" applyAlignment="1">
      <alignment horizontal="center" vertical="center"/>
    </xf>
    <xf numFmtId="0" fontId="16" fillId="7" borderId="1" xfId="0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1" fontId="13" fillId="8" borderId="0" xfId="0" applyNumberFormat="1" applyFont="1" applyFill="1" applyAlignment="1">
      <alignment horizontal="center" vertical="center"/>
    </xf>
    <xf numFmtId="1" fontId="13" fillId="0" borderId="0" xfId="0" applyNumberFormat="1" applyFont="1" applyAlignment="1">
      <alignment horizontal="center" vertical="center"/>
    </xf>
    <xf numFmtId="1" fontId="18" fillId="0" borderId="0" xfId="0" applyNumberFormat="1" applyFont="1" applyAlignment="1">
      <alignment horizontal="center" vertical="center"/>
    </xf>
    <xf numFmtId="1" fontId="19" fillId="0" borderId="0" xfId="0" applyNumberFormat="1" applyFont="1" applyAlignment="1">
      <alignment horizontal="center" vertical="center"/>
    </xf>
    <xf numFmtId="0" fontId="14" fillId="6" borderId="0" xfId="0" applyFont="1" applyFill="1" applyAlignment="1">
      <alignment horizontal="center" vertical="center"/>
    </xf>
    <xf numFmtId="165" fontId="12" fillId="2" borderId="3" xfId="0" applyNumberFormat="1" applyFont="1" applyFill="1" applyBorder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3" fillId="7" borderId="1" xfId="0" applyFont="1" applyFill="1" applyBorder="1" applyAlignment="1">
      <alignment horizontal="center" vertical="center"/>
    </xf>
    <xf numFmtId="164" fontId="13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164" fontId="20" fillId="2" borderId="3" xfId="0" applyNumberFormat="1" applyFont="1" applyFill="1" applyBorder="1" applyAlignment="1">
      <alignment horizontal="center" vertical="center"/>
    </xf>
    <xf numFmtId="167" fontId="13" fillId="0" borderId="0" xfId="0" applyNumberFormat="1" applyFont="1" applyAlignment="1">
      <alignment horizontal="center" vertical="center"/>
    </xf>
    <xf numFmtId="2" fontId="13" fillId="0" borderId="0" xfId="0" applyNumberFormat="1" applyFont="1" applyAlignment="1">
      <alignment horizontal="center" vertical="center"/>
    </xf>
    <xf numFmtId="165" fontId="13" fillId="0" borderId="0" xfId="0" applyNumberFormat="1" applyFont="1" applyAlignment="1">
      <alignment horizontal="center" vertical="center"/>
    </xf>
    <xf numFmtId="165" fontId="6" fillId="2" borderId="3" xfId="0" applyNumberFormat="1" applyFont="1" applyFill="1" applyBorder="1" applyAlignment="1">
      <alignment horizontal="center" vertical="center"/>
    </xf>
    <xf numFmtId="1" fontId="6" fillId="2" borderId="3" xfId="0" applyNumberFormat="1" applyFont="1" applyFill="1" applyBorder="1" applyAlignment="1">
      <alignment horizontal="center" vertical="center"/>
    </xf>
    <xf numFmtId="1" fontId="16" fillId="0" borderId="0" xfId="0" applyNumberFormat="1" applyFont="1" applyAlignment="1">
      <alignment horizontal="center" vertical="center"/>
    </xf>
    <xf numFmtId="1" fontId="20" fillId="2" borderId="3" xfId="0" applyNumberFormat="1" applyFont="1" applyFill="1" applyBorder="1" applyAlignment="1">
      <alignment horizontal="center" vertical="center"/>
    </xf>
    <xf numFmtId="165" fontId="20" fillId="2" borderId="3" xfId="0" applyNumberFormat="1" applyFont="1" applyFill="1" applyBorder="1" applyAlignment="1">
      <alignment horizontal="center" vertical="center"/>
    </xf>
    <xf numFmtId="1" fontId="13" fillId="12" borderId="0" xfId="0" applyNumberFormat="1" applyFont="1" applyFill="1" applyAlignment="1">
      <alignment horizontal="center" vertical="center"/>
    </xf>
    <xf numFmtId="1" fontId="7" fillId="0" borderId="0" xfId="0" applyNumberFormat="1" applyFont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1" fontId="6" fillId="2" borderId="0" xfId="0" applyNumberFormat="1" applyFont="1" applyFill="1" applyAlignment="1">
      <alignment horizontal="center" vertical="center"/>
    </xf>
    <xf numFmtId="0" fontId="13" fillId="13" borderId="0" xfId="0" applyFont="1" applyFill="1" applyAlignment="1">
      <alignment horizontal="center" vertical="center"/>
    </xf>
    <xf numFmtId="0" fontId="13" fillId="14" borderId="0" xfId="0" applyFont="1" applyFill="1" applyAlignment="1">
      <alignment horizontal="center" vertical="center"/>
    </xf>
    <xf numFmtId="0" fontId="22" fillId="13" borderId="0" xfId="0" applyFont="1" applyFill="1" applyAlignment="1">
      <alignment horizontal="center" vertical="center"/>
    </xf>
    <xf numFmtId="0" fontId="2" fillId="13" borderId="0" xfId="0" applyFont="1" applyFill="1" applyAlignment="1">
      <alignment horizontal="center" vertical="center"/>
    </xf>
    <xf numFmtId="0" fontId="7" fillId="14" borderId="0" xfId="0" applyFont="1" applyFill="1" applyAlignment="1">
      <alignment horizontal="center" vertical="center"/>
    </xf>
    <xf numFmtId="0" fontId="2" fillId="14" borderId="0" xfId="0" applyFont="1" applyFill="1" applyAlignment="1">
      <alignment horizontal="center" vertical="center"/>
    </xf>
    <xf numFmtId="0" fontId="2" fillId="13" borderId="0" xfId="0" applyFont="1" applyFill="1" applyAlignment="1">
      <alignment horizontal="center"/>
    </xf>
    <xf numFmtId="0" fontId="2" fillId="14" borderId="0" xfId="0" applyFont="1" applyFill="1" applyAlignment="1">
      <alignment horizontal="center"/>
    </xf>
    <xf numFmtId="0" fontId="2" fillId="1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F4025-D899-354C-815E-3CB3EFB244D1}">
  <dimension ref="A1:I54"/>
  <sheetViews>
    <sheetView zoomScaleNormal="100" workbookViewId="0">
      <selection activeCell="C45" sqref="C45"/>
    </sheetView>
  </sheetViews>
  <sheetFormatPr baseColWidth="10" defaultColWidth="11.44140625" defaultRowHeight="14.4" x14ac:dyDescent="0.3"/>
  <cols>
    <col min="1" max="1" width="18.6640625" bestFit="1" customWidth="1"/>
    <col min="2" max="6" width="10.6640625" customWidth="1"/>
    <col min="7" max="7" width="14.44140625" customWidth="1"/>
    <col min="8" max="8" width="20.6640625" customWidth="1"/>
    <col min="9" max="9" width="32" customWidth="1"/>
  </cols>
  <sheetData>
    <row r="1" spans="1:9" ht="15.6" x14ac:dyDescent="0.3">
      <c r="A1" s="17" t="s">
        <v>0</v>
      </c>
      <c r="B1" s="6"/>
      <c r="C1" s="6" t="s">
        <v>1</v>
      </c>
      <c r="D1" s="6"/>
      <c r="E1" s="6"/>
      <c r="F1" s="6" t="s">
        <v>2</v>
      </c>
      <c r="G1" s="6" t="s">
        <v>3</v>
      </c>
      <c r="H1" s="23" t="s">
        <v>4</v>
      </c>
    </row>
    <row r="2" spans="1:9" ht="15.6" x14ac:dyDescent="0.3">
      <c r="A2" s="6"/>
      <c r="B2" s="5">
        <v>0</v>
      </c>
      <c r="C2" s="5">
        <v>0</v>
      </c>
      <c r="D2" s="5">
        <v>1</v>
      </c>
      <c r="E2" s="28">
        <v>1</v>
      </c>
      <c r="F2" s="12">
        <v>2</v>
      </c>
      <c r="G2" s="6"/>
      <c r="H2" s="18">
        <f t="array" ref="H2:H5">MMULT(B2:E5,F47:F50)</f>
        <v>2</v>
      </c>
    </row>
    <row r="3" spans="1:9" ht="15.6" x14ac:dyDescent="0.3">
      <c r="A3" s="6"/>
      <c r="B3" s="5">
        <v>1</v>
      </c>
      <c r="C3" s="5">
        <v>0</v>
      </c>
      <c r="D3" s="5">
        <v>0</v>
      </c>
      <c r="E3" s="28">
        <v>1</v>
      </c>
      <c r="F3" s="12">
        <v>2</v>
      </c>
      <c r="G3" s="6"/>
      <c r="H3" s="18">
        <v>2</v>
      </c>
      <c r="I3" t="s">
        <v>5</v>
      </c>
    </row>
    <row r="4" spans="1:9" ht="15.6" x14ac:dyDescent="0.3">
      <c r="A4" s="6"/>
      <c r="B4" s="5">
        <v>1</v>
      </c>
      <c r="C4" s="5">
        <v>4</v>
      </c>
      <c r="D4" s="5">
        <v>0</v>
      </c>
      <c r="E4" s="28">
        <v>-1</v>
      </c>
      <c r="F4" s="12">
        <v>4</v>
      </c>
      <c r="G4" s="6"/>
      <c r="H4" s="18">
        <v>4</v>
      </c>
    </row>
    <row r="5" spans="1:9" ht="15.6" x14ac:dyDescent="0.3">
      <c r="A5" s="6"/>
      <c r="B5" s="5">
        <v>1</v>
      </c>
      <c r="C5" s="5">
        <v>0</v>
      </c>
      <c r="D5" s="5">
        <v>1</v>
      </c>
      <c r="E5" s="28">
        <v>0</v>
      </c>
      <c r="F5" s="12">
        <v>2</v>
      </c>
      <c r="G5" s="7"/>
      <c r="H5" s="18">
        <v>2</v>
      </c>
      <c r="I5" s="1"/>
    </row>
    <row r="6" spans="1:9" ht="15" x14ac:dyDescent="0.3">
      <c r="A6" s="6"/>
      <c r="B6" s="6"/>
      <c r="C6" s="6"/>
      <c r="D6" s="6"/>
      <c r="E6" s="6"/>
      <c r="F6" s="6"/>
      <c r="G6" s="6"/>
      <c r="H6" s="7"/>
      <c r="I6" s="1"/>
    </row>
    <row r="7" spans="1:9" ht="15" x14ac:dyDescent="0.3">
      <c r="A7" s="27" t="s">
        <v>6</v>
      </c>
      <c r="B7" s="6">
        <f>IF($B$2=0,IF($B$3=0,IF($B$4=0,IF($B$5=0,"Falla",B5),B4),B3),B2)</f>
        <v>1</v>
      </c>
      <c r="C7" s="6">
        <f>IF($B$2=0,IF($B$3=0,IF($B$4=0,IF($B$5=0,"Falla",C5),C4),C3),C2)</f>
        <v>0</v>
      </c>
      <c r="D7" s="6">
        <f>IF($B$2=0,IF($B$3=0,IF($B$4=0,IF($B$5=0,"Falla",D5),D4),D3),D2)</f>
        <v>0</v>
      </c>
      <c r="E7" s="6">
        <f>IF($B$2=0,IF($B$3=0,IF($B$4=0,IF($B$5=0,"Falla",E5),E4),E3),E2)</f>
        <v>1</v>
      </c>
      <c r="F7" s="6">
        <f>IF($B$2=0,IF($B$3=0,IF($B$4=0,IF($B$5=0,"Falla",F5),F4),F3),F2)</f>
        <v>2</v>
      </c>
      <c r="G7" s="6" t="str">
        <f>IF(B7=B2,"aceptado 1",IF(B7=B3,"aceptado 2",IF(B7=B4,"aceptado 3",IF(B7=B5,"aceptado 4","falla"))))</f>
        <v>aceptado 2</v>
      </c>
      <c r="H7" s="7"/>
      <c r="I7" s="1"/>
    </row>
    <row r="8" spans="1:9" ht="15" x14ac:dyDescent="0.3">
      <c r="A8" s="6"/>
      <c r="B8" s="6">
        <f>IF($G$7="aceptado 2",B2,B3)</f>
        <v>0</v>
      </c>
      <c r="C8" s="6">
        <f>IF($G$7="aceptado 2",C2,C3)</f>
        <v>0</v>
      </c>
      <c r="D8" s="6">
        <f>IF($G$7="aceptado 2",D2,D3)</f>
        <v>1</v>
      </c>
      <c r="E8" s="6">
        <f>IF($G$7="aceptado 2",E2,E3)</f>
        <v>1</v>
      </c>
      <c r="F8" s="6">
        <f>IF($G$7="aceptado 2",F2,F3)</f>
        <v>2</v>
      </c>
      <c r="G8" s="6"/>
      <c r="H8" s="7"/>
      <c r="I8" s="1"/>
    </row>
    <row r="9" spans="1:9" ht="15" x14ac:dyDescent="0.3">
      <c r="A9" s="6"/>
      <c r="B9" s="6">
        <f>IF($G$7="aceptado 3",B2,B4)</f>
        <v>1</v>
      </c>
      <c r="C9" s="6">
        <f>IF($G$7="aceptado 3",C2,C4)</f>
        <v>4</v>
      </c>
      <c r="D9" s="6">
        <f>IF($G$7="aceptado 3",D2,D4)</f>
        <v>0</v>
      </c>
      <c r="E9" s="6">
        <f>IF($G$7="aceptado 3",E2,E4)</f>
        <v>-1</v>
      </c>
      <c r="F9" s="6">
        <f>IF($G$7="aceptado 3",F2,F4)</f>
        <v>4</v>
      </c>
      <c r="G9" s="6"/>
      <c r="H9" s="7"/>
      <c r="I9" s="1"/>
    </row>
    <row r="10" spans="1:9" ht="15" x14ac:dyDescent="0.3">
      <c r="A10" s="6"/>
      <c r="B10" s="6">
        <f>IF($G$7="aceptado 4",B2,B5)</f>
        <v>1</v>
      </c>
      <c r="C10" s="6">
        <f>IF($G$7="aceptado 4",C2,C5)</f>
        <v>0</v>
      </c>
      <c r="D10" s="6">
        <f>IF($G$7="aceptado 4",D2,D5)</f>
        <v>1</v>
      </c>
      <c r="E10" s="6">
        <f>IF($G$7="aceptado 4",E2,E5)</f>
        <v>0</v>
      </c>
      <c r="F10" s="6">
        <f>IF($G$7="aceptado 4",F2,F5)</f>
        <v>2</v>
      </c>
      <c r="G10" s="6"/>
      <c r="H10" s="7"/>
      <c r="I10" s="1"/>
    </row>
    <row r="11" spans="1:9" ht="15" x14ac:dyDescent="0.3">
      <c r="A11" s="6"/>
      <c r="B11" s="6"/>
      <c r="C11" s="6"/>
      <c r="D11" s="6"/>
      <c r="E11" s="6"/>
      <c r="F11" s="6"/>
      <c r="G11" s="6"/>
      <c r="H11" s="7"/>
      <c r="I11" s="1"/>
    </row>
    <row r="12" spans="1:9" ht="15" x14ac:dyDescent="0.3">
      <c r="A12" s="9" t="s">
        <v>7</v>
      </c>
      <c r="B12" s="6">
        <f>B7</f>
        <v>1</v>
      </c>
      <c r="C12" s="6">
        <f>C7</f>
        <v>0</v>
      </c>
      <c r="D12" s="6">
        <f>D7</f>
        <v>0</v>
      </c>
      <c r="E12" s="6">
        <f>E7</f>
        <v>1</v>
      </c>
      <c r="F12" s="6">
        <f>F7</f>
        <v>2</v>
      </c>
      <c r="G12" s="6"/>
      <c r="H12" s="7"/>
      <c r="I12" s="1"/>
    </row>
    <row r="13" spans="1:9" ht="15" x14ac:dyDescent="0.3">
      <c r="A13" s="6"/>
      <c r="B13" s="6">
        <f>B8-($B$8/$B$7)*B7</f>
        <v>0</v>
      </c>
      <c r="C13" s="6">
        <f>C8-($B$8/$B$7)*C7</f>
        <v>0</v>
      </c>
      <c r="D13" s="6">
        <f>D8-($B$8/$B$7)*D7</f>
        <v>1</v>
      </c>
      <c r="E13" s="6">
        <f>E8-($B$8/$B$7)*E7</f>
        <v>1</v>
      </c>
      <c r="F13" s="6">
        <f>F8-($B$8/$B$7)*F7</f>
        <v>2</v>
      </c>
      <c r="G13" s="6"/>
      <c r="H13" s="7"/>
      <c r="I13" s="1"/>
    </row>
    <row r="14" spans="1:9" ht="15" x14ac:dyDescent="0.3">
      <c r="A14" s="6"/>
      <c r="B14" s="6">
        <f>B9-($B$9/$B$7)*B7</f>
        <v>0</v>
      </c>
      <c r="C14" s="6">
        <f>C9-($B$9/$B$7)*C7</f>
        <v>4</v>
      </c>
      <c r="D14" s="6">
        <f>D9-($B$9/$B$7)*D7</f>
        <v>0</v>
      </c>
      <c r="E14" s="6">
        <f>E9-($B$9/$B$7)*E7</f>
        <v>-2</v>
      </c>
      <c r="F14" s="6">
        <f>F9-($B$9/$B$7)*F7</f>
        <v>2</v>
      </c>
      <c r="G14" s="6"/>
      <c r="H14" s="7"/>
      <c r="I14" s="1"/>
    </row>
    <row r="15" spans="1:9" ht="15" x14ac:dyDescent="0.3">
      <c r="A15" s="6"/>
      <c r="B15" s="6">
        <f>B10-($B$10/$B$7)*B7</f>
        <v>0</v>
      </c>
      <c r="C15" s="6">
        <f>C10-($B$10/$B$7)*C7</f>
        <v>0</v>
      </c>
      <c r="D15" s="6">
        <f>D10-($B$10/$B$7)*D7</f>
        <v>1</v>
      </c>
      <c r="E15" s="6">
        <f>E10-($B$10/$B$7)*E7</f>
        <v>-1</v>
      </c>
      <c r="F15" s="6">
        <f>F10-($B$10/$B$7)*F7</f>
        <v>0</v>
      </c>
      <c r="G15" s="6"/>
      <c r="H15" s="7"/>
      <c r="I15" s="1"/>
    </row>
    <row r="16" spans="1:9" ht="15" x14ac:dyDescent="0.3">
      <c r="A16" s="6"/>
      <c r="B16" s="6"/>
      <c r="C16" s="6"/>
      <c r="D16" s="6"/>
      <c r="E16" s="6"/>
      <c r="F16" s="6"/>
      <c r="G16" s="6"/>
      <c r="H16" s="7"/>
      <c r="I16" s="1"/>
    </row>
    <row r="17" spans="1:9" ht="15" x14ac:dyDescent="0.3">
      <c r="A17" s="27" t="s">
        <v>8</v>
      </c>
      <c r="B17" s="6">
        <f>B12</f>
        <v>1</v>
      </c>
      <c r="C17" s="6">
        <f>C12</f>
        <v>0</v>
      </c>
      <c r="D17" s="6">
        <f>D12</f>
        <v>0</v>
      </c>
      <c r="E17" s="6">
        <f>E12</f>
        <v>1</v>
      </c>
      <c r="F17" s="6">
        <f>F12</f>
        <v>2</v>
      </c>
      <c r="G17" s="7"/>
      <c r="H17" s="7"/>
      <c r="I17" s="1"/>
    </row>
    <row r="18" spans="1:9" ht="15" x14ac:dyDescent="0.3">
      <c r="A18" s="6"/>
      <c r="B18" s="6">
        <f>IF($C$13=0,IF($C$14=0,IF($C$15=0,"Falla",B15),B14),B13)</f>
        <v>0</v>
      </c>
      <c r="C18" s="6">
        <f>IF($C$13=0,IF($C$14=0,IF($C$15=0,"Falla",C15),C14),C13)</f>
        <v>4</v>
      </c>
      <c r="D18" s="6">
        <f>IF($C$13=0,IF($C$14=0,IF($C$15=0,"Falla",D15),D14),D13)</f>
        <v>0</v>
      </c>
      <c r="E18" s="6">
        <f>IF($C$13=0,IF($C$14=0,IF($C$15=0,"Falla",E15),E14),E13)</f>
        <v>-2</v>
      </c>
      <c r="F18" s="6">
        <f>IF($C$13=0,IF($C$14=0,IF($C$15=0,"Falla",F15),F14),F13)</f>
        <v>2</v>
      </c>
      <c r="G18" s="6" t="str">
        <f>IF(C18=C13,"aceptado 2",IF(C18=C14,"aceptado 3",IF(C18=C15,"aceptado 4","falla")))</f>
        <v>aceptado 3</v>
      </c>
      <c r="H18" s="7"/>
      <c r="I18" s="1"/>
    </row>
    <row r="19" spans="1:9" ht="15" x14ac:dyDescent="0.3">
      <c r="A19" s="6"/>
      <c r="B19" s="6">
        <f>IF($G$18="aceptado 2",B14,B13)</f>
        <v>0</v>
      </c>
      <c r="C19" s="6">
        <f>IF($G$18="aceptado 2",C14,C13)</f>
        <v>0</v>
      </c>
      <c r="D19" s="6">
        <f>IF($G$18="aceptado 2",D14,D13)</f>
        <v>1</v>
      </c>
      <c r="E19" s="6">
        <f>IF($G$18="aceptado 2",E14,E13)</f>
        <v>1</v>
      </c>
      <c r="F19" s="6">
        <f>IF($G$18="aceptado 2",F14,F13)</f>
        <v>2</v>
      </c>
      <c r="G19" s="6"/>
      <c r="H19" s="7"/>
      <c r="I19" s="1"/>
    </row>
    <row r="20" spans="1:9" ht="15" x14ac:dyDescent="0.3">
      <c r="A20" s="6"/>
      <c r="B20" s="6">
        <f>IF($G$18="aceptado 4",B13,B15)</f>
        <v>0</v>
      </c>
      <c r="C20" s="6">
        <f>IF($G$18="aceptado 4",C13,C15)</f>
        <v>0</v>
      </c>
      <c r="D20" s="6">
        <f>IF($G$18="aceptado 4",D13,D15)</f>
        <v>1</v>
      </c>
      <c r="E20" s="6">
        <f>IF($G$18="aceptado 4",E13,E15)</f>
        <v>-1</v>
      </c>
      <c r="F20" s="6">
        <f>IF($G$18="aceptado 4",F13,F15)</f>
        <v>0</v>
      </c>
      <c r="G20" s="6"/>
      <c r="H20" s="7"/>
      <c r="I20" s="1"/>
    </row>
    <row r="21" spans="1:9" ht="15" x14ac:dyDescent="0.3">
      <c r="A21" s="6"/>
      <c r="B21" s="6"/>
      <c r="C21" s="6"/>
      <c r="D21" s="6"/>
      <c r="E21" s="6"/>
      <c r="F21" s="6"/>
      <c r="G21" s="6"/>
      <c r="H21" s="7"/>
      <c r="I21" s="1"/>
    </row>
    <row r="22" spans="1:9" ht="15" x14ac:dyDescent="0.3">
      <c r="A22" s="9" t="s">
        <v>9</v>
      </c>
      <c r="B22" s="6">
        <f>B17-($C$17/$C$18)*B18</f>
        <v>1</v>
      </c>
      <c r="C22" s="6">
        <f>C17-($C$17/$C$18)*C18</f>
        <v>0</v>
      </c>
      <c r="D22" s="6">
        <f>D17-($C$17/$C$18)*D18</f>
        <v>0</v>
      </c>
      <c r="E22" s="6">
        <f>E17-($C$17/$C$18)*E18</f>
        <v>1</v>
      </c>
      <c r="F22" s="6">
        <f>F17-($C$17/$C$18)*F18</f>
        <v>2</v>
      </c>
      <c r="G22" s="6"/>
      <c r="H22" s="7"/>
      <c r="I22" s="1"/>
    </row>
    <row r="23" spans="1:9" ht="15" x14ac:dyDescent="0.3">
      <c r="A23" s="6"/>
      <c r="B23" s="6">
        <f>B18</f>
        <v>0</v>
      </c>
      <c r="C23" s="6">
        <f>C18</f>
        <v>4</v>
      </c>
      <c r="D23" s="6">
        <f>D18</f>
        <v>0</v>
      </c>
      <c r="E23" s="6">
        <f>E18</f>
        <v>-2</v>
      </c>
      <c r="F23" s="6">
        <f>F18</f>
        <v>2</v>
      </c>
      <c r="G23" s="6"/>
      <c r="H23" s="7"/>
    </row>
    <row r="24" spans="1:9" ht="15" x14ac:dyDescent="0.3">
      <c r="A24" s="6"/>
      <c r="B24" s="6">
        <f>B19-($C$19/$C$18)*B18</f>
        <v>0</v>
      </c>
      <c r="C24" s="6">
        <f>C19-($C$19/$C$18)*C18</f>
        <v>0</v>
      </c>
      <c r="D24" s="6">
        <f>D19-($C$19/$C$18)*D18</f>
        <v>1</v>
      </c>
      <c r="E24" s="6">
        <f>E19-($C$19/$C$18)*E18</f>
        <v>1</v>
      </c>
      <c r="F24" s="6">
        <f>F19-($C$19/$C$18)*F18</f>
        <v>2</v>
      </c>
      <c r="G24" s="6"/>
      <c r="H24" s="7"/>
      <c r="I24" s="1"/>
    </row>
    <row r="25" spans="1:9" ht="15" x14ac:dyDescent="0.3">
      <c r="A25" s="6"/>
      <c r="B25" s="6">
        <f>B20-($C$20/$C$18)*B18</f>
        <v>0</v>
      </c>
      <c r="C25" s="6">
        <f>C20-($C$20/$C$18)*C18</f>
        <v>0</v>
      </c>
      <c r="D25" s="6">
        <f>D20-($C$20/$C$18)*D18</f>
        <v>1</v>
      </c>
      <c r="E25" s="6">
        <f>E20-($C$20/$C$18)*E18</f>
        <v>-1</v>
      </c>
      <c r="F25" s="6">
        <f>F20-($C$20/$C$18)*F18</f>
        <v>0</v>
      </c>
      <c r="G25" s="6"/>
      <c r="H25" s="7"/>
      <c r="I25" s="1"/>
    </row>
    <row r="26" spans="1:9" ht="15" x14ac:dyDescent="0.3">
      <c r="A26" s="6"/>
      <c r="B26" s="6"/>
      <c r="C26" s="6"/>
      <c r="D26" s="6"/>
      <c r="E26" s="6"/>
      <c r="F26" s="6"/>
      <c r="G26" s="6"/>
      <c r="H26" s="7"/>
    </row>
    <row r="27" spans="1:9" ht="15" x14ac:dyDescent="0.3">
      <c r="A27" s="27" t="s">
        <v>10</v>
      </c>
      <c r="B27" s="6">
        <f t="shared" ref="B27:F28" si="0">B22</f>
        <v>1</v>
      </c>
      <c r="C27" s="6">
        <f t="shared" si="0"/>
        <v>0</v>
      </c>
      <c r="D27" s="6">
        <f t="shared" si="0"/>
        <v>0</v>
      </c>
      <c r="E27" s="6">
        <f t="shared" si="0"/>
        <v>1</v>
      </c>
      <c r="F27" s="6">
        <f t="shared" si="0"/>
        <v>2</v>
      </c>
      <c r="G27" s="7"/>
      <c r="H27" s="7"/>
    </row>
    <row r="28" spans="1:9" ht="15" x14ac:dyDescent="0.3">
      <c r="A28" s="6"/>
      <c r="B28" s="6">
        <f t="shared" si="0"/>
        <v>0</v>
      </c>
      <c r="C28" s="6">
        <f t="shared" si="0"/>
        <v>4</v>
      </c>
      <c r="D28" s="6">
        <f t="shared" si="0"/>
        <v>0</v>
      </c>
      <c r="E28" s="6">
        <f t="shared" si="0"/>
        <v>-2</v>
      </c>
      <c r="F28" s="6">
        <f t="shared" si="0"/>
        <v>2</v>
      </c>
      <c r="G28" s="6"/>
      <c r="H28" s="7"/>
    </row>
    <row r="29" spans="1:9" ht="15" x14ac:dyDescent="0.3">
      <c r="A29" s="6"/>
      <c r="B29" s="6">
        <f>IF($D$24=0,IF($D$25=0,"falla",B25),B24)</f>
        <v>0</v>
      </c>
      <c r="C29" s="6">
        <f>IF($D$24=0,IF($D$25=0,"falla",C25),C24)</f>
        <v>0</v>
      </c>
      <c r="D29" s="6">
        <f>IF($D$24=0,IF($D$25=0,"falla",D25),D24)</f>
        <v>1</v>
      </c>
      <c r="E29" s="6">
        <f>IF($D$24=0,IF($D$25=0,"falla",E25),E24)</f>
        <v>1</v>
      </c>
      <c r="F29" s="6">
        <f>IF($D$24=0,IF($D$25=0,"falla",F25),F24)</f>
        <v>2</v>
      </c>
      <c r="G29" s="6" t="str">
        <f>IF(D29=D24,"aceptado 3",IF(D29=D25,"aceptado 4","falla"))</f>
        <v>aceptado 3</v>
      </c>
      <c r="H29" s="7"/>
    </row>
    <row r="30" spans="1:9" ht="15" x14ac:dyDescent="0.3">
      <c r="A30" s="6"/>
      <c r="B30" s="6">
        <f>IF($G$29="aceptado 4",B24,B25)</f>
        <v>0</v>
      </c>
      <c r="C30" s="6">
        <f>IF($G$29="aceptado 4",C24,C25)</f>
        <v>0</v>
      </c>
      <c r="D30" s="6">
        <f>IF($G$29="aceptado 4",D24,D25)</f>
        <v>1</v>
      </c>
      <c r="E30" s="6">
        <f>IF($G$29="aceptado 4",E24,E25)</f>
        <v>-1</v>
      </c>
      <c r="F30" s="6">
        <f>IF($G$29="aceptado 4",F24,F25)</f>
        <v>0</v>
      </c>
      <c r="G30" s="6"/>
      <c r="H30" s="7"/>
    </row>
    <row r="31" spans="1:9" ht="15" x14ac:dyDescent="0.3">
      <c r="A31" s="6"/>
      <c r="B31" s="6"/>
      <c r="C31" s="6"/>
      <c r="D31" s="6"/>
      <c r="E31" s="6"/>
      <c r="F31" s="6"/>
      <c r="G31" s="6"/>
      <c r="H31" s="7"/>
    </row>
    <row r="32" spans="1:9" ht="15" x14ac:dyDescent="0.3">
      <c r="A32" s="9" t="s">
        <v>11</v>
      </c>
      <c r="B32" s="6">
        <f>B27-($D$27/$D$29)*B29</f>
        <v>1</v>
      </c>
      <c r="C32" s="6">
        <f>C27-($D$27/$D$29)*C29</f>
        <v>0</v>
      </c>
      <c r="D32" s="6">
        <f>D27-($D$27/$D$29)*D29</f>
        <v>0</v>
      </c>
      <c r="E32" s="6">
        <f>E27-($D$27/$D$29)*E29</f>
        <v>1</v>
      </c>
      <c r="F32" s="6">
        <f>F27-($D$27/$D$29)*F29</f>
        <v>2</v>
      </c>
      <c r="G32" s="6"/>
      <c r="H32" s="7"/>
    </row>
    <row r="33" spans="1:8" ht="15" x14ac:dyDescent="0.3">
      <c r="A33" s="6"/>
      <c r="B33" s="6">
        <f>B28-($D$28/$D$29)*B29</f>
        <v>0</v>
      </c>
      <c r="C33" s="6">
        <f>C28-($D$28/$D$29)*C29</f>
        <v>4</v>
      </c>
      <c r="D33" s="6">
        <f>D28-($D$28/$D$29)*D29</f>
        <v>0</v>
      </c>
      <c r="E33" s="6">
        <f>E28-($D$28/$D$29)*E29</f>
        <v>-2</v>
      </c>
      <c r="F33" s="6">
        <f>F28-($D$28/$D$29)*F29</f>
        <v>2</v>
      </c>
      <c r="G33" s="6"/>
      <c r="H33" s="7"/>
    </row>
    <row r="34" spans="1:8" ht="15" x14ac:dyDescent="0.3">
      <c r="A34" s="6"/>
      <c r="B34" s="6">
        <f>B29</f>
        <v>0</v>
      </c>
      <c r="C34" s="6">
        <f>C29</f>
        <v>0</v>
      </c>
      <c r="D34" s="6">
        <f>D29</f>
        <v>1</v>
      </c>
      <c r="E34" s="6">
        <f>E29</f>
        <v>1</v>
      </c>
      <c r="F34" s="6">
        <f>F29</f>
        <v>2</v>
      </c>
      <c r="G34" s="6"/>
      <c r="H34" s="7"/>
    </row>
    <row r="35" spans="1:8" ht="15" x14ac:dyDescent="0.3">
      <c r="A35" s="6"/>
      <c r="B35" s="6">
        <f>B30-($D$30/$D$29)*B29</f>
        <v>0</v>
      </c>
      <c r="C35" s="6">
        <f>C30-($D$30/$D$29)*C29</f>
        <v>0</v>
      </c>
      <c r="D35" s="6">
        <f>D30-($D$30/$D$29)*D29</f>
        <v>0</v>
      </c>
      <c r="E35" s="6">
        <f>E30-($D$30/$D$29)*E29</f>
        <v>-2</v>
      </c>
      <c r="F35" s="6">
        <f>F30-($D$30/$D$29)*F29</f>
        <v>-2</v>
      </c>
      <c r="G35" s="6"/>
      <c r="H35" s="7"/>
    </row>
    <row r="36" spans="1:8" ht="15" x14ac:dyDescent="0.3">
      <c r="A36" s="6"/>
      <c r="B36" s="6"/>
      <c r="C36" s="6"/>
      <c r="D36" s="6"/>
      <c r="E36" s="6"/>
      <c r="F36" s="6"/>
      <c r="G36" s="6"/>
      <c r="H36" s="7"/>
    </row>
    <row r="37" spans="1:8" ht="15" x14ac:dyDescent="0.3">
      <c r="A37" s="27" t="s">
        <v>12</v>
      </c>
      <c r="B37" s="20">
        <f t="shared" ref="B37:F39" si="1">B32</f>
        <v>1</v>
      </c>
      <c r="C37" s="20">
        <f t="shared" si="1"/>
        <v>0</v>
      </c>
      <c r="D37" s="20">
        <f t="shared" si="1"/>
        <v>0</v>
      </c>
      <c r="E37" s="20">
        <f t="shared" si="1"/>
        <v>1</v>
      </c>
      <c r="F37" s="20">
        <f t="shared" si="1"/>
        <v>2</v>
      </c>
      <c r="G37" s="6"/>
      <c r="H37" s="7"/>
    </row>
    <row r="38" spans="1:8" ht="15" x14ac:dyDescent="0.3">
      <c r="A38" s="6"/>
      <c r="B38" s="20">
        <f t="shared" si="1"/>
        <v>0</v>
      </c>
      <c r="C38" s="20">
        <f t="shared" si="1"/>
        <v>4</v>
      </c>
      <c r="D38" s="20">
        <f t="shared" si="1"/>
        <v>0</v>
      </c>
      <c r="E38" s="20">
        <f t="shared" si="1"/>
        <v>-2</v>
      </c>
      <c r="F38" s="20">
        <f t="shared" si="1"/>
        <v>2</v>
      </c>
      <c r="G38" s="6"/>
      <c r="H38" s="7"/>
    </row>
    <row r="39" spans="1:8" ht="15" x14ac:dyDescent="0.3">
      <c r="A39" s="6"/>
      <c r="B39" s="20">
        <f t="shared" si="1"/>
        <v>0</v>
      </c>
      <c r="C39" s="20">
        <f t="shared" si="1"/>
        <v>0</v>
      </c>
      <c r="D39" s="20">
        <f t="shared" si="1"/>
        <v>1</v>
      </c>
      <c r="E39" s="20">
        <f t="shared" si="1"/>
        <v>1</v>
      </c>
      <c r="F39" s="20">
        <f t="shared" si="1"/>
        <v>2</v>
      </c>
      <c r="G39" s="6"/>
      <c r="H39" s="7"/>
    </row>
    <row r="40" spans="1:8" ht="15" x14ac:dyDescent="0.3">
      <c r="A40" s="6"/>
      <c r="B40" s="20">
        <f>IF($E$35=0,"falla",B35)</f>
        <v>0</v>
      </c>
      <c r="C40" s="20">
        <f>IF($E$35=0,"falla",C35)</f>
        <v>0</v>
      </c>
      <c r="D40" s="20">
        <f>IF($E$35=0,"falla",D35)</f>
        <v>0</v>
      </c>
      <c r="E40" s="20">
        <f>IF($E$35=0,"falla",E35)</f>
        <v>-2</v>
      </c>
      <c r="F40" s="20">
        <f>IF($E$35=0,"falla",F35)</f>
        <v>-2</v>
      </c>
      <c r="G40" s="6"/>
      <c r="H40" s="7"/>
    </row>
    <row r="41" spans="1:8" ht="15" x14ac:dyDescent="0.3">
      <c r="A41" s="6"/>
      <c r="B41" s="6"/>
      <c r="C41" s="6"/>
      <c r="D41" s="6"/>
      <c r="E41" s="21"/>
      <c r="F41" s="21"/>
      <c r="G41" s="6"/>
      <c r="H41" s="7"/>
    </row>
    <row r="42" spans="1:8" ht="15" x14ac:dyDescent="0.3">
      <c r="A42" s="22" t="s">
        <v>13</v>
      </c>
      <c r="B42" s="20">
        <f>B37-($E$37/$E$40)*B40</f>
        <v>1</v>
      </c>
      <c r="C42" s="20">
        <f>C37-($E$37/$E$40)*C40</f>
        <v>0</v>
      </c>
      <c r="D42" s="20">
        <f>D37-($E$37/$E$40)*D40</f>
        <v>0</v>
      </c>
      <c r="E42" s="20">
        <f>E37-($E$37/$E$40)*E40</f>
        <v>0</v>
      </c>
      <c r="F42" s="20">
        <f>F37-($E$37/$E$40)*F40</f>
        <v>1</v>
      </c>
      <c r="G42" s="6"/>
      <c r="H42" s="7"/>
    </row>
    <row r="43" spans="1:8" ht="15" x14ac:dyDescent="0.3">
      <c r="A43" s="6"/>
      <c r="B43" s="20">
        <f>B38-($E$38/$E$40)*B40</f>
        <v>0</v>
      </c>
      <c r="C43" s="20">
        <f>C38-($E$38/$E$40)*C40</f>
        <v>4</v>
      </c>
      <c r="D43" s="20">
        <f>D38-($E$38/$E$40)*D40</f>
        <v>0</v>
      </c>
      <c r="E43" s="20">
        <f>E38-($E$38/$E$40)*E40</f>
        <v>0</v>
      </c>
      <c r="F43" s="20">
        <f>F38-($E$38/$E$40)*F40</f>
        <v>4</v>
      </c>
      <c r="G43" s="6"/>
      <c r="H43" s="7"/>
    </row>
    <row r="44" spans="1:8" ht="15" x14ac:dyDescent="0.3">
      <c r="A44" s="6"/>
      <c r="B44" s="20">
        <f>B39-($E$39/$E$40)*B40</f>
        <v>0</v>
      </c>
      <c r="C44" s="20">
        <f>C39-($E$39/$E$40)*C40</f>
        <v>0</v>
      </c>
      <c r="D44" s="20">
        <f>D39-($E$39/$E$40)*D40</f>
        <v>1</v>
      </c>
      <c r="E44" s="20">
        <f>E39-($E$39/$E$40)*E40</f>
        <v>0</v>
      </c>
      <c r="F44" s="20">
        <f>F39-($E$39/$E$40)*F40</f>
        <v>1</v>
      </c>
      <c r="G44" s="6"/>
      <c r="H44" s="7"/>
    </row>
    <row r="45" spans="1:8" ht="15" x14ac:dyDescent="0.3">
      <c r="A45" s="6"/>
      <c r="B45" s="20">
        <f>B40</f>
        <v>0</v>
      </c>
      <c r="C45" s="20">
        <f>C40</f>
        <v>0</v>
      </c>
      <c r="D45" s="20">
        <f>D40</f>
        <v>0</v>
      </c>
      <c r="E45" s="20">
        <f>E40</f>
        <v>-2</v>
      </c>
      <c r="F45" s="20">
        <f>F40</f>
        <v>-2</v>
      </c>
      <c r="G45" s="6"/>
      <c r="H45" s="7"/>
    </row>
    <row r="46" spans="1:8" ht="16.2" thickBot="1" x14ac:dyDescent="0.35">
      <c r="A46" s="6"/>
      <c r="B46" s="6"/>
      <c r="C46" s="6"/>
      <c r="D46" s="6"/>
      <c r="E46" s="21"/>
      <c r="F46" s="32" t="s">
        <v>14</v>
      </c>
      <c r="G46" s="6"/>
      <c r="H46" s="7"/>
    </row>
    <row r="47" spans="1:8" ht="16.5" customHeight="1" thickBot="1" x14ac:dyDescent="0.35">
      <c r="A47" s="26" t="s">
        <v>15</v>
      </c>
      <c r="B47" s="6">
        <f>B42/$B$42</f>
        <v>1</v>
      </c>
      <c r="C47" s="6">
        <f>C42/$B$42</f>
        <v>0</v>
      </c>
      <c r="D47" s="6">
        <f>D42/$B$42</f>
        <v>0</v>
      </c>
      <c r="E47" s="6">
        <f>E42/$B$42</f>
        <v>0</v>
      </c>
      <c r="F47" s="33">
        <f>F42/$B$42</f>
        <v>1</v>
      </c>
      <c r="G47" s="6"/>
      <c r="H47" s="7"/>
    </row>
    <row r="48" spans="1:8" ht="16.2" thickBot="1" x14ac:dyDescent="0.35">
      <c r="A48" s="6"/>
      <c r="B48" s="6">
        <f>B43/$C$43</f>
        <v>0</v>
      </c>
      <c r="C48" s="6">
        <f>C43/$C$43</f>
        <v>1</v>
      </c>
      <c r="D48" s="6">
        <f>D43/$C$43</f>
        <v>0</v>
      </c>
      <c r="E48" s="6">
        <f>E43/$C$43</f>
        <v>0</v>
      </c>
      <c r="F48" s="33">
        <f>F43/$C$43</f>
        <v>1</v>
      </c>
      <c r="G48" s="6"/>
      <c r="H48" s="7"/>
    </row>
    <row r="49" spans="1:8" ht="16.2" thickBot="1" x14ac:dyDescent="0.35">
      <c r="A49" s="6"/>
      <c r="B49" s="6">
        <f>B44/$D$44</f>
        <v>0</v>
      </c>
      <c r="C49" s="6">
        <f>C44/$D$44</f>
        <v>0</v>
      </c>
      <c r="D49" s="6">
        <f>D44/$D$44</f>
        <v>1</v>
      </c>
      <c r="E49" s="6">
        <f>E44/$D$44</f>
        <v>0</v>
      </c>
      <c r="F49" s="33">
        <f>F44/$D$44</f>
        <v>1</v>
      </c>
      <c r="G49" s="6"/>
      <c r="H49" s="7"/>
    </row>
    <row r="50" spans="1:8" ht="16.2" thickBot="1" x14ac:dyDescent="0.35">
      <c r="A50" s="6"/>
      <c r="B50" s="6">
        <f>B45/$E$45</f>
        <v>0</v>
      </c>
      <c r="C50" s="6">
        <f>C45/$E$45</f>
        <v>0</v>
      </c>
      <c r="D50" s="6">
        <f>D45/$E$45</f>
        <v>0</v>
      </c>
      <c r="E50" s="6">
        <f>E45/$E$45</f>
        <v>1</v>
      </c>
      <c r="F50" s="33">
        <f>F45/$E$45</f>
        <v>1</v>
      </c>
      <c r="G50" s="6"/>
      <c r="H50" s="7"/>
    </row>
    <row r="51" spans="1:8" ht="15.6" x14ac:dyDescent="0.3">
      <c r="A51" s="6"/>
      <c r="B51" s="6"/>
      <c r="C51" s="6"/>
      <c r="D51" s="6"/>
      <c r="E51" s="6"/>
      <c r="F51" s="16"/>
    </row>
    <row r="52" spans="1:8" ht="15" x14ac:dyDescent="0.3">
      <c r="A52" s="6"/>
      <c r="B52" s="6"/>
      <c r="C52" s="6"/>
      <c r="D52" s="6"/>
      <c r="E52" s="6"/>
      <c r="F52" s="6"/>
    </row>
    <row r="53" spans="1:8" ht="15" x14ac:dyDescent="0.3">
      <c r="A53" s="6"/>
      <c r="B53" s="6"/>
      <c r="C53" s="6"/>
      <c r="D53" s="6"/>
      <c r="E53" s="6"/>
      <c r="F53" s="6"/>
    </row>
    <row r="54" spans="1:8" ht="15" x14ac:dyDescent="0.3">
      <c r="A54" s="6"/>
      <c r="B54" s="6"/>
      <c r="C54" s="6"/>
      <c r="D54" s="6"/>
      <c r="E54" s="6"/>
      <c r="F54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7F385-084A-1B4A-B9F3-F35A339A5940}">
  <dimension ref="A1:H33"/>
  <sheetViews>
    <sheetView workbookViewId="0">
      <selection activeCell="G2" sqref="G2"/>
    </sheetView>
  </sheetViews>
  <sheetFormatPr baseColWidth="10" defaultColWidth="8.88671875" defaultRowHeight="14.4" x14ac:dyDescent="0.3"/>
  <cols>
    <col min="1" max="1" width="19.88671875" bestFit="1" customWidth="1"/>
    <col min="2" max="5" width="10.6640625" customWidth="1"/>
    <col min="6" max="6" width="12" bestFit="1" customWidth="1"/>
    <col min="7" max="7" width="16.44140625" bestFit="1" customWidth="1"/>
  </cols>
  <sheetData>
    <row r="1" spans="1:8" ht="15.6" x14ac:dyDescent="0.3">
      <c r="A1" s="17" t="s">
        <v>0</v>
      </c>
      <c r="B1" s="6"/>
      <c r="C1" s="6" t="s">
        <v>16</v>
      </c>
      <c r="D1" s="6"/>
      <c r="E1" s="6" t="s">
        <v>2</v>
      </c>
      <c r="F1" s="20" t="s">
        <v>17</v>
      </c>
      <c r="G1" s="23" t="s">
        <v>4</v>
      </c>
      <c r="H1" s="13"/>
    </row>
    <row r="2" spans="1:8" ht="15.6" x14ac:dyDescent="0.3">
      <c r="A2" s="6"/>
      <c r="B2" s="5">
        <v>14</v>
      </c>
      <c r="C2" s="5">
        <v>2</v>
      </c>
      <c r="D2" s="28">
        <v>1</v>
      </c>
      <c r="E2" s="12">
        <v>50</v>
      </c>
      <c r="F2" s="6"/>
      <c r="G2" s="18">
        <f t="array" ref="G2:G4">MMULT(B2:D4,E30:E32)</f>
        <v>50</v>
      </c>
      <c r="H2" s="13"/>
    </row>
    <row r="3" spans="1:8" ht="15.6" x14ac:dyDescent="0.3">
      <c r="A3" s="6"/>
      <c r="B3" s="5">
        <v>4</v>
      </c>
      <c r="C3" s="5">
        <v>18</v>
      </c>
      <c r="D3" s="28">
        <v>1</v>
      </c>
      <c r="E3" s="12">
        <v>85</v>
      </c>
      <c r="F3" s="6"/>
      <c r="G3" s="18">
        <v>85</v>
      </c>
      <c r="H3" s="13"/>
    </row>
    <row r="4" spans="1:8" ht="15.6" x14ac:dyDescent="0.3">
      <c r="A4" s="6"/>
      <c r="B4" s="5">
        <v>0.2</v>
      </c>
      <c r="C4" s="5">
        <v>0.4</v>
      </c>
      <c r="D4" s="28">
        <v>1</v>
      </c>
      <c r="E4" s="12">
        <v>0.05</v>
      </c>
      <c r="F4" s="6"/>
      <c r="G4" s="18">
        <v>5.0000000000000266E-2</v>
      </c>
      <c r="H4" s="13"/>
    </row>
    <row r="5" spans="1:8" ht="15" x14ac:dyDescent="0.3">
      <c r="A5" s="6"/>
      <c r="B5" s="6"/>
      <c r="C5" s="6"/>
      <c r="D5" s="6"/>
      <c r="E5" s="6"/>
      <c r="F5" s="6"/>
      <c r="G5" s="6"/>
      <c r="H5" s="14"/>
    </row>
    <row r="6" spans="1:8" ht="15" x14ac:dyDescent="0.3">
      <c r="A6" s="27" t="s">
        <v>6</v>
      </c>
      <c r="B6" s="6">
        <f>IF($B$2=0,IF($B$3=0,IF($B$4=0,"Falla",B4),B3),B2)</f>
        <v>14</v>
      </c>
      <c r="C6" s="6">
        <f>IF($B$2=0,IF($B$3=0,IF($B$4=0,"Falla",C4),C3),C2)</f>
        <v>2</v>
      </c>
      <c r="D6" s="6">
        <f>IF($B$2=0,IF($B$3=0,IF($B$4=0,"Falla",D4),D3),D2)</f>
        <v>1</v>
      </c>
      <c r="E6" s="6">
        <f>IF($B$2=0,IF($B$3=0,IF($B$4=0,"Falla",E4),E3),E2)</f>
        <v>50</v>
      </c>
      <c r="F6" s="6" t="str">
        <f>IF(B6=B2,"aceptado 1",IF(B6=B3,"aceptado 2",IF(B6=B4,"aceptado 3","falla")))</f>
        <v>aceptado 1</v>
      </c>
      <c r="G6" s="6"/>
      <c r="H6" s="14"/>
    </row>
    <row r="7" spans="1:8" ht="15" x14ac:dyDescent="0.3">
      <c r="A7" s="6"/>
      <c r="B7" s="6">
        <f>IF($F$6="aceptado 2",B2,B3)</f>
        <v>4</v>
      </c>
      <c r="C7" s="6">
        <f>IF($F$6="aceptado 2",C2,C3)</f>
        <v>18</v>
      </c>
      <c r="D7" s="6">
        <f>IF($F$6="aceptado 2",D2,D3)</f>
        <v>1</v>
      </c>
      <c r="E7" s="6">
        <f>IF($F$6="aceptado 2",E2,E3)</f>
        <v>85</v>
      </c>
      <c r="F7" s="6"/>
      <c r="G7" s="6"/>
      <c r="H7" s="14"/>
    </row>
    <row r="8" spans="1:8" ht="15" x14ac:dyDescent="0.3">
      <c r="A8" s="6"/>
      <c r="B8" s="6">
        <f>IF($F$6="aceptado 3",B2,B4)</f>
        <v>0.2</v>
      </c>
      <c r="C8" s="6">
        <f>IF($F$6="aceptado 3",C2,C4)</f>
        <v>0.4</v>
      </c>
      <c r="D8" s="6">
        <f>IF($F$6="aceptado 3",D2,D4)</f>
        <v>1</v>
      </c>
      <c r="E8" s="6">
        <f>IF($F$6="aceptado 3",E2,E4)</f>
        <v>0.05</v>
      </c>
      <c r="F8" s="6"/>
      <c r="G8" s="6"/>
      <c r="H8" s="14"/>
    </row>
    <row r="9" spans="1:8" ht="15" x14ac:dyDescent="0.3">
      <c r="A9" s="6"/>
      <c r="B9" s="6"/>
      <c r="C9" s="6"/>
      <c r="D9" s="6"/>
      <c r="E9" s="6"/>
      <c r="F9" s="6"/>
      <c r="G9" s="6"/>
      <c r="H9" s="14"/>
    </row>
    <row r="10" spans="1:8" ht="15" x14ac:dyDescent="0.3">
      <c r="A10" s="9" t="s">
        <v>7</v>
      </c>
      <c r="B10" s="6">
        <f>B6</f>
        <v>14</v>
      </c>
      <c r="C10" s="6">
        <f>C6</f>
        <v>2</v>
      </c>
      <c r="D10" s="6">
        <f>D6</f>
        <v>1</v>
      </c>
      <c r="E10" s="6">
        <f>E6</f>
        <v>50</v>
      </c>
      <c r="F10" s="6"/>
      <c r="G10" s="6"/>
      <c r="H10" s="14"/>
    </row>
    <row r="11" spans="1:8" ht="15" x14ac:dyDescent="0.3">
      <c r="A11" s="6"/>
      <c r="B11" s="6">
        <f>B7-($B$7/$B$6)*B6</f>
        <v>0</v>
      </c>
      <c r="C11" s="25">
        <f>C7-($B$7/$B$6)*C6</f>
        <v>17.428571428571427</v>
      </c>
      <c r="D11" s="25">
        <f>D7-($B$7/$B$6)*D6</f>
        <v>0.7142857142857143</v>
      </c>
      <c r="E11" s="25">
        <f>E7-($B$7/$B$6)*E6</f>
        <v>70.714285714285722</v>
      </c>
      <c r="F11" s="6"/>
      <c r="G11" s="6"/>
      <c r="H11" s="14"/>
    </row>
    <row r="12" spans="1:8" ht="15" x14ac:dyDescent="0.3">
      <c r="A12" s="6"/>
      <c r="B12" s="6">
        <f>B8-($B$8/$B$6)*B6</f>
        <v>0</v>
      </c>
      <c r="C12" s="25">
        <f>C8-($B$8/$B$6)*C6</f>
        <v>0.37142857142857144</v>
      </c>
      <c r="D12" s="25">
        <f>D8-($B$8/$B$6)*D6</f>
        <v>0.98571428571428577</v>
      </c>
      <c r="E12" s="25">
        <f>E8-($B$8/$B$6)*E6</f>
        <v>-0.66428571428571426</v>
      </c>
      <c r="F12" s="6"/>
      <c r="G12" s="6"/>
      <c r="H12" s="14"/>
    </row>
    <row r="13" spans="1:8" ht="15" x14ac:dyDescent="0.3">
      <c r="A13" s="6"/>
      <c r="B13" s="6"/>
      <c r="C13" s="6"/>
      <c r="D13" s="6"/>
      <c r="E13" s="6"/>
      <c r="F13" s="6"/>
      <c r="G13" s="6"/>
      <c r="H13" s="14"/>
    </row>
    <row r="14" spans="1:8" ht="15" x14ac:dyDescent="0.3">
      <c r="A14" s="27" t="s">
        <v>8</v>
      </c>
      <c r="B14" s="6">
        <f>B10</f>
        <v>14</v>
      </c>
      <c r="C14" s="6">
        <f>C10</f>
        <v>2</v>
      </c>
      <c r="D14" s="6">
        <f>D10</f>
        <v>1</v>
      </c>
      <c r="E14" s="6">
        <f>E10</f>
        <v>50</v>
      </c>
      <c r="F14" s="6" t="str">
        <f>IF(C15=C11,"aceptado 2",IF(C15=C12,"aceptado 3","falla"))</f>
        <v>aceptado 2</v>
      </c>
      <c r="G14" s="6"/>
      <c r="H14" s="14"/>
    </row>
    <row r="15" spans="1:8" ht="15" x14ac:dyDescent="0.3">
      <c r="A15" s="6"/>
      <c r="B15" s="6">
        <f>IF($C$11=0,IF($C$12=0,"falla",B12),B11)</f>
        <v>0</v>
      </c>
      <c r="C15" s="25">
        <f>IF($C$11=0,IF($C$12=0,"falla",C12),C11)</f>
        <v>17.428571428571427</v>
      </c>
      <c r="D15" s="25">
        <f>IF($C$11=0,IF($C$12=0,"falla",D12),D11)</f>
        <v>0.7142857142857143</v>
      </c>
      <c r="E15" s="25">
        <f>IF($C$11=0,IF($C$12=0,"falla",E12),E11)</f>
        <v>70.714285714285722</v>
      </c>
      <c r="F15" s="6"/>
      <c r="G15" s="6"/>
      <c r="H15" s="14"/>
    </row>
    <row r="16" spans="1:8" ht="15" x14ac:dyDescent="0.3">
      <c r="A16" s="6"/>
      <c r="B16" s="6">
        <f>IF($F$14="aceptado 2",B12,B11)</f>
        <v>0</v>
      </c>
      <c r="C16" s="25">
        <f>IF($F$14="aceptado 2",C12,C11)</f>
        <v>0.37142857142857144</v>
      </c>
      <c r="D16" s="25">
        <f>IF($F$14="aceptado 2",D12,D11)</f>
        <v>0.98571428571428577</v>
      </c>
      <c r="E16" s="25">
        <f>IF($F$14="aceptado 2",E12,E11)</f>
        <v>-0.66428571428571426</v>
      </c>
      <c r="F16" s="6"/>
      <c r="G16" s="6"/>
      <c r="H16" s="14"/>
    </row>
    <row r="17" spans="1:8" ht="15" x14ac:dyDescent="0.3">
      <c r="A17" s="6"/>
      <c r="B17" s="6"/>
      <c r="C17" s="6"/>
      <c r="D17" s="6"/>
      <c r="E17" s="6"/>
      <c r="F17" s="6"/>
      <c r="G17" s="6"/>
      <c r="H17" s="14"/>
    </row>
    <row r="18" spans="1:8" ht="15" x14ac:dyDescent="0.3">
      <c r="A18" s="9" t="s">
        <v>9</v>
      </c>
      <c r="B18" s="6">
        <f>B14-($C$14/$C$15)*B15</f>
        <v>14</v>
      </c>
      <c r="C18" s="6">
        <f>C14-($C$14/$C$15)*C15</f>
        <v>0</v>
      </c>
      <c r="D18" s="25">
        <f>D14-($C$14/$C$15)*D15</f>
        <v>0.91803278688524592</v>
      </c>
      <c r="E18" s="25">
        <f>E14-($C$14/$C$15)*E15</f>
        <v>41.885245901639344</v>
      </c>
      <c r="F18" s="6"/>
      <c r="G18" s="6"/>
      <c r="H18" s="14"/>
    </row>
    <row r="19" spans="1:8" ht="15" x14ac:dyDescent="0.3">
      <c r="A19" s="6"/>
      <c r="B19" s="6">
        <f>B15</f>
        <v>0</v>
      </c>
      <c r="C19" s="25">
        <f>C15</f>
        <v>17.428571428571427</v>
      </c>
      <c r="D19" s="25">
        <f>D15</f>
        <v>0.7142857142857143</v>
      </c>
      <c r="E19" s="25">
        <f>E15</f>
        <v>70.714285714285722</v>
      </c>
      <c r="F19" s="6"/>
      <c r="G19" s="6"/>
      <c r="H19" s="14"/>
    </row>
    <row r="20" spans="1:8" ht="15" x14ac:dyDescent="0.3">
      <c r="A20" s="6"/>
      <c r="B20" s="6">
        <f>B16-($C$16/$C$15)*B15</f>
        <v>0</v>
      </c>
      <c r="C20" s="6">
        <f>C16-($C$16/$C$15)*C15</f>
        <v>0</v>
      </c>
      <c r="D20" s="25">
        <f>D16-($C$16/$C$15)*D15</f>
        <v>0.97049180327868856</v>
      </c>
      <c r="E20" s="25">
        <f>E16-($C$16/$C$15)*E15</f>
        <v>-2.1713114754098362</v>
      </c>
      <c r="F20" s="6"/>
      <c r="G20" s="6"/>
      <c r="H20" s="14"/>
    </row>
    <row r="21" spans="1:8" ht="15" x14ac:dyDescent="0.3">
      <c r="A21" s="6"/>
      <c r="B21" s="6"/>
      <c r="C21" s="6"/>
      <c r="D21" s="6"/>
      <c r="E21" s="6"/>
      <c r="F21" s="6"/>
      <c r="G21" s="6"/>
      <c r="H21" s="14"/>
    </row>
    <row r="22" spans="1:8" ht="15" x14ac:dyDescent="0.3">
      <c r="A22" s="27" t="s">
        <v>10</v>
      </c>
      <c r="B22" s="6">
        <f t="shared" ref="B22:E23" si="0">B18</f>
        <v>14</v>
      </c>
      <c r="C22" s="6">
        <f t="shared" si="0"/>
        <v>0</v>
      </c>
      <c r="D22" s="25">
        <f t="shared" si="0"/>
        <v>0.91803278688524592</v>
      </c>
      <c r="E22" s="25">
        <f t="shared" si="0"/>
        <v>41.885245901639344</v>
      </c>
      <c r="F22" s="6" t="str">
        <f>IF(D24=D20,"aceptado 3","falla")</f>
        <v>aceptado 3</v>
      </c>
      <c r="G22" s="6"/>
      <c r="H22" s="14"/>
    </row>
    <row r="23" spans="1:8" ht="15" x14ac:dyDescent="0.3">
      <c r="A23" s="6"/>
      <c r="B23" s="6">
        <f t="shared" si="0"/>
        <v>0</v>
      </c>
      <c r="C23" s="25">
        <f t="shared" si="0"/>
        <v>17.428571428571427</v>
      </c>
      <c r="D23" s="25">
        <f t="shared" si="0"/>
        <v>0.7142857142857143</v>
      </c>
      <c r="E23" s="25">
        <f t="shared" si="0"/>
        <v>70.714285714285722</v>
      </c>
      <c r="F23" s="6"/>
      <c r="G23" s="6"/>
      <c r="H23" s="14"/>
    </row>
    <row r="24" spans="1:8" ht="15" x14ac:dyDescent="0.3">
      <c r="A24" s="6"/>
      <c r="B24" s="6">
        <f>IF($D$20=0,"falla",B20)</f>
        <v>0</v>
      </c>
      <c r="C24" s="6">
        <f>IF($D$20=0,"falla",C20)</f>
        <v>0</v>
      </c>
      <c r="D24" s="25">
        <f>IF($D$20=0,"falla",D20)</f>
        <v>0.97049180327868856</v>
      </c>
      <c r="E24" s="25">
        <f>IF($D$20=0,"falla",E20)</f>
        <v>-2.1713114754098362</v>
      </c>
      <c r="F24" s="6"/>
      <c r="G24" s="6"/>
      <c r="H24" s="14"/>
    </row>
    <row r="25" spans="1:8" ht="15" x14ac:dyDescent="0.3">
      <c r="A25" s="6"/>
      <c r="B25" s="6"/>
      <c r="C25" s="6"/>
      <c r="D25" s="6"/>
      <c r="E25" s="6"/>
      <c r="F25" s="6"/>
      <c r="G25" s="6"/>
      <c r="H25" s="14"/>
    </row>
    <row r="26" spans="1:8" ht="15" x14ac:dyDescent="0.3">
      <c r="A26" s="9" t="s">
        <v>11</v>
      </c>
      <c r="B26" s="6">
        <f>B22-($D$22/$D$24)*B24</f>
        <v>14</v>
      </c>
      <c r="C26" s="6">
        <f>C22-($D$22/$D$24)*C24</f>
        <v>0</v>
      </c>
      <c r="D26" s="6">
        <f>D22-($D$22/$D$24)*D24</f>
        <v>0</v>
      </c>
      <c r="E26" s="25">
        <f>E22-($D$22/$D$24)*E24</f>
        <v>43.939189189189186</v>
      </c>
      <c r="F26" s="6"/>
      <c r="G26" s="6"/>
      <c r="H26" s="14"/>
    </row>
    <row r="27" spans="1:8" ht="15" x14ac:dyDescent="0.3">
      <c r="A27" s="6"/>
      <c r="B27" s="6">
        <f>B23-($D$23/$D$24)*B24</f>
        <v>0</v>
      </c>
      <c r="C27" s="25">
        <f>C23-($D$23/$D$24)*C24</f>
        <v>17.428571428571427</v>
      </c>
      <c r="D27" s="6">
        <f>D23-($D$23/$D$24)*D24</f>
        <v>0</v>
      </c>
      <c r="E27" s="25">
        <f>E23-($D$23/$D$24)*E24</f>
        <v>72.312379343629345</v>
      </c>
      <c r="F27" s="6"/>
      <c r="G27" s="6"/>
      <c r="H27" s="14"/>
    </row>
    <row r="28" spans="1:8" ht="15" x14ac:dyDescent="0.3">
      <c r="A28" s="6"/>
      <c r="B28" s="6">
        <f>B24</f>
        <v>0</v>
      </c>
      <c r="C28" s="6">
        <f>C24</f>
        <v>0</v>
      </c>
      <c r="D28" s="25">
        <f>D24</f>
        <v>0.97049180327868856</v>
      </c>
      <c r="E28" s="25">
        <f>E24</f>
        <v>-2.1713114754098362</v>
      </c>
      <c r="F28" s="6"/>
      <c r="G28" s="6"/>
      <c r="H28" s="14"/>
    </row>
    <row r="29" spans="1:8" ht="16.2" thickBot="1" x14ac:dyDescent="0.35">
      <c r="A29" s="6"/>
      <c r="B29" s="6"/>
      <c r="C29" s="6"/>
      <c r="D29" s="6"/>
      <c r="E29" s="24" t="s">
        <v>14</v>
      </c>
      <c r="F29" s="6"/>
      <c r="G29" s="6"/>
      <c r="H29" s="14"/>
    </row>
    <row r="30" spans="1:8" ht="16.2" thickBot="1" x14ac:dyDescent="0.35">
      <c r="A30" s="26" t="s">
        <v>15</v>
      </c>
      <c r="B30" s="6">
        <f>B26/$B$26</f>
        <v>1</v>
      </c>
      <c r="C30" s="6">
        <f>C26/$B$26</f>
        <v>0</v>
      </c>
      <c r="D30" s="6">
        <f>D26/$B$26</f>
        <v>0</v>
      </c>
      <c r="E30" s="34">
        <f>E26/$B$26</f>
        <v>3.1385135135135132</v>
      </c>
      <c r="F30" s="6"/>
      <c r="G30" s="6"/>
      <c r="H30" s="14"/>
    </row>
    <row r="31" spans="1:8" ht="16.2" thickBot="1" x14ac:dyDescent="0.35">
      <c r="A31" s="6"/>
      <c r="B31" s="6">
        <f>B27/$C$27</f>
        <v>0</v>
      </c>
      <c r="C31" s="6">
        <f>C27/$C$27</f>
        <v>1</v>
      </c>
      <c r="D31" s="6">
        <f>D27/$C$27</f>
        <v>0</v>
      </c>
      <c r="E31" s="34">
        <f>E27/$C$27</f>
        <v>4.1490709459459465</v>
      </c>
      <c r="F31" s="6"/>
      <c r="G31" s="6"/>
      <c r="H31" s="14"/>
    </row>
    <row r="32" spans="1:8" ht="16.2" thickBot="1" x14ac:dyDescent="0.35">
      <c r="A32" s="6"/>
      <c r="B32" s="6">
        <f>B28/$D$28</f>
        <v>0</v>
      </c>
      <c r="C32" s="6">
        <f>C28/$D$28</f>
        <v>0</v>
      </c>
      <c r="D32" s="6">
        <f>D28/$D$28</f>
        <v>1</v>
      </c>
      <c r="E32" s="34">
        <f>E28/$D$28</f>
        <v>-2.2373310810810811</v>
      </c>
      <c r="F32" s="6"/>
      <c r="G32" s="6"/>
      <c r="H32" s="14"/>
    </row>
    <row r="33" spans="1:7" ht="15.6" x14ac:dyDescent="0.3">
      <c r="A33" s="3"/>
      <c r="B33" s="3"/>
      <c r="C33" s="3"/>
      <c r="D33" s="3"/>
      <c r="E33" s="3"/>
      <c r="F33" s="3"/>
      <c r="G33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988BD-C1F6-402C-8F82-2EF24E348981}">
  <dimension ref="A1:H33"/>
  <sheetViews>
    <sheetView workbookViewId="0">
      <selection activeCell="B2" sqref="B2:E4"/>
    </sheetView>
  </sheetViews>
  <sheetFormatPr baseColWidth="10" defaultColWidth="8.88671875" defaultRowHeight="14.4" x14ac:dyDescent="0.3"/>
  <cols>
    <col min="1" max="1" width="19.88671875" bestFit="1" customWidth="1"/>
    <col min="2" max="5" width="10.6640625" customWidth="1"/>
    <col min="6" max="6" width="12" bestFit="1" customWidth="1"/>
    <col min="7" max="7" width="16.44140625" bestFit="1" customWidth="1"/>
  </cols>
  <sheetData>
    <row r="1" spans="1:8" ht="15.6" x14ac:dyDescent="0.3">
      <c r="A1" s="17" t="s">
        <v>0</v>
      </c>
      <c r="B1" s="6"/>
      <c r="C1" s="6" t="s">
        <v>16</v>
      </c>
      <c r="D1" s="6"/>
      <c r="E1" s="6" t="s">
        <v>2</v>
      </c>
      <c r="F1" s="20" t="s">
        <v>17</v>
      </c>
      <c r="G1" s="23" t="s">
        <v>4</v>
      </c>
      <c r="H1" s="13"/>
    </row>
    <row r="2" spans="1:8" ht="15.6" x14ac:dyDescent="0.3">
      <c r="A2" s="6"/>
      <c r="B2" s="5">
        <v>14</v>
      </c>
      <c r="C2" s="5">
        <v>2</v>
      </c>
      <c r="D2" s="28">
        <v>1</v>
      </c>
      <c r="E2" s="12">
        <v>50</v>
      </c>
      <c r="F2" s="6"/>
      <c r="G2" s="18">
        <f t="array" ref="G2:G4">MMULT(B2:D4,E30:E32)</f>
        <v>50</v>
      </c>
      <c r="H2" s="13"/>
    </row>
    <row r="3" spans="1:8" ht="15.6" x14ac:dyDescent="0.3">
      <c r="A3" s="6"/>
      <c r="B3" s="5">
        <v>4</v>
      </c>
      <c r="C3" s="5">
        <v>18</v>
      </c>
      <c r="D3" s="28">
        <v>1</v>
      </c>
      <c r="E3" s="12">
        <v>85</v>
      </c>
      <c r="F3" s="6"/>
      <c r="G3" s="18">
        <v>85</v>
      </c>
      <c r="H3" s="13"/>
    </row>
    <row r="4" spans="1:8" ht="15.6" x14ac:dyDescent="0.3">
      <c r="A4" s="6"/>
      <c r="B4" s="5">
        <v>0.2</v>
      </c>
      <c r="C4" s="5">
        <v>0.4</v>
      </c>
      <c r="D4" s="28">
        <v>1</v>
      </c>
      <c r="E4" s="12">
        <v>0.05</v>
      </c>
      <c r="F4" s="6"/>
      <c r="G4" s="18">
        <v>5.0000000000000266E-2</v>
      </c>
      <c r="H4" s="13"/>
    </row>
    <row r="5" spans="1:8" ht="15" x14ac:dyDescent="0.3">
      <c r="A5" s="6"/>
      <c r="B5" s="6"/>
      <c r="C5" s="6"/>
      <c r="D5" s="6"/>
      <c r="E5" s="6"/>
      <c r="F5" s="6"/>
      <c r="G5" s="6"/>
      <c r="H5" s="14"/>
    </row>
    <row r="6" spans="1:8" ht="15" x14ac:dyDescent="0.3">
      <c r="A6" s="27" t="s">
        <v>6</v>
      </c>
      <c r="B6" s="6">
        <f>IF($B$2=0,IF($B$3=0,IF($B$4=0,"Falla",B4),B3),B2)</f>
        <v>14</v>
      </c>
      <c r="C6" s="6">
        <f>IF($B$2=0,IF($B$3=0,IF($B$4=0,"Falla",C4),C3),C2)</f>
        <v>2</v>
      </c>
      <c r="D6" s="6">
        <f>IF($B$2=0,IF($B$3=0,IF($B$4=0,"Falla",D4),D3),D2)</f>
        <v>1</v>
      </c>
      <c r="E6" s="6">
        <f>IF($B$2=0,IF($B$3=0,IF($B$4=0,"Falla",E4),E3),E2)</f>
        <v>50</v>
      </c>
      <c r="F6" s="6" t="str">
        <f>IF(B6=B2,"aceptado 1",IF(B6=B3,"aceptado 2",IF(B6=B4,"aceptado 3","falla")))</f>
        <v>aceptado 1</v>
      </c>
      <c r="G6" s="6"/>
      <c r="H6" s="14"/>
    </row>
    <row r="7" spans="1:8" ht="15" x14ac:dyDescent="0.3">
      <c r="A7" s="6"/>
      <c r="B7" s="6">
        <f>IF($F$6="aceptado 2",B2,B3)</f>
        <v>4</v>
      </c>
      <c r="C7" s="6">
        <f>IF($F$6="aceptado 2",C2,C3)</f>
        <v>18</v>
      </c>
      <c r="D7" s="6">
        <f>IF($F$6="aceptado 2",D2,D3)</f>
        <v>1</v>
      </c>
      <c r="E7" s="6">
        <f>IF($F$6="aceptado 2",E2,E3)</f>
        <v>85</v>
      </c>
      <c r="F7" s="6"/>
      <c r="G7" s="6"/>
      <c r="H7" s="14"/>
    </row>
    <row r="8" spans="1:8" ht="15" x14ac:dyDescent="0.3">
      <c r="A8" s="6"/>
      <c r="B8" s="6">
        <f>IF($F$6="aceptado 3",B2,B4)</f>
        <v>0.2</v>
      </c>
      <c r="C8" s="6">
        <f>IF($F$6="aceptado 3",C2,C4)</f>
        <v>0.4</v>
      </c>
      <c r="D8" s="6">
        <f>IF($F$6="aceptado 3",D2,D4)</f>
        <v>1</v>
      </c>
      <c r="E8" s="6">
        <f>IF($F$6="aceptado 3",E2,E4)</f>
        <v>0.05</v>
      </c>
      <c r="F8" s="6"/>
      <c r="G8" s="6"/>
      <c r="H8" s="14"/>
    </row>
    <row r="9" spans="1:8" ht="15" x14ac:dyDescent="0.3">
      <c r="A9" s="6"/>
      <c r="B9" s="6"/>
      <c r="C9" s="6"/>
      <c r="D9" s="6"/>
      <c r="E9" s="6"/>
      <c r="F9" s="6"/>
      <c r="G9" s="6"/>
      <c r="H9" s="14"/>
    </row>
    <row r="10" spans="1:8" ht="15" x14ac:dyDescent="0.3">
      <c r="A10" s="9" t="s">
        <v>7</v>
      </c>
      <c r="B10" s="6">
        <f>B6</f>
        <v>14</v>
      </c>
      <c r="C10" s="6">
        <f>C6</f>
        <v>2</v>
      </c>
      <c r="D10" s="6">
        <f>D6</f>
        <v>1</v>
      </c>
      <c r="E10" s="6">
        <f>E6</f>
        <v>50</v>
      </c>
      <c r="F10" s="6"/>
      <c r="G10" s="6"/>
      <c r="H10" s="14"/>
    </row>
    <row r="11" spans="1:8" ht="15" x14ac:dyDescent="0.3">
      <c r="A11" s="6"/>
      <c r="B11" s="6">
        <f>B7-($B$7/$B$6)*B6</f>
        <v>0</v>
      </c>
      <c r="C11" s="25">
        <f>C7-($B$7/$B$6)*C6</f>
        <v>17.428571428571427</v>
      </c>
      <c r="D11" s="25">
        <f>D7-($B$7/$B$6)*D6</f>
        <v>0.7142857142857143</v>
      </c>
      <c r="E11" s="25">
        <f>E7-($B$7/$B$6)*E6</f>
        <v>70.714285714285722</v>
      </c>
      <c r="F11" s="6"/>
      <c r="G11" s="6"/>
      <c r="H11" s="14"/>
    </row>
    <row r="12" spans="1:8" ht="15" x14ac:dyDescent="0.3">
      <c r="A12" s="6"/>
      <c r="B12" s="6">
        <f>B8-($B$8/$B$6)*B6</f>
        <v>0</v>
      </c>
      <c r="C12" s="25">
        <f>C8-($B$8/$B$6)*C6</f>
        <v>0.37142857142857144</v>
      </c>
      <c r="D12" s="25">
        <f>D8-($B$8/$B$6)*D6</f>
        <v>0.98571428571428577</v>
      </c>
      <c r="E12" s="25">
        <f>E8-($B$8/$B$6)*E6</f>
        <v>-0.66428571428571426</v>
      </c>
      <c r="F12" s="6"/>
      <c r="G12" s="6"/>
      <c r="H12" s="14"/>
    </row>
    <row r="13" spans="1:8" ht="15" x14ac:dyDescent="0.3">
      <c r="A13" s="6"/>
      <c r="B13" s="6"/>
      <c r="C13" s="6"/>
      <c r="D13" s="6"/>
      <c r="E13" s="6"/>
      <c r="F13" s="6"/>
      <c r="G13" s="6"/>
      <c r="H13" s="14"/>
    </row>
    <row r="14" spans="1:8" ht="15" x14ac:dyDescent="0.3">
      <c r="A14" s="27" t="s">
        <v>8</v>
      </c>
      <c r="B14" s="6">
        <f>B10</f>
        <v>14</v>
      </c>
      <c r="C14" s="6">
        <f>C10</f>
        <v>2</v>
      </c>
      <c r="D14" s="6">
        <f>D10</f>
        <v>1</v>
      </c>
      <c r="E14" s="6">
        <f>E10</f>
        <v>50</v>
      </c>
      <c r="F14" s="6" t="str">
        <f>IF(C15=C11,"aceptado 2",IF(C15=C12,"aceptado 3","falla"))</f>
        <v>aceptado 2</v>
      </c>
      <c r="G14" s="6"/>
      <c r="H14" s="14"/>
    </row>
    <row r="15" spans="1:8" ht="15" x14ac:dyDescent="0.3">
      <c r="A15" s="6"/>
      <c r="B15" s="6">
        <f>IF($C$11=0,IF($C$12=0,"falla",B12),B11)</f>
        <v>0</v>
      </c>
      <c r="C15" s="25">
        <f>IF($C$11=0,IF($C$12=0,"falla",C12),C11)</f>
        <v>17.428571428571427</v>
      </c>
      <c r="D15" s="25">
        <f>IF($C$11=0,IF($C$12=0,"falla",D12),D11)</f>
        <v>0.7142857142857143</v>
      </c>
      <c r="E15" s="25">
        <f>IF($C$11=0,IF($C$12=0,"falla",E12),E11)</f>
        <v>70.714285714285722</v>
      </c>
      <c r="F15" s="6"/>
      <c r="G15" s="6"/>
      <c r="H15" s="14"/>
    </row>
    <row r="16" spans="1:8" ht="15" x14ac:dyDescent="0.3">
      <c r="A16" s="6"/>
      <c r="B16" s="6">
        <f>IF($F$14="aceptado 2",B12,B11)</f>
        <v>0</v>
      </c>
      <c r="C16" s="25">
        <f>IF($F$14="aceptado 2",C12,C11)</f>
        <v>0.37142857142857144</v>
      </c>
      <c r="D16" s="25">
        <f>IF($F$14="aceptado 2",D12,D11)</f>
        <v>0.98571428571428577</v>
      </c>
      <c r="E16" s="25">
        <f>IF($F$14="aceptado 2",E12,E11)</f>
        <v>-0.66428571428571426</v>
      </c>
      <c r="F16" s="6"/>
      <c r="G16" s="6"/>
      <c r="H16" s="14"/>
    </row>
    <row r="17" spans="1:8" ht="15" x14ac:dyDescent="0.3">
      <c r="A17" s="6"/>
      <c r="B17" s="6"/>
      <c r="C17" s="6"/>
      <c r="D17" s="6"/>
      <c r="E17" s="6"/>
      <c r="F17" s="6"/>
      <c r="G17" s="6"/>
      <c r="H17" s="14"/>
    </row>
    <row r="18" spans="1:8" ht="15" x14ac:dyDescent="0.3">
      <c r="A18" s="9" t="s">
        <v>9</v>
      </c>
      <c r="B18" s="6">
        <f>B14-($C$14/$C$15)*B15</f>
        <v>14</v>
      </c>
      <c r="C18" s="6">
        <f>C14-($C$14/$C$15)*C15</f>
        <v>0</v>
      </c>
      <c r="D18" s="25">
        <f>D14-($C$14/$C$15)*D15</f>
        <v>0.91803278688524592</v>
      </c>
      <c r="E18" s="25">
        <f>E14-($C$14/$C$15)*E15</f>
        <v>41.885245901639344</v>
      </c>
      <c r="F18" s="6"/>
      <c r="G18" s="6"/>
      <c r="H18" s="14"/>
    </row>
    <row r="19" spans="1:8" ht="15" x14ac:dyDescent="0.3">
      <c r="A19" s="6"/>
      <c r="B19" s="6">
        <f>B15</f>
        <v>0</v>
      </c>
      <c r="C19" s="25">
        <f>C15</f>
        <v>17.428571428571427</v>
      </c>
      <c r="D19" s="25">
        <f>D15</f>
        <v>0.7142857142857143</v>
      </c>
      <c r="E19" s="25">
        <f>E15</f>
        <v>70.714285714285722</v>
      </c>
      <c r="F19" s="6"/>
      <c r="G19" s="6"/>
      <c r="H19" s="14"/>
    </row>
    <row r="20" spans="1:8" ht="15" x14ac:dyDescent="0.3">
      <c r="A20" s="6"/>
      <c r="B20" s="6">
        <f>B16-($C$16/$C$15)*B15</f>
        <v>0</v>
      </c>
      <c r="C20" s="6">
        <f>C16-($C$16/$C$15)*C15</f>
        <v>0</v>
      </c>
      <c r="D20" s="25">
        <f>D16-($C$16/$C$15)*D15</f>
        <v>0.97049180327868856</v>
      </c>
      <c r="E20" s="25">
        <f>E16-($C$16/$C$15)*E15</f>
        <v>-2.1713114754098362</v>
      </c>
      <c r="F20" s="6"/>
      <c r="G20" s="6"/>
      <c r="H20" s="14"/>
    </row>
    <row r="21" spans="1:8" ht="15" x14ac:dyDescent="0.3">
      <c r="A21" s="6"/>
      <c r="B21" s="6"/>
      <c r="C21" s="6"/>
      <c r="D21" s="6"/>
      <c r="E21" s="6"/>
      <c r="F21" s="6"/>
      <c r="G21" s="6"/>
      <c r="H21" s="14"/>
    </row>
    <row r="22" spans="1:8" ht="15" x14ac:dyDescent="0.3">
      <c r="A22" s="27" t="s">
        <v>10</v>
      </c>
      <c r="B22" s="6">
        <f t="shared" ref="B22:E23" si="0">B18</f>
        <v>14</v>
      </c>
      <c r="C22" s="6">
        <f t="shared" si="0"/>
        <v>0</v>
      </c>
      <c r="D22" s="25">
        <f t="shared" si="0"/>
        <v>0.91803278688524592</v>
      </c>
      <c r="E22" s="25">
        <f t="shared" si="0"/>
        <v>41.885245901639344</v>
      </c>
      <c r="F22" s="6" t="str">
        <f>IF(D24=D20,"aceptado 3","falla")</f>
        <v>aceptado 3</v>
      </c>
      <c r="G22" s="6"/>
      <c r="H22" s="14"/>
    </row>
    <row r="23" spans="1:8" ht="15" x14ac:dyDescent="0.3">
      <c r="A23" s="6"/>
      <c r="B23" s="6">
        <f t="shared" si="0"/>
        <v>0</v>
      </c>
      <c r="C23" s="25">
        <f t="shared" si="0"/>
        <v>17.428571428571427</v>
      </c>
      <c r="D23" s="25">
        <f t="shared" si="0"/>
        <v>0.7142857142857143</v>
      </c>
      <c r="E23" s="25">
        <f t="shared" si="0"/>
        <v>70.714285714285722</v>
      </c>
      <c r="F23" s="6"/>
      <c r="G23" s="6"/>
      <c r="H23" s="14"/>
    </row>
    <row r="24" spans="1:8" ht="15" x14ac:dyDescent="0.3">
      <c r="A24" s="6"/>
      <c r="B24" s="6">
        <f>IF($D$20=0,"falla",B20)</f>
        <v>0</v>
      </c>
      <c r="C24" s="6">
        <f>IF($D$20=0,"falla",C20)</f>
        <v>0</v>
      </c>
      <c r="D24" s="25">
        <f>IF($D$20=0,"falla",D20)</f>
        <v>0.97049180327868856</v>
      </c>
      <c r="E24" s="25">
        <f>IF($D$20=0,"falla",E20)</f>
        <v>-2.1713114754098362</v>
      </c>
      <c r="F24" s="6"/>
      <c r="G24" s="6"/>
      <c r="H24" s="14"/>
    </row>
    <row r="25" spans="1:8" ht="15" x14ac:dyDescent="0.3">
      <c r="A25" s="6"/>
      <c r="B25" s="6"/>
      <c r="C25" s="6"/>
      <c r="D25" s="6"/>
      <c r="E25" s="6"/>
      <c r="F25" s="6"/>
      <c r="G25" s="6"/>
      <c r="H25" s="14"/>
    </row>
    <row r="26" spans="1:8" ht="15" x14ac:dyDescent="0.3">
      <c r="A26" s="9" t="s">
        <v>11</v>
      </c>
      <c r="B26" s="6">
        <f>B22-($D$22/$D$24)*B24</f>
        <v>14</v>
      </c>
      <c r="C26" s="6">
        <f>C22-($D$22/$D$24)*C24</f>
        <v>0</v>
      </c>
      <c r="D26" s="6">
        <f>D22-($D$22/$D$24)*D24</f>
        <v>0</v>
      </c>
      <c r="E26" s="25">
        <f>E22-($D$22/$D$24)*E24</f>
        <v>43.939189189189186</v>
      </c>
      <c r="F26" s="6"/>
      <c r="G26" s="6"/>
      <c r="H26" s="14"/>
    </row>
    <row r="27" spans="1:8" ht="15" x14ac:dyDescent="0.3">
      <c r="A27" s="6"/>
      <c r="B27" s="6">
        <f>B23-($D$23/$D$24)*B24</f>
        <v>0</v>
      </c>
      <c r="C27" s="25">
        <f>C23-($D$23/$D$24)*C24</f>
        <v>17.428571428571427</v>
      </c>
      <c r="D27" s="6">
        <f>D23-($D$23/$D$24)*D24</f>
        <v>0</v>
      </c>
      <c r="E27" s="25">
        <f>E23-($D$23/$D$24)*E24</f>
        <v>72.312379343629345</v>
      </c>
      <c r="F27" s="6"/>
      <c r="G27" s="6"/>
      <c r="H27" s="14"/>
    </row>
    <row r="28" spans="1:8" ht="15" x14ac:dyDescent="0.3">
      <c r="A28" s="6"/>
      <c r="B28" s="6">
        <f>B24</f>
        <v>0</v>
      </c>
      <c r="C28" s="6">
        <f>C24</f>
        <v>0</v>
      </c>
      <c r="D28" s="25">
        <f>D24</f>
        <v>0.97049180327868856</v>
      </c>
      <c r="E28" s="25">
        <f>E24</f>
        <v>-2.1713114754098362</v>
      </c>
      <c r="F28" s="6"/>
      <c r="G28" s="6"/>
      <c r="H28" s="14"/>
    </row>
    <row r="29" spans="1:8" ht="16.2" thickBot="1" x14ac:dyDescent="0.35">
      <c r="A29" s="6"/>
      <c r="B29" s="6"/>
      <c r="C29" s="6"/>
      <c r="D29" s="6"/>
      <c r="E29" s="24" t="s">
        <v>14</v>
      </c>
      <c r="F29" s="6"/>
      <c r="G29" s="6"/>
      <c r="H29" s="14"/>
    </row>
    <row r="30" spans="1:8" ht="16.2" thickBot="1" x14ac:dyDescent="0.35">
      <c r="A30" s="26" t="s">
        <v>15</v>
      </c>
      <c r="B30" s="6">
        <f>B26/$B$26</f>
        <v>1</v>
      </c>
      <c r="C30" s="6">
        <f>C26/$B$26</f>
        <v>0</v>
      </c>
      <c r="D30" s="6">
        <f>D26/$B$26</f>
        <v>0</v>
      </c>
      <c r="E30" s="34">
        <f>E26/$B$26</f>
        <v>3.1385135135135132</v>
      </c>
      <c r="F30" s="6"/>
      <c r="G30" s="6"/>
      <c r="H30" s="14"/>
    </row>
    <row r="31" spans="1:8" ht="16.2" thickBot="1" x14ac:dyDescent="0.35">
      <c r="A31" s="6"/>
      <c r="B31" s="6">
        <f>B27/$C$27</f>
        <v>0</v>
      </c>
      <c r="C31" s="6">
        <f>C27/$C$27</f>
        <v>1</v>
      </c>
      <c r="D31" s="6">
        <f>D27/$C$27</f>
        <v>0</v>
      </c>
      <c r="E31" s="34">
        <f>E27/$C$27</f>
        <v>4.1490709459459465</v>
      </c>
      <c r="F31" s="6"/>
      <c r="G31" s="6"/>
      <c r="H31" s="14"/>
    </row>
    <row r="32" spans="1:8" ht="16.2" thickBot="1" x14ac:dyDescent="0.35">
      <c r="A32" s="6"/>
      <c r="B32" s="6">
        <f>B28/$D$28</f>
        <v>0</v>
      </c>
      <c r="C32" s="6">
        <f>C28/$D$28</f>
        <v>0</v>
      </c>
      <c r="D32" s="6">
        <f>D28/$D$28</f>
        <v>1</v>
      </c>
      <c r="E32" s="34">
        <f>E28/$D$28</f>
        <v>-2.2373310810810811</v>
      </c>
      <c r="F32" s="6"/>
      <c r="G32" s="6"/>
      <c r="H32" s="14"/>
    </row>
    <row r="33" spans="1:7" ht="15.6" x14ac:dyDescent="0.3">
      <c r="A33" s="3"/>
      <c r="B33" s="3"/>
      <c r="C33" s="3"/>
      <c r="D33" s="3"/>
      <c r="E33" s="3"/>
      <c r="F33" s="3"/>
      <c r="G33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41F8B-6986-4B60-8DA0-14D271616065}">
  <dimension ref="A1:G24"/>
  <sheetViews>
    <sheetView zoomScaleNormal="100" workbookViewId="0">
      <selection activeCell="D16" sqref="D16"/>
    </sheetView>
  </sheetViews>
  <sheetFormatPr baseColWidth="10" defaultColWidth="11.44140625" defaultRowHeight="15" customHeight="1" x14ac:dyDescent="0.3"/>
  <cols>
    <col min="1" max="1" width="18.6640625" bestFit="1" customWidth="1"/>
    <col min="2" max="4" width="10.6640625" customWidth="1"/>
    <col min="5" max="5" width="14.44140625" customWidth="1"/>
    <col min="6" max="6" width="16.44140625" bestFit="1" customWidth="1"/>
    <col min="7" max="7" width="32" customWidth="1"/>
  </cols>
  <sheetData>
    <row r="1" spans="1:7" ht="15.6" x14ac:dyDescent="0.3">
      <c r="A1" s="2" t="s">
        <v>0</v>
      </c>
      <c r="B1" s="4"/>
      <c r="C1" s="3"/>
      <c r="D1" s="3"/>
      <c r="E1" s="6" t="s">
        <v>18</v>
      </c>
      <c r="F1" s="31" t="s">
        <v>19</v>
      </c>
    </row>
    <row r="2" spans="1:7" ht="15.6" x14ac:dyDescent="0.3">
      <c r="A2" s="3"/>
      <c r="B2" s="5">
        <v>0</v>
      </c>
      <c r="C2" s="28">
        <v>1</v>
      </c>
      <c r="D2" s="12">
        <v>3</v>
      </c>
      <c r="E2" s="3"/>
      <c r="F2" s="30" cm="1">
        <f t="array" ref="F2:F3">MMULT(B2:C3,D17:D18)</f>
        <v>3</v>
      </c>
    </row>
    <row r="3" spans="1:7" ht="15.6" x14ac:dyDescent="0.3">
      <c r="A3" s="3"/>
      <c r="B3" s="5">
        <v>2</v>
      </c>
      <c r="C3" s="28">
        <v>-5</v>
      </c>
      <c r="D3" s="12">
        <v>-6</v>
      </c>
      <c r="E3" s="3"/>
      <c r="F3" s="30">
        <v>-6</v>
      </c>
      <c r="G3" t="s">
        <v>5</v>
      </c>
    </row>
    <row r="4" spans="1:7" ht="15.6" x14ac:dyDescent="0.3">
      <c r="A4" s="3"/>
      <c r="B4" s="10"/>
      <c r="C4" s="10"/>
      <c r="D4" s="10"/>
      <c r="E4" s="3"/>
      <c r="G4" s="1"/>
    </row>
    <row r="5" spans="1:7" ht="15.6" x14ac:dyDescent="0.3">
      <c r="A5" s="8" t="s">
        <v>20</v>
      </c>
      <c r="B5" s="11">
        <f>IF($B$2=0,IF($B$3=0,"falla",B3),B2)</f>
        <v>2</v>
      </c>
      <c r="C5" s="6">
        <f t="shared" ref="C5:D5" si="0">IF($B$2=0,IF($B$3=0,"falla",C3),C2)</f>
        <v>-5</v>
      </c>
      <c r="D5" s="15">
        <f t="shared" si="0"/>
        <v>-6</v>
      </c>
      <c r="E5" s="4" t="str">
        <f>IF(B5=B2,"aceptado 1",IF(B5=B3,"aceptado 2","falla"))</f>
        <v>aceptado 2</v>
      </c>
      <c r="G5" s="1"/>
    </row>
    <row r="6" spans="1:7" ht="15.6" x14ac:dyDescent="0.3">
      <c r="B6" s="6">
        <f>+IF($E$5="aceptado 2",B2,B3)</f>
        <v>0</v>
      </c>
      <c r="C6" s="6">
        <f t="shared" ref="C6:D6" si="1">+IF($E$5="aceptado 2",C2,C3)</f>
        <v>1</v>
      </c>
      <c r="D6" s="6">
        <f t="shared" si="1"/>
        <v>3</v>
      </c>
      <c r="E6" s="3"/>
      <c r="G6" s="1"/>
    </row>
    <row r="7" spans="1:7" ht="15.6" x14ac:dyDescent="0.3">
      <c r="A7" s="3"/>
      <c r="B7" s="3"/>
      <c r="C7" s="3"/>
      <c r="D7" s="3"/>
      <c r="E7" s="3"/>
      <c r="G7" s="1"/>
    </row>
    <row r="8" spans="1:7" ht="15.6" x14ac:dyDescent="0.3">
      <c r="A8" s="9" t="s">
        <v>21</v>
      </c>
      <c r="B8" s="6">
        <f>B5</f>
        <v>2</v>
      </c>
      <c r="C8" s="6">
        <f t="shared" ref="C8:D8" si="2">C5</f>
        <v>-5</v>
      </c>
      <c r="D8" s="6">
        <f t="shared" si="2"/>
        <v>-6</v>
      </c>
      <c r="E8" s="3"/>
      <c r="G8" s="1"/>
    </row>
    <row r="9" spans="1:7" x14ac:dyDescent="0.3">
      <c r="B9" s="6">
        <f>B6-($B$6/$B$5)*B5</f>
        <v>0</v>
      </c>
      <c r="C9" s="6">
        <f t="shared" ref="C9:D9" si="3">C6-($B$6/$B$5)*C5</f>
        <v>1</v>
      </c>
      <c r="D9" s="6">
        <f t="shared" si="3"/>
        <v>3</v>
      </c>
      <c r="G9" s="1"/>
    </row>
    <row r="10" spans="1:7" ht="14.4" x14ac:dyDescent="0.3">
      <c r="G10" s="1"/>
    </row>
    <row r="11" spans="1:7" ht="15.6" x14ac:dyDescent="0.3">
      <c r="A11" s="8" t="s">
        <v>22</v>
      </c>
      <c r="B11" s="6">
        <f>B8</f>
        <v>2</v>
      </c>
      <c r="C11" s="6">
        <f t="shared" ref="C11:D11" si="4">C8</f>
        <v>-5</v>
      </c>
      <c r="D11" s="6">
        <f t="shared" si="4"/>
        <v>-6</v>
      </c>
      <c r="G11" s="1"/>
    </row>
    <row r="12" spans="1:7" x14ac:dyDescent="0.3">
      <c r="B12" s="6">
        <f>IF($C$9=0,"falla",B9)</f>
        <v>0</v>
      </c>
      <c r="C12" s="6">
        <f>IF($C$9=0,"falla",C9)</f>
        <v>1</v>
      </c>
      <c r="D12" s="6">
        <f>IF($C$9=0,"falla",D9)</f>
        <v>3</v>
      </c>
      <c r="E12" s="6"/>
      <c r="G12" s="1"/>
    </row>
    <row r="13" spans="1:7" x14ac:dyDescent="0.3">
      <c r="B13" s="6"/>
      <c r="C13" s="6"/>
      <c r="D13" s="6"/>
      <c r="G13" s="1"/>
    </row>
    <row r="14" spans="1:7" ht="15.6" x14ac:dyDescent="0.3">
      <c r="A14" s="9" t="s">
        <v>23</v>
      </c>
      <c r="B14" s="4">
        <f>B11-($C$11/$C$12)*B12</f>
        <v>2</v>
      </c>
      <c r="C14" s="4">
        <f t="shared" ref="C14:D14" si="5">C11-($C$11/$C$12)*C12</f>
        <v>0</v>
      </c>
      <c r="D14" s="4">
        <f t="shared" si="5"/>
        <v>9</v>
      </c>
      <c r="G14" s="1"/>
    </row>
    <row r="15" spans="1:7" ht="15.6" x14ac:dyDescent="0.3">
      <c r="A15" s="7"/>
      <c r="B15" s="4">
        <f>B12</f>
        <v>0</v>
      </c>
      <c r="C15" s="4">
        <f>C12</f>
        <v>1</v>
      </c>
      <c r="D15" s="4">
        <f t="shared" ref="D15" si="6">D12</f>
        <v>3</v>
      </c>
    </row>
    <row r="16" spans="1:7" ht="16.2" thickBot="1" x14ac:dyDescent="0.35">
      <c r="C16" s="13"/>
      <c r="D16" s="36" t="s">
        <v>14</v>
      </c>
    </row>
    <row r="17" spans="1:5" ht="16.2" thickBot="1" x14ac:dyDescent="0.35">
      <c r="A17" s="26" t="s">
        <v>24</v>
      </c>
      <c r="B17" s="4">
        <f>B14/$B$14</f>
        <v>1</v>
      </c>
      <c r="C17" s="4">
        <f>C14/$B$14</f>
        <v>0</v>
      </c>
      <c r="D17" s="35">
        <f>D14/$B$14</f>
        <v>4.5</v>
      </c>
    </row>
    <row r="18" spans="1:5" ht="16.5" customHeight="1" thickBot="1" x14ac:dyDescent="0.35">
      <c r="A18" s="6"/>
      <c r="B18" s="4">
        <f>B15/$C$15</f>
        <v>0</v>
      </c>
      <c r="C18" s="4">
        <f>C15/$C$15</f>
        <v>1</v>
      </c>
      <c r="D18" s="35">
        <f>D15/$C$15</f>
        <v>3</v>
      </c>
      <c r="E18" t="s">
        <v>25</v>
      </c>
    </row>
    <row r="19" spans="1:5" ht="14.4" x14ac:dyDescent="0.3"/>
    <row r="20" spans="1:5" ht="14.4" x14ac:dyDescent="0.3"/>
    <row r="21" spans="1:5" x14ac:dyDescent="0.3">
      <c r="A21" s="6"/>
      <c r="B21" s="6"/>
      <c r="C21" s="6"/>
      <c r="D21" s="6"/>
    </row>
    <row r="22" spans="1:5" x14ac:dyDescent="0.3">
      <c r="A22" s="6"/>
      <c r="B22" s="6"/>
      <c r="C22" s="6"/>
      <c r="D22" s="6"/>
    </row>
    <row r="23" spans="1:5" x14ac:dyDescent="0.3">
      <c r="A23" s="6"/>
      <c r="B23" s="6"/>
      <c r="C23" s="6"/>
      <c r="D23" s="6"/>
    </row>
    <row r="24" spans="1:5" ht="14.4" x14ac:dyDescent="0.3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CB5D8-83F6-4FE5-9F80-C9620F1798A6}">
  <dimension ref="A1:F18"/>
  <sheetViews>
    <sheetView workbookViewId="0">
      <selection sqref="A1:F18"/>
    </sheetView>
  </sheetViews>
  <sheetFormatPr baseColWidth="10" defaultColWidth="11.44140625" defaultRowHeight="14.4" x14ac:dyDescent="0.3"/>
  <cols>
    <col min="1" max="1" width="15.6640625" bestFit="1" customWidth="1"/>
    <col min="6" max="6" width="13.6640625" bestFit="1" customWidth="1"/>
  </cols>
  <sheetData>
    <row r="1" spans="1:6" x14ac:dyDescent="0.3">
      <c r="A1" s="53" t="s">
        <v>0</v>
      </c>
      <c r="B1" s="54"/>
      <c r="C1" s="54"/>
      <c r="D1" s="54"/>
      <c r="E1" s="54" t="s">
        <v>18</v>
      </c>
      <c r="F1" s="55" t="s">
        <v>4</v>
      </c>
    </row>
    <row r="2" spans="1:6" x14ac:dyDescent="0.3">
      <c r="A2" s="54"/>
      <c r="B2" s="56">
        <v>2</v>
      </c>
      <c r="C2" s="57">
        <v>3</v>
      </c>
      <c r="D2" s="58">
        <v>18</v>
      </c>
      <c r="E2" s="54"/>
      <c r="F2" s="59" cm="1">
        <f t="array" ref="F2:F3">MMULT(B2:C3,D17:D18)</f>
        <v>18</v>
      </c>
    </row>
    <row r="3" spans="1:6" x14ac:dyDescent="0.3">
      <c r="A3" s="54"/>
      <c r="B3" s="56">
        <v>1</v>
      </c>
      <c r="C3" s="57">
        <v>-1</v>
      </c>
      <c r="D3" s="58">
        <v>3</v>
      </c>
      <c r="E3" s="54"/>
      <c r="F3" s="59">
        <v>3.0000000000000004</v>
      </c>
    </row>
    <row r="4" spans="1:6" x14ac:dyDescent="0.3">
      <c r="A4" s="54"/>
      <c r="B4" s="60"/>
      <c r="C4" s="60"/>
      <c r="D4" s="60"/>
      <c r="E4" s="54"/>
      <c r="F4" s="61"/>
    </row>
    <row r="5" spans="1:6" x14ac:dyDescent="0.3">
      <c r="A5" s="86" t="s">
        <v>20</v>
      </c>
      <c r="B5" s="62">
        <f>IF($B$2=0,IF($B$3=0,"falla",B3),B2)</f>
        <v>2</v>
      </c>
      <c r="C5" s="63">
        <f t="shared" ref="C5:D5" si="0">IF($B$2=0,IF($B$3=0,"falla",C3),C2)</f>
        <v>3</v>
      </c>
      <c r="D5" s="63">
        <f t="shared" si="0"/>
        <v>18</v>
      </c>
      <c r="E5" s="54" t="str">
        <f>IF(B5=B2,"aceptado 1",IF(B5=B3,"aceptado 2","falla"))</f>
        <v>aceptado 1</v>
      </c>
      <c r="F5" s="61"/>
    </row>
    <row r="6" spans="1:6" x14ac:dyDescent="0.3">
      <c r="A6" s="61"/>
      <c r="B6" s="63">
        <f>+IF($E$5="aceptado 2",B2,B3)</f>
        <v>1</v>
      </c>
      <c r="C6" s="63">
        <f t="shared" ref="C6:D6" si="1">+IF($E$5="aceptado 2",C2,C3)</f>
        <v>-1</v>
      </c>
      <c r="D6" s="63">
        <f t="shared" si="1"/>
        <v>3</v>
      </c>
      <c r="E6" s="54"/>
      <c r="F6" s="61"/>
    </row>
    <row r="7" spans="1:6" x14ac:dyDescent="0.3">
      <c r="A7" s="54"/>
      <c r="B7" s="63"/>
      <c r="C7" s="63"/>
      <c r="D7" s="63"/>
      <c r="E7" s="54"/>
      <c r="F7" s="61"/>
    </row>
    <row r="8" spans="1:6" x14ac:dyDescent="0.3">
      <c r="A8" s="87" t="s">
        <v>21</v>
      </c>
      <c r="B8" s="63">
        <f>B5</f>
        <v>2</v>
      </c>
      <c r="C8" s="63">
        <f t="shared" ref="C8:D8" si="2">C5</f>
        <v>3</v>
      </c>
      <c r="D8" s="63">
        <f t="shared" si="2"/>
        <v>18</v>
      </c>
      <c r="E8" s="54"/>
      <c r="F8" s="61"/>
    </row>
    <row r="9" spans="1:6" x14ac:dyDescent="0.3">
      <c r="A9" s="61"/>
      <c r="B9" s="63">
        <f>B6-($B$6/$B$5)*B5</f>
        <v>0</v>
      </c>
      <c r="C9" s="63">
        <f t="shared" ref="C9:D9" si="3">C6-($B$6/$B$5)*C5</f>
        <v>-2.5</v>
      </c>
      <c r="D9" s="63">
        <f t="shared" si="3"/>
        <v>-6</v>
      </c>
      <c r="E9" s="61"/>
      <c r="F9" s="61"/>
    </row>
    <row r="10" spans="1:6" x14ac:dyDescent="0.3">
      <c r="A10" s="61"/>
      <c r="B10" s="64"/>
      <c r="C10" s="64"/>
      <c r="D10" s="64"/>
      <c r="E10" s="61"/>
      <c r="F10" s="61"/>
    </row>
    <row r="11" spans="1:6" x14ac:dyDescent="0.3">
      <c r="A11" s="86" t="s">
        <v>22</v>
      </c>
      <c r="B11" s="63">
        <f>B8</f>
        <v>2</v>
      </c>
      <c r="C11" s="63">
        <f t="shared" ref="C11:D11" si="4">C8</f>
        <v>3</v>
      </c>
      <c r="D11" s="63">
        <f t="shared" si="4"/>
        <v>18</v>
      </c>
      <c r="E11" s="61"/>
      <c r="F11" s="61"/>
    </row>
    <row r="12" spans="1:6" x14ac:dyDescent="0.3">
      <c r="A12" s="61"/>
      <c r="B12" s="63">
        <f>IF($C$9=0,"falla",B9)</f>
        <v>0</v>
      </c>
      <c r="C12" s="63">
        <f>IF($C$9=0,"falla",C9)</f>
        <v>-2.5</v>
      </c>
      <c r="D12" s="63">
        <f>IF($C$9=0,"falla",D9)</f>
        <v>-6</v>
      </c>
      <c r="E12" s="54"/>
      <c r="F12" s="61"/>
    </row>
    <row r="13" spans="1:6" x14ac:dyDescent="0.3">
      <c r="A13" s="61"/>
      <c r="B13" s="63"/>
      <c r="C13" s="63"/>
      <c r="D13" s="63"/>
      <c r="E13" s="61"/>
      <c r="F13" s="61"/>
    </row>
    <row r="14" spans="1:6" x14ac:dyDescent="0.3">
      <c r="A14" s="87" t="s">
        <v>23</v>
      </c>
      <c r="B14" s="63">
        <f>B11-($C$11/$C$12)*B12</f>
        <v>2</v>
      </c>
      <c r="C14" s="63">
        <f t="shared" ref="C14:D14" si="5">C11-($C$11/$C$12)*C12</f>
        <v>0</v>
      </c>
      <c r="D14" s="63">
        <f t="shared" si="5"/>
        <v>10.8</v>
      </c>
      <c r="E14" s="61"/>
      <c r="F14" s="61"/>
    </row>
    <row r="15" spans="1:6" x14ac:dyDescent="0.3">
      <c r="A15" s="54"/>
      <c r="B15" s="63">
        <f>B12</f>
        <v>0</v>
      </c>
      <c r="C15" s="63">
        <f>C12</f>
        <v>-2.5</v>
      </c>
      <c r="D15" s="63">
        <f t="shared" ref="D15" si="6">D12</f>
        <v>-6</v>
      </c>
      <c r="E15" s="61"/>
      <c r="F15" s="61"/>
    </row>
    <row r="16" spans="1:6" ht="15" thickBot="1" x14ac:dyDescent="0.35">
      <c r="A16" s="61"/>
      <c r="B16" s="64"/>
      <c r="C16" s="64"/>
      <c r="D16" s="65" t="s">
        <v>14</v>
      </c>
      <c r="E16" s="61"/>
      <c r="F16" s="61"/>
    </row>
    <row r="17" spans="1:6" ht="15" thickBot="1" x14ac:dyDescent="0.35">
      <c r="A17" s="66" t="s">
        <v>24</v>
      </c>
      <c r="B17" s="63">
        <f>B14/$B$14</f>
        <v>1</v>
      </c>
      <c r="C17" s="63">
        <f>C14/$B$14</f>
        <v>0</v>
      </c>
      <c r="D17" s="67">
        <f>D14/$B$14</f>
        <v>5.4</v>
      </c>
      <c r="E17" s="61"/>
      <c r="F17" s="61"/>
    </row>
    <row r="18" spans="1:6" ht="15" thickBot="1" x14ac:dyDescent="0.35">
      <c r="A18" s="54"/>
      <c r="B18" s="63">
        <f>B15/$C$15</f>
        <v>0</v>
      </c>
      <c r="C18" s="63">
        <f>C15/$C$15</f>
        <v>1</v>
      </c>
      <c r="D18" s="67">
        <f>D15/$C$15</f>
        <v>2.4</v>
      </c>
      <c r="E18" s="61" t="s">
        <v>25</v>
      </c>
      <c r="F18" s="6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11A84-2F05-4ECE-9682-DE9919D41CB1}">
  <dimension ref="A1:H32"/>
  <sheetViews>
    <sheetView workbookViewId="0">
      <selection sqref="A1:G32"/>
    </sheetView>
  </sheetViews>
  <sheetFormatPr baseColWidth="10" defaultColWidth="11.44140625" defaultRowHeight="14.4" x14ac:dyDescent="0.3"/>
  <cols>
    <col min="1" max="1" width="19.88671875" bestFit="1" customWidth="1"/>
    <col min="7" max="7" width="16.44140625" bestFit="1" customWidth="1"/>
  </cols>
  <sheetData>
    <row r="1" spans="1:8" x14ac:dyDescent="0.3">
      <c r="A1" s="68" t="s">
        <v>0</v>
      </c>
      <c r="B1" s="54"/>
      <c r="C1" s="54" t="s">
        <v>16</v>
      </c>
      <c r="D1" s="54"/>
      <c r="E1" s="54" t="s">
        <v>2</v>
      </c>
      <c r="F1" s="69" t="s">
        <v>17</v>
      </c>
      <c r="G1" s="53" t="s">
        <v>4</v>
      </c>
      <c r="H1" s="13"/>
    </row>
    <row r="2" spans="1:8" x14ac:dyDescent="0.3">
      <c r="A2" s="54"/>
      <c r="B2" s="56">
        <v>2</v>
      </c>
      <c r="C2" s="56">
        <v>-1</v>
      </c>
      <c r="D2" s="57">
        <v>5</v>
      </c>
      <c r="E2" s="58">
        <v>13</v>
      </c>
      <c r="F2" s="54"/>
      <c r="G2" s="70">
        <f t="array" ref="G2:G4">MMULT(B2:D4,E30:E32)</f>
        <v>13</v>
      </c>
      <c r="H2" s="13"/>
    </row>
    <row r="3" spans="1:8" x14ac:dyDescent="0.3">
      <c r="A3" s="54"/>
      <c r="B3" s="56">
        <v>2</v>
      </c>
      <c r="C3" s="56">
        <v>3</v>
      </c>
      <c r="D3" s="57">
        <v>4</v>
      </c>
      <c r="E3" s="58">
        <v>20</v>
      </c>
      <c r="F3" s="54"/>
      <c r="G3" s="70">
        <v>20</v>
      </c>
      <c r="H3" s="13"/>
    </row>
    <row r="4" spans="1:8" x14ac:dyDescent="0.3">
      <c r="A4" s="54"/>
      <c r="B4" s="56">
        <v>3</v>
      </c>
      <c r="C4" s="56">
        <v>-1</v>
      </c>
      <c r="D4" s="57">
        <v>3</v>
      </c>
      <c r="E4" s="58">
        <v>10</v>
      </c>
      <c r="F4" s="54"/>
      <c r="G4" s="70">
        <v>10</v>
      </c>
      <c r="H4" s="13"/>
    </row>
    <row r="5" spans="1:8" x14ac:dyDescent="0.3">
      <c r="A5" s="54"/>
      <c r="B5" s="54"/>
      <c r="C5" s="54"/>
      <c r="D5" s="54"/>
      <c r="E5" s="54"/>
      <c r="F5" s="54"/>
      <c r="G5" s="54"/>
      <c r="H5" s="14"/>
    </row>
    <row r="6" spans="1:8" x14ac:dyDescent="0.3">
      <c r="A6" s="86" t="s">
        <v>6</v>
      </c>
      <c r="B6" s="82">
        <f>IF($B$2=0,IF($B$3=0,IF($B$4=0,"Falla",B4),B3),B2)</f>
        <v>2</v>
      </c>
      <c r="C6" s="63">
        <f>IF($B$2=0,IF($B$3=0,IF($B$4=0,"Falla",C4),C3),C2)</f>
        <v>-1</v>
      </c>
      <c r="D6" s="63">
        <f>IF($B$2=0,IF($B$3=0,IF($B$4=0,"Falla",D4),D3),D2)</f>
        <v>5</v>
      </c>
      <c r="E6" s="63">
        <f>IF($B$2=0,IF($B$3=0,IF($B$4=0,"Falla",E4),E3),E2)</f>
        <v>13</v>
      </c>
      <c r="F6" s="54" t="str">
        <f>IF(B6=B2,"aceptado 1",IF(B6=B3,"aceptado 2",IF(B6=B4,"aceptado 3","falla")))</f>
        <v>aceptado 1</v>
      </c>
      <c r="G6" s="54"/>
      <c r="H6" s="14"/>
    </row>
    <row r="7" spans="1:8" x14ac:dyDescent="0.3">
      <c r="A7" s="54"/>
      <c r="B7" s="63">
        <f>IF($F$6="aceptado 2",B2,B3)</f>
        <v>2</v>
      </c>
      <c r="C7" s="63">
        <f>IF($F$6="aceptado 2",C2,C3)</f>
        <v>3</v>
      </c>
      <c r="D7" s="63">
        <f>IF($F$6="aceptado 2",D2,D3)</f>
        <v>4</v>
      </c>
      <c r="E7" s="63">
        <f>IF($F$6="aceptado 2",E2,E3)</f>
        <v>20</v>
      </c>
      <c r="F7" s="54"/>
      <c r="G7" s="54"/>
      <c r="H7" s="14"/>
    </row>
    <row r="8" spans="1:8" x14ac:dyDescent="0.3">
      <c r="A8" s="54"/>
      <c r="B8" s="63">
        <f>IF($F$6="aceptado 3",B2,B4)</f>
        <v>3</v>
      </c>
      <c r="C8" s="63">
        <f>IF($F$6="aceptado 3",C2,C4)</f>
        <v>-1</v>
      </c>
      <c r="D8" s="63">
        <f>IF($F$6="aceptado 3",D2,D4)</f>
        <v>3</v>
      </c>
      <c r="E8" s="63">
        <f>IF($F$6="aceptado 3",E2,E4)</f>
        <v>10</v>
      </c>
      <c r="F8" s="54"/>
      <c r="G8" s="54"/>
      <c r="H8" s="14"/>
    </row>
    <row r="9" spans="1:8" x14ac:dyDescent="0.3">
      <c r="A9" s="54"/>
      <c r="B9" s="54"/>
      <c r="C9" s="54"/>
      <c r="D9" s="54"/>
      <c r="E9" s="54"/>
      <c r="F9" s="54"/>
      <c r="G9" s="54"/>
      <c r="H9" s="14"/>
    </row>
    <row r="10" spans="1:8" x14ac:dyDescent="0.3">
      <c r="A10" s="87" t="s">
        <v>7</v>
      </c>
      <c r="B10" s="63">
        <f>B6</f>
        <v>2</v>
      </c>
      <c r="C10" s="63">
        <f>C6</f>
        <v>-1</v>
      </c>
      <c r="D10" s="63">
        <f>D6</f>
        <v>5</v>
      </c>
      <c r="E10" s="63">
        <f>E6</f>
        <v>13</v>
      </c>
      <c r="F10" s="54"/>
      <c r="G10" s="54"/>
      <c r="H10" s="14"/>
    </row>
    <row r="11" spans="1:8" x14ac:dyDescent="0.3">
      <c r="A11" s="54"/>
      <c r="B11" s="63">
        <f>B7-($B$7/$B$6)*B6</f>
        <v>0</v>
      </c>
      <c r="C11" s="63">
        <f>C7-($B$7/$B$6)*C6</f>
        <v>4</v>
      </c>
      <c r="D11" s="63">
        <f>D7-($B$7/$B$6)*D6</f>
        <v>-1</v>
      </c>
      <c r="E11" s="63">
        <f>E7-($B$7/$B$6)*E6</f>
        <v>7</v>
      </c>
      <c r="F11" s="54"/>
      <c r="G11" s="54"/>
      <c r="H11" s="14"/>
    </row>
    <row r="12" spans="1:8" x14ac:dyDescent="0.3">
      <c r="A12" s="54"/>
      <c r="B12" s="63">
        <f>B8-($B$8/$B$6)*B6</f>
        <v>0</v>
      </c>
      <c r="C12" s="76">
        <f>C8-($B$8/$B$6)*C6</f>
        <v>0.5</v>
      </c>
      <c r="D12" s="76">
        <f>D8-($B$8/$B$6)*D6</f>
        <v>-4.5</v>
      </c>
      <c r="E12" s="76">
        <f>E8-($B$8/$B$6)*E6</f>
        <v>-9.5</v>
      </c>
      <c r="F12" s="54"/>
      <c r="G12" s="54"/>
      <c r="H12" s="14"/>
    </row>
    <row r="13" spans="1:8" x14ac:dyDescent="0.3">
      <c r="A13" s="54"/>
      <c r="B13" s="54"/>
      <c r="C13" s="54"/>
      <c r="D13" s="54"/>
      <c r="E13" s="54"/>
      <c r="F13" s="54"/>
      <c r="G13" s="54"/>
      <c r="H13" s="14"/>
    </row>
    <row r="14" spans="1:8" x14ac:dyDescent="0.3">
      <c r="A14" s="86" t="s">
        <v>8</v>
      </c>
      <c r="B14" s="63">
        <f>B10</f>
        <v>2</v>
      </c>
      <c r="C14" s="63">
        <f>C10</f>
        <v>-1</v>
      </c>
      <c r="D14" s="63">
        <f>D10</f>
        <v>5</v>
      </c>
      <c r="E14" s="63">
        <f>E10</f>
        <v>13</v>
      </c>
      <c r="F14" s="54" t="str">
        <f>IF(C15=C11,"aceptado 2",IF(C15=C12,"aceptado 3","falla"))</f>
        <v>aceptado 2</v>
      </c>
      <c r="G14" s="54"/>
      <c r="H14" s="14"/>
    </row>
    <row r="15" spans="1:8" x14ac:dyDescent="0.3">
      <c r="A15" s="54"/>
      <c r="B15" s="63">
        <f>IF($C$11=0,IF($C$12=0,"falla",B12),B11)</f>
        <v>0</v>
      </c>
      <c r="C15" s="63">
        <f>IF($C$11=0,IF($C$12=0,"falla",C12),C11)</f>
        <v>4</v>
      </c>
      <c r="D15" s="63">
        <f>IF($C$11=0,IF($C$12=0,"falla",D12),D11)</f>
        <v>-1</v>
      </c>
      <c r="E15" s="63">
        <f>IF($C$11=0,IF($C$12=0,"falla",E12),E11)</f>
        <v>7</v>
      </c>
      <c r="F15" s="54"/>
      <c r="G15" s="54"/>
      <c r="H15" s="14"/>
    </row>
    <row r="16" spans="1:8" x14ac:dyDescent="0.3">
      <c r="A16" s="54"/>
      <c r="B16" s="63">
        <f>IF($F$14="aceptado 2",B12,B11)</f>
        <v>0</v>
      </c>
      <c r="C16" s="76">
        <f>IF($F$14="aceptado 2",C12,C11)</f>
        <v>0.5</v>
      </c>
      <c r="D16" s="76">
        <f>IF($F$14="aceptado 2",D12,D11)</f>
        <v>-4.5</v>
      </c>
      <c r="E16" s="76">
        <f>IF($F$14="aceptado 2",E12,E11)</f>
        <v>-9.5</v>
      </c>
      <c r="F16" s="54"/>
      <c r="G16" s="54"/>
      <c r="H16" s="14"/>
    </row>
    <row r="17" spans="1:8" x14ac:dyDescent="0.3">
      <c r="A17" s="54"/>
      <c r="B17" s="54"/>
      <c r="C17" s="54"/>
      <c r="D17" s="54"/>
      <c r="E17" s="54"/>
      <c r="F17" s="54"/>
      <c r="G17" s="54"/>
      <c r="H17" s="14"/>
    </row>
    <row r="18" spans="1:8" x14ac:dyDescent="0.3">
      <c r="A18" s="87" t="s">
        <v>9</v>
      </c>
      <c r="B18" s="63">
        <f>B14-($C$14/$C$15)*B15</f>
        <v>2</v>
      </c>
      <c r="C18" s="63">
        <f>C14-($C$14/$C$15)*C15</f>
        <v>0</v>
      </c>
      <c r="D18" s="75">
        <f>D14-($C$14/$C$15)*D15</f>
        <v>4.75</v>
      </c>
      <c r="E18" s="75">
        <f>E14-($C$14/$C$15)*E15</f>
        <v>14.75</v>
      </c>
      <c r="F18" s="54"/>
      <c r="G18" s="54"/>
      <c r="H18" s="14"/>
    </row>
    <row r="19" spans="1:8" x14ac:dyDescent="0.3">
      <c r="A19" s="54"/>
      <c r="B19" s="63">
        <f>B15</f>
        <v>0</v>
      </c>
      <c r="C19" s="63">
        <f>C15</f>
        <v>4</v>
      </c>
      <c r="D19" s="63">
        <f>D15</f>
        <v>-1</v>
      </c>
      <c r="E19" s="63">
        <f>E15</f>
        <v>7</v>
      </c>
      <c r="F19" s="54"/>
      <c r="G19" s="54"/>
      <c r="H19" s="14"/>
    </row>
    <row r="20" spans="1:8" x14ac:dyDescent="0.3">
      <c r="A20" s="54"/>
      <c r="B20" s="63">
        <f>B16-($C$16/$C$15)*B15</f>
        <v>0</v>
      </c>
      <c r="C20" s="63">
        <f>C16-($C$16/$C$15)*C15</f>
        <v>0</v>
      </c>
      <c r="D20" s="74">
        <f>D16-($C$16/$C$15)*D15</f>
        <v>-4.375</v>
      </c>
      <c r="E20" s="74">
        <f>E16-($C$16/$C$15)*E15</f>
        <v>-10.375</v>
      </c>
      <c r="F20" s="54"/>
      <c r="G20" s="54"/>
      <c r="H20" s="14"/>
    </row>
    <row r="21" spans="1:8" x14ac:dyDescent="0.3">
      <c r="A21" s="54"/>
      <c r="B21" s="54"/>
      <c r="C21" s="54"/>
      <c r="D21" s="54"/>
      <c r="E21" s="54"/>
      <c r="F21" s="54"/>
      <c r="G21" s="54"/>
      <c r="H21" s="14"/>
    </row>
    <row r="22" spans="1:8" x14ac:dyDescent="0.3">
      <c r="A22" s="88" t="s">
        <v>10</v>
      </c>
      <c r="B22" s="63">
        <f t="shared" ref="B22:E23" si="0">B18</f>
        <v>2</v>
      </c>
      <c r="C22" s="63">
        <f t="shared" si="0"/>
        <v>0</v>
      </c>
      <c r="D22" s="75">
        <f t="shared" si="0"/>
        <v>4.75</v>
      </c>
      <c r="E22" s="75">
        <f t="shared" si="0"/>
        <v>14.75</v>
      </c>
      <c r="F22" s="54" t="str">
        <f>IF(D24=D20,"aceptado 3","falla")</f>
        <v>aceptado 3</v>
      </c>
      <c r="G22" s="54"/>
      <c r="H22" s="14"/>
    </row>
    <row r="23" spans="1:8" x14ac:dyDescent="0.3">
      <c r="A23" s="54"/>
      <c r="B23" s="63">
        <f t="shared" si="0"/>
        <v>0</v>
      </c>
      <c r="C23" s="63">
        <f t="shared" si="0"/>
        <v>4</v>
      </c>
      <c r="D23" s="63">
        <f t="shared" si="0"/>
        <v>-1</v>
      </c>
      <c r="E23" s="63">
        <f t="shared" si="0"/>
        <v>7</v>
      </c>
      <c r="F23" s="54"/>
      <c r="G23" s="54"/>
      <c r="H23" s="14"/>
    </row>
    <row r="24" spans="1:8" x14ac:dyDescent="0.3">
      <c r="A24" s="54"/>
      <c r="B24" s="63">
        <f>IF($D$20=0,"falla",B20)</f>
        <v>0</v>
      </c>
      <c r="C24" s="63">
        <f>IF($D$20=0,"falla",C20)</f>
        <v>0</v>
      </c>
      <c r="D24" s="74">
        <f>IF($D$20=0,"falla",D20)</f>
        <v>-4.375</v>
      </c>
      <c r="E24" s="74">
        <f>IF($D$20=0,"falla",E20)</f>
        <v>-10.375</v>
      </c>
      <c r="F24" s="54"/>
      <c r="G24" s="54"/>
      <c r="H24" s="14"/>
    </row>
    <row r="25" spans="1:8" x14ac:dyDescent="0.3">
      <c r="A25" s="54"/>
      <c r="B25" s="63"/>
      <c r="C25" s="63"/>
      <c r="D25" s="54"/>
      <c r="E25" s="54"/>
      <c r="F25" s="54"/>
      <c r="G25" s="54"/>
      <c r="H25" s="14"/>
    </row>
    <row r="26" spans="1:8" x14ac:dyDescent="0.3">
      <c r="A26" s="87" t="s">
        <v>11</v>
      </c>
      <c r="B26" s="63">
        <f>B22-($D$22/$D$24)*B24</f>
        <v>2</v>
      </c>
      <c r="C26" s="63">
        <f>C22-($D$22/$D$24)*C24</f>
        <v>0</v>
      </c>
      <c r="D26" s="71">
        <f>D22-($D$22/$D$24)*D24</f>
        <v>0</v>
      </c>
      <c r="E26" s="71">
        <f>E22-($D$22/$D$24)*E24</f>
        <v>3.4857142857142858</v>
      </c>
      <c r="F26" s="54"/>
      <c r="G26" s="54"/>
      <c r="H26" s="14"/>
    </row>
    <row r="27" spans="1:8" x14ac:dyDescent="0.3">
      <c r="A27" s="54"/>
      <c r="B27" s="63">
        <f>B23-($D$23/$D$24)*B24</f>
        <v>0</v>
      </c>
      <c r="C27" s="63">
        <f>C23-($D$23/$D$24)*C24</f>
        <v>4</v>
      </c>
      <c r="D27" s="71">
        <f>D23-($D$23/$D$24)*D24</f>
        <v>0</v>
      </c>
      <c r="E27" s="71">
        <f>E23-($D$23/$D$24)*E24</f>
        <v>9.3714285714285719</v>
      </c>
      <c r="F27" s="54"/>
      <c r="G27" s="54"/>
      <c r="H27" s="14"/>
    </row>
    <row r="28" spans="1:8" x14ac:dyDescent="0.3">
      <c r="A28" s="54"/>
      <c r="B28" s="63">
        <f>B24</f>
        <v>0</v>
      </c>
      <c r="C28" s="63">
        <f>C24</f>
        <v>0</v>
      </c>
      <c r="D28" s="71">
        <f>D24</f>
        <v>-4.375</v>
      </c>
      <c r="E28" s="71">
        <f>E24</f>
        <v>-10.375</v>
      </c>
      <c r="F28" s="54"/>
      <c r="G28" s="54"/>
      <c r="H28" s="14"/>
    </row>
    <row r="29" spans="1:8" ht="15" thickBot="1" x14ac:dyDescent="0.35">
      <c r="A29" s="54"/>
      <c r="B29" s="54"/>
      <c r="C29" s="54"/>
      <c r="D29" s="54"/>
      <c r="E29" s="72" t="s">
        <v>14</v>
      </c>
      <c r="F29" s="54"/>
      <c r="G29" s="54"/>
      <c r="H29" s="14"/>
    </row>
    <row r="30" spans="1:8" ht="15" thickBot="1" x14ac:dyDescent="0.35">
      <c r="A30" s="66" t="s">
        <v>15</v>
      </c>
      <c r="B30" s="54">
        <f>B26/$B$26</f>
        <v>1</v>
      </c>
      <c r="C30" s="54">
        <f>C26/$B$26</f>
        <v>0</v>
      </c>
      <c r="D30" s="54">
        <f>D26/$B$26</f>
        <v>0</v>
      </c>
      <c r="E30" s="73">
        <f>E26/$B$26</f>
        <v>1.7428571428571429</v>
      </c>
      <c r="F30" s="54"/>
      <c r="G30" s="54"/>
      <c r="H30" s="14"/>
    </row>
    <row r="31" spans="1:8" ht="15" thickBot="1" x14ac:dyDescent="0.35">
      <c r="A31" s="54"/>
      <c r="B31" s="54">
        <f>B27/$C$27</f>
        <v>0</v>
      </c>
      <c r="C31" s="54">
        <f>C27/$C$27</f>
        <v>1</v>
      </c>
      <c r="D31" s="54">
        <f>D27/$C$27</f>
        <v>0</v>
      </c>
      <c r="E31" s="73">
        <f>E27/$C$27</f>
        <v>2.342857142857143</v>
      </c>
      <c r="F31" s="54"/>
      <c r="G31" s="54"/>
      <c r="H31" s="14"/>
    </row>
    <row r="32" spans="1:8" ht="15" thickBot="1" x14ac:dyDescent="0.35">
      <c r="A32" s="54"/>
      <c r="B32" s="54">
        <f>B28/$D$28</f>
        <v>0</v>
      </c>
      <c r="C32" s="54">
        <f>C28/$D$28</f>
        <v>0</v>
      </c>
      <c r="D32" s="54">
        <f>D28/$D$28</f>
        <v>1</v>
      </c>
      <c r="E32" s="73">
        <f>E28/$D$28</f>
        <v>2.3714285714285714</v>
      </c>
      <c r="F32" s="54"/>
      <c r="G32" s="54"/>
      <c r="H32" s="1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361B2-6CB2-4DAE-8A6F-8813F047776F}">
  <dimension ref="A1:H32"/>
  <sheetViews>
    <sheetView workbookViewId="0">
      <selection sqref="A1:G32"/>
    </sheetView>
  </sheetViews>
  <sheetFormatPr baseColWidth="10" defaultColWidth="11.44140625" defaultRowHeight="14.4" x14ac:dyDescent="0.3"/>
  <cols>
    <col min="1" max="1" width="19.88671875" bestFit="1" customWidth="1"/>
    <col min="7" max="7" width="16.44140625" bestFit="1" customWidth="1"/>
  </cols>
  <sheetData>
    <row r="1" spans="1:8" x14ac:dyDescent="0.3">
      <c r="A1" s="68" t="s">
        <v>0</v>
      </c>
      <c r="B1" s="54"/>
      <c r="C1" s="54" t="s">
        <v>16</v>
      </c>
      <c r="D1" s="54"/>
      <c r="E1" s="54" t="s">
        <v>2</v>
      </c>
      <c r="F1" s="69" t="s">
        <v>17</v>
      </c>
      <c r="G1" s="53" t="s">
        <v>4</v>
      </c>
      <c r="H1" s="13"/>
    </row>
    <row r="2" spans="1:8" x14ac:dyDescent="0.3">
      <c r="A2" s="54"/>
      <c r="B2" s="56">
        <v>0</v>
      </c>
      <c r="C2" s="56">
        <v>1</v>
      </c>
      <c r="D2" s="57">
        <v>1</v>
      </c>
      <c r="E2" s="58">
        <v>19</v>
      </c>
      <c r="F2" s="54"/>
      <c r="G2" s="70">
        <f t="array" ref="G2:G4">MMULT(B2:D4,E30:E32)</f>
        <v>19</v>
      </c>
      <c r="H2" s="13"/>
    </row>
    <row r="3" spans="1:8" x14ac:dyDescent="0.3">
      <c r="A3" s="54"/>
      <c r="B3" s="56">
        <v>2</v>
      </c>
      <c r="C3" s="56">
        <v>3</v>
      </c>
      <c r="D3" s="57">
        <v>-1</v>
      </c>
      <c r="E3" s="58">
        <v>18</v>
      </c>
      <c r="F3" s="54"/>
      <c r="G3" s="70">
        <v>17.999999999999986</v>
      </c>
      <c r="H3" s="13"/>
    </row>
    <row r="4" spans="1:8" x14ac:dyDescent="0.3">
      <c r="A4" s="54"/>
      <c r="B4" s="56">
        <v>2</v>
      </c>
      <c r="C4" s="56">
        <v>3</v>
      </c>
      <c r="D4" s="57">
        <v>4</v>
      </c>
      <c r="E4" s="58">
        <v>6</v>
      </c>
      <c r="F4" s="54"/>
      <c r="G4" s="70">
        <v>5.9999999999999876</v>
      </c>
      <c r="H4" s="13"/>
    </row>
    <row r="5" spans="1:8" x14ac:dyDescent="0.3">
      <c r="A5" s="54"/>
      <c r="B5" s="54"/>
      <c r="C5" s="54"/>
      <c r="D5" s="54"/>
      <c r="E5" s="54"/>
      <c r="F5" s="54"/>
      <c r="G5" s="54"/>
      <c r="H5" s="14"/>
    </row>
    <row r="6" spans="1:8" x14ac:dyDescent="0.3">
      <c r="A6" s="86" t="s">
        <v>6</v>
      </c>
      <c r="B6" s="62">
        <f>IF($B$2=0,IF($B$3=0,IF($B$4=0,"Falla",B4),B3),B2)</f>
        <v>2</v>
      </c>
      <c r="C6" s="63">
        <f>IF($B$2=0,IF($B$3=0,IF($B$4=0,"Falla",C4),C3),C2)</f>
        <v>3</v>
      </c>
      <c r="D6" s="63">
        <f>IF($B$2=0,IF($B$3=0,IF($B$4=0,"Falla",D4),D3),D2)</f>
        <v>-1</v>
      </c>
      <c r="E6" s="63">
        <f>IF($B$2=0,IF($B$3=0,IF($B$4=0,"Falla",E4),E3),E2)</f>
        <v>18</v>
      </c>
      <c r="F6" s="54" t="str">
        <f>IF(B6=B2,"aceptado 1",IF(B6=B3,"aceptado 2",IF(B6=B4,"aceptado 3","falla")))</f>
        <v>aceptado 2</v>
      </c>
      <c r="G6" s="54"/>
      <c r="H6" s="14"/>
    </row>
    <row r="7" spans="1:8" x14ac:dyDescent="0.3">
      <c r="A7" s="54"/>
      <c r="B7" s="63">
        <f>IF($F$6="aceptado 2",B2,B3)</f>
        <v>0</v>
      </c>
      <c r="C7" s="63">
        <f>IF($F$6="aceptado 2",C2,C3)</f>
        <v>1</v>
      </c>
      <c r="D7" s="63">
        <f>IF($F$6="aceptado 2",D2,D3)</f>
        <v>1</v>
      </c>
      <c r="E7" s="63">
        <f>IF($F$6="aceptado 2",E2,E3)</f>
        <v>19</v>
      </c>
      <c r="F7" s="54"/>
      <c r="G7" s="54"/>
      <c r="H7" s="14"/>
    </row>
    <row r="8" spans="1:8" x14ac:dyDescent="0.3">
      <c r="A8" s="54"/>
      <c r="B8" s="63">
        <f>IF($F$6="aceptado 3",B2,B4)</f>
        <v>2</v>
      </c>
      <c r="C8" s="63">
        <f>IF($F$6="aceptado 3",C2,C4)</f>
        <v>3</v>
      </c>
      <c r="D8" s="63">
        <f>IF($F$6="aceptado 3",D2,D4)</f>
        <v>4</v>
      </c>
      <c r="E8" s="63">
        <f>IF($F$6="aceptado 3",E2,E4)</f>
        <v>6</v>
      </c>
      <c r="F8" s="54"/>
      <c r="G8" s="54"/>
      <c r="H8" s="14"/>
    </row>
    <row r="9" spans="1:8" x14ac:dyDescent="0.3">
      <c r="A9" s="54"/>
      <c r="B9" s="63"/>
      <c r="C9" s="63"/>
      <c r="D9" s="63"/>
      <c r="E9" s="63"/>
      <c r="F9" s="54"/>
      <c r="G9" s="54"/>
      <c r="H9" s="14"/>
    </row>
    <row r="10" spans="1:8" x14ac:dyDescent="0.3">
      <c r="A10" s="87" t="s">
        <v>7</v>
      </c>
      <c r="B10" s="63">
        <f>B6</f>
        <v>2</v>
      </c>
      <c r="C10" s="63">
        <f>C6</f>
        <v>3</v>
      </c>
      <c r="D10" s="63">
        <f>D6</f>
        <v>-1</v>
      </c>
      <c r="E10" s="63">
        <f>E6</f>
        <v>18</v>
      </c>
      <c r="F10" s="54"/>
      <c r="G10" s="54"/>
      <c r="H10" s="14"/>
    </row>
    <row r="11" spans="1:8" x14ac:dyDescent="0.3">
      <c r="A11" s="54"/>
      <c r="B11" s="63">
        <f>B7-($B$7/$B$6)*B6</f>
        <v>0</v>
      </c>
      <c r="C11" s="63">
        <f>C7-($B$7/$B$6)*C6</f>
        <v>1</v>
      </c>
      <c r="D11" s="63">
        <f>D7-($B$7/$B$6)*D6</f>
        <v>1</v>
      </c>
      <c r="E11" s="63">
        <f>E7-($B$7/$B$6)*E6</f>
        <v>19</v>
      </c>
      <c r="F11" s="54"/>
      <c r="G11" s="54"/>
      <c r="H11" s="14"/>
    </row>
    <row r="12" spans="1:8" x14ac:dyDescent="0.3">
      <c r="A12" s="54"/>
      <c r="B12" s="63">
        <f>B8-($B$8/$B$6)*B6</f>
        <v>0</v>
      </c>
      <c r="C12" s="63">
        <f>C8-($B$8/$B$6)*C6</f>
        <v>0</v>
      </c>
      <c r="D12" s="63">
        <f>D8-($B$8/$B$6)*D6</f>
        <v>5</v>
      </c>
      <c r="E12" s="63">
        <f>E8-($B$8/$B$6)*E6</f>
        <v>-12</v>
      </c>
      <c r="F12" s="54"/>
      <c r="G12" s="54"/>
      <c r="H12" s="14"/>
    </row>
    <row r="13" spans="1:8" x14ac:dyDescent="0.3">
      <c r="A13" s="54"/>
      <c r="B13" s="63"/>
      <c r="C13" s="63"/>
      <c r="D13" s="63"/>
      <c r="E13" s="63"/>
      <c r="F13" s="54"/>
      <c r="G13" s="54"/>
      <c r="H13" s="14"/>
    </row>
    <row r="14" spans="1:8" x14ac:dyDescent="0.3">
      <c r="A14" s="86" t="s">
        <v>8</v>
      </c>
      <c r="B14" s="63">
        <f>B10</f>
        <v>2</v>
      </c>
      <c r="C14" s="63">
        <f>C10</f>
        <v>3</v>
      </c>
      <c r="D14" s="63">
        <f>D10</f>
        <v>-1</v>
      </c>
      <c r="E14" s="63">
        <f>E10</f>
        <v>18</v>
      </c>
      <c r="F14" s="54" t="str">
        <f>IF(C15=C11,"aceptado 2",IF(C15=C12,"aceptado 3","falla"))</f>
        <v>aceptado 2</v>
      </c>
      <c r="G14" s="54"/>
      <c r="H14" s="14"/>
    </row>
    <row r="15" spans="1:8" x14ac:dyDescent="0.3">
      <c r="A15" s="54"/>
      <c r="B15" s="63">
        <f>IF($C$11=0,IF($C$12=0,"falla",B12),B11)</f>
        <v>0</v>
      </c>
      <c r="C15" s="63">
        <f>IF($C$11=0,IF($C$12=0,"falla",C12),C11)</f>
        <v>1</v>
      </c>
      <c r="D15" s="63">
        <f>IF($C$11=0,IF($C$12=0,"falla",D12),D11)</f>
        <v>1</v>
      </c>
      <c r="E15" s="63">
        <f>IF($C$11=0,IF($C$12=0,"falla",E12),E11)</f>
        <v>19</v>
      </c>
      <c r="F15" s="54"/>
      <c r="G15" s="54"/>
      <c r="H15" s="14"/>
    </row>
    <row r="16" spans="1:8" x14ac:dyDescent="0.3">
      <c r="A16" s="54"/>
      <c r="B16" s="63">
        <f>IF($F$14="aceptado 2",B12,B11)</f>
        <v>0</v>
      </c>
      <c r="C16" s="63">
        <f>IF($F$14="aceptado 2",C12,C11)</f>
        <v>0</v>
      </c>
      <c r="D16" s="63">
        <f>IF($F$14="aceptado 2",D12,D11)</f>
        <v>5</v>
      </c>
      <c r="E16" s="63">
        <f>IF($F$14="aceptado 2",E12,E11)</f>
        <v>-12</v>
      </c>
      <c r="F16" s="54"/>
      <c r="G16" s="54"/>
      <c r="H16" s="14"/>
    </row>
    <row r="17" spans="1:8" x14ac:dyDescent="0.3">
      <c r="A17" s="54"/>
      <c r="B17" s="63"/>
      <c r="C17" s="63"/>
      <c r="D17" s="63"/>
      <c r="E17" s="63"/>
      <c r="F17" s="54"/>
      <c r="G17" s="54"/>
      <c r="H17" s="14"/>
    </row>
    <row r="18" spans="1:8" x14ac:dyDescent="0.3">
      <c r="A18" s="87" t="s">
        <v>9</v>
      </c>
      <c r="B18" s="63">
        <f>B14-($C$14/$C$15)*B15</f>
        <v>2</v>
      </c>
      <c r="C18" s="63">
        <f>C14-($C$14/$C$15)*C15</f>
        <v>0</v>
      </c>
      <c r="D18" s="63">
        <f>D14-($C$14/$C$15)*D15</f>
        <v>-4</v>
      </c>
      <c r="E18" s="63">
        <f>E14-($C$14/$C$15)*E15</f>
        <v>-39</v>
      </c>
      <c r="F18" s="54"/>
      <c r="G18" s="54"/>
      <c r="H18" s="14"/>
    </row>
    <row r="19" spans="1:8" x14ac:dyDescent="0.3">
      <c r="A19" s="54"/>
      <c r="B19" s="63">
        <f>B15</f>
        <v>0</v>
      </c>
      <c r="C19" s="63">
        <f>C15</f>
        <v>1</v>
      </c>
      <c r="D19" s="63">
        <f>D15</f>
        <v>1</v>
      </c>
      <c r="E19" s="63">
        <f>E15</f>
        <v>19</v>
      </c>
      <c r="F19" s="54"/>
      <c r="G19" s="54"/>
      <c r="H19" s="14"/>
    </row>
    <row r="20" spans="1:8" x14ac:dyDescent="0.3">
      <c r="A20" s="54"/>
      <c r="B20" s="63">
        <f>B16-($C$16/$C$15)*B15</f>
        <v>0</v>
      </c>
      <c r="C20" s="63">
        <f>C16-($C$16/$C$15)*C15</f>
        <v>0</v>
      </c>
      <c r="D20" s="63">
        <f>D16-($C$16/$C$15)*D15</f>
        <v>5</v>
      </c>
      <c r="E20" s="63">
        <f>E16-($C$16/$C$15)*E15</f>
        <v>-12</v>
      </c>
      <c r="F20" s="54"/>
      <c r="G20" s="54"/>
      <c r="H20" s="14"/>
    </row>
    <row r="21" spans="1:8" x14ac:dyDescent="0.3">
      <c r="A21" s="54"/>
      <c r="B21" s="63"/>
      <c r="C21" s="63"/>
      <c r="D21" s="63"/>
      <c r="E21" s="63"/>
      <c r="F21" s="54"/>
      <c r="G21" s="54"/>
      <c r="H21" s="14"/>
    </row>
    <row r="22" spans="1:8" x14ac:dyDescent="0.3">
      <c r="A22" s="86" t="s">
        <v>10</v>
      </c>
      <c r="B22" s="63">
        <f t="shared" ref="B22:E23" si="0">B18</f>
        <v>2</v>
      </c>
      <c r="C22" s="63">
        <f t="shared" si="0"/>
        <v>0</v>
      </c>
      <c r="D22" s="63">
        <f t="shared" si="0"/>
        <v>-4</v>
      </c>
      <c r="E22" s="63">
        <f t="shared" si="0"/>
        <v>-39</v>
      </c>
      <c r="F22" s="54" t="str">
        <f>IF(D24=D20,"aceptado 3","falla")</f>
        <v>aceptado 3</v>
      </c>
      <c r="G22" s="54"/>
      <c r="H22" s="14"/>
    </row>
    <row r="23" spans="1:8" x14ac:dyDescent="0.3">
      <c r="A23" s="54"/>
      <c r="B23" s="63">
        <f t="shared" si="0"/>
        <v>0</v>
      </c>
      <c r="C23" s="63">
        <f t="shared" si="0"/>
        <v>1</v>
      </c>
      <c r="D23" s="63">
        <f t="shared" si="0"/>
        <v>1</v>
      </c>
      <c r="E23" s="63">
        <f t="shared" si="0"/>
        <v>19</v>
      </c>
      <c r="F23" s="54"/>
      <c r="G23" s="54"/>
      <c r="H23" s="14"/>
    </row>
    <row r="24" spans="1:8" x14ac:dyDescent="0.3">
      <c r="A24" s="54"/>
      <c r="B24" s="63">
        <f>IF($D$20=0,"falla",B20)</f>
        <v>0</v>
      </c>
      <c r="C24" s="63">
        <f>IF($D$20=0,"falla",C20)</f>
        <v>0</v>
      </c>
      <c r="D24" s="63">
        <f>IF($D$20=0,"falla",D20)</f>
        <v>5</v>
      </c>
      <c r="E24" s="63">
        <f>IF($D$20=0,"falla",E20)</f>
        <v>-12</v>
      </c>
      <c r="F24" s="54"/>
      <c r="G24" s="54"/>
      <c r="H24" s="14"/>
    </row>
    <row r="25" spans="1:8" x14ac:dyDescent="0.3">
      <c r="A25" s="54"/>
      <c r="B25" s="63"/>
      <c r="C25" s="63"/>
      <c r="D25" s="63"/>
      <c r="E25" s="63"/>
      <c r="F25" s="54"/>
      <c r="G25" s="54"/>
      <c r="H25" s="14"/>
    </row>
    <row r="26" spans="1:8" x14ac:dyDescent="0.3">
      <c r="A26" s="87" t="s">
        <v>11</v>
      </c>
      <c r="B26" s="63">
        <f>B22-($D$22/$D$24)*B24</f>
        <v>2</v>
      </c>
      <c r="C26" s="63">
        <f>C22-($D$22/$D$24)*C24</f>
        <v>0</v>
      </c>
      <c r="D26" s="63">
        <f>D22-($D$22/$D$24)*D24</f>
        <v>0</v>
      </c>
      <c r="E26" s="63">
        <f>E22-($D$22/$D$24)*E24</f>
        <v>-48.6</v>
      </c>
      <c r="F26" s="54"/>
      <c r="G26" s="54"/>
      <c r="H26" s="14"/>
    </row>
    <row r="27" spans="1:8" x14ac:dyDescent="0.3">
      <c r="A27" s="54"/>
      <c r="B27" s="63">
        <f>B23-($D$23/$D$24)*B24</f>
        <v>0</v>
      </c>
      <c r="C27" s="63">
        <f>C23-($D$23/$D$24)*C24</f>
        <v>1</v>
      </c>
      <c r="D27" s="63">
        <f>D23-($D$23/$D$24)*D24</f>
        <v>0</v>
      </c>
      <c r="E27" s="63">
        <f>E23-($D$23/$D$24)*E24</f>
        <v>21.4</v>
      </c>
      <c r="F27" s="54"/>
      <c r="G27" s="54"/>
      <c r="H27" s="14"/>
    </row>
    <row r="28" spans="1:8" x14ac:dyDescent="0.3">
      <c r="A28" s="54"/>
      <c r="B28" s="63">
        <f>B24</f>
        <v>0</v>
      </c>
      <c r="C28" s="63">
        <f>C24</f>
        <v>0</v>
      </c>
      <c r="D28" s="63">
        <f>D24</f>
        <v>5</v>
      </c>
      <c r="E28" s="63">
        <f>E24</f>
        <v>-12</v>
      </c>
      <c r="F28" s="54"/>
      <c r="G28" s="54"/>
      <c r="H28" s="14"/>
    </row>
    <row r="29" spans="1:8" ht="15" thickBot="1" x14ac:dyDescent="0.35">
      <c r="A29" s="54"/>
      <c r="B29" s="63"/>
      <c r="C29" s="63"/>
      <c r="D29" s="63"/>
      <c r="E29" s="79" t="s">
        <v>14</v>
      </c>
      <c r="F29" s="54"/>
      <c r="G29" s="54"/>
      <c r="H29" s="14"/>
    </row>
    <row r="30" spans="1:8" ht="15" thickBot="1" x14ac:dyDescent="0.35">
      <c r="A30" s="66" t="s">
        <v>15</v>
      </c>
      <c r="B30" s="63">
        <f>B26/$B$26</f>
        <v>1</v>
      </c>
      <c r="C30" s="63">
        <f>C26/$B$26</f>
        <v>0</v>
      </c>
      <c r="D30" s="63">
        <f>D26/$B$26</f>
        <v>0</v>
      </c>
      <c r="E30" s="81">
        <f>E26/$B$26</f>
        <v>-24.3</v>
      </c>
      <c r="F30" s="54"/>
      <c r="G30" s="54"/>
      <c r="H30" s="14"/>
    </row>
    <row r="31" spans="1:8" ht="15" thickBot="1" x14ac:dyDescent="0.35">
      <c r="A31" s="54"/>
      <c r="B31" s="63">
        <f>B27/$C$27</f>
        <v>0</v>
      </c>
      <c r="C31" s="63">
        <f>C27/$C$27</f>
        <v>1</v>
      </c>
      <c r="D31" s="63">
        <f>D27/$C$27</f>
        <v>0</v>
      </c>
      <c r="E31" s="81">
        <f>E27/$C$27</f>
        <v>21.4</v>
      </c>
      <c r="F31" s="54"/>
      <c r="G31" s="54"/>
      <c r="H31" s="14"/>
    </row>
    <row r="32" spans="1:8" ht="15" thickBot="1" x14ac:dyDescent="0.35">
      <c r="A32" s="54"/>
      <c r="B32" s="63">
        <f>B28/$D$28</f>
        <v>0</v>
      </c>
      <c r="C32" s="63">
        <f>C28/$D$28</f>
        <v>0</v>
      </c>
      <c r="D32" s="63">
        <f>D28/$D$28</f>
        <v>1</v>
      </c>
      <c r="E32" s="81">
        <f>E28/$D$28</f>
        <v>-2.4</v>
      </c>
      <c r="F32" s="54"/>
      <c r="G32" s="54"/>
      <c r="H32" s="1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07E7F-F603-421C-902D-D0606FD7C552}">
  <dimension ref="A1:H32"/>
  <sheetViews>
    <sheetView workbookViewId="0">
      <selection sqref="A1:G32"/>
    </sheetView>
  </sheetViews>
  <sheetFormatPr baseColWidth="10" defaultColWidth="11.44140625" defaultRowHeight="14.4" x14ac:dyDescent="0.3"/>
  <cols>
    <col min="1" max="1" width="19.88671875" bestFit="1" customWidth="1"/>
    <col min="7" max="7" width="16.44140625" bestFit="1" customWidth="1"/>
  </cols>
  <sheetData>
    <row r="1" spans="1:8" x14ac:dyDescent="0.3">
      <c r="A1" s="68" t="s">
        <v>0</v>
      </c>
      <c r="B1" s="54"/>
      <c r="C1" s="54" t="s">
        <v>16</v>
      </c>
      <c r="D1" s="54"/>
      <c r="E1" s="54" t="s">
        <v>2</v>
      </c>
      <c r="F1" s="69" t="s">
        <v>17</v>
      </c>
      <c r="G1" s="53" t="s">
        <v>4</v>
      </c>
      <c r="H1" s="13"/>
    </row>
    <row r="2" spans="1:8" x14ac:dyDescent="0.3">
      <c r="A2" s="54"/>
      <c r="B2" s="56">
        <v>1</v>
      </c>
      <c r="C2" s="56">
        <v>10</v>
      </c>
      <c r="D2" s="57">
        <v>9</v>
      </c>
      <c r="E2" s="58">
        <v>7</v>
      </c>
      <c r="F2" s="54"/>
      <c r="G2" s="70">
        <f t="array" ref="G2:G4">MMULT(B2:D4,E30:E32)</f>
        <v>6.9999999999999964</v>
      </c>
      <c r="H2" s="13"/>
    </row>
    <row r="3" spans="1:8" x14ac:dyDescent="0.3">
      <c r="A3" s="54"/>
      <c r="B3" s="56">
        <v>2</v>
      </c>
      <c r="C3" s="56">
        <v>-7</v>
      </c>
      <c r="D3" s="57">
        <v>-10</v>
      </c>
      <c r="E3" s="58">
        <v>-17</v>
      </c>
      <c r="F3" s="54"/>
      <c r="G3" s="70">
        <v>-17</v>
      </c>
      <c r="H3" s="13"/>
    </row>
    <row r="4" spans="1:8" x14ac:dyDescent="0.3">
      <c r="A4" s="54"/>
      <c r="B4" s="56">
        <v>10</v>
      </c>
      <c r="C4" s="56">
        <v>2</v>
      </c>
      <c r="D4" s="57">
        <v>6</v>
      </c>
      <c r="E4" s="58">
        <v>28</v>
      </c>
      <c r="F4" s="54"/>
      <c r="G4" s="70">
        <v>27.999999999999986</v>
      </c>
      <c r="H4" s="13"/>
    </row>
    <row r="5" spans="1:8" x14ac:dyDescent="0.3">
      <c r="A5" s="54"/>
      <c r="B5" s="54"/>
      <c r="C5" s="54"/>
      <c r="D5" s="54"/>
      <c r="E5" s="54"/>
      <c r="F5" s="54"/>
      <c r="G5" s="54"/>
      <c r="H5" s="14"/>
    </row>
    <row r="6" spans="1:8" x14ac:dyDescent="0.3">
      <c r="A6" s="86" t="s">
        <v>6</v>
      </c>
      <c r="B6" s="82">
        <f>IF($B$2=0,IF($B$3=0,IF($B$4=0,"Falla",B4),B3),B2)</f>
        <v>1</v>
      </c>
      <c r="C6" s="63">
        <f>IF($B$2=0,IF($B$3=0,IF($B$4=0,"Falla",C4),C3),C2)</f>
        <v>10</v>
      </c>
      <c r="D6" s="63">
        <f>IF($B$2=0,IF($B$3=0,IF($B$4=0,"Falla",D4),D3),D2)</f>
        <v>9</v>
      </c>
      <c r="E6" s="63">
        <f>IF($B$2=0,IF($B$3=0,IF($B$4=0,"Falla",E4),E3),E2)</f>
        <v>7</v>
      </c>
      <c r="F6" s="54" t="str">
        <f>IF(B6=B2,"aceptado 1",IF(B6=B3,"aceptado 2",IF(B6=B4,"aceptado 3","falla")))</f>
        <v>aceptado 1</v>
      </c>
      <c r="G6" s="54"/>
      <c r="H6" s="14"/>
    </row>
    <row r="7" spans="1:8" x14ac:dyDescent="0.3">
      <c r="A7" s="54"/>
      <c r="B7" s="63">
        <f>IF($F$6="aceptado 2",B2,B3)</f>
        <v>2</v>
      </c>
      <c r="C7" s="63">
        <f>IF($F$6="aceptado 2",C2,C3)</f>
        <v>-7</v>
      </c>
      <c r="D7" s="63">
        <f>IF($F$6="aceptado 2",D2,D3)</f>
        <v>-10</v>
      </c>
      <c r="E7" s="63">
        <f>IF($F$6="aceptado 2",E2,E3)</f>
        <v>-17</v>
      </c>
      <c r="F7" s="54"/>
      <c r="G7" s="54"/>
      <c r="H7" s="14"/>
    </row>
    <row r="8" spans="1:8" x14ac:dyDescent="0.3">
      <c r="A8" s="54"/>
      <c r="B8" s="63">
        <f>IF($F$6="aceptado 3",B2,B4)</f>
        <v>10</v>
      </c>
      <c r="C8" s="63">
        <f>IF($F$6="aceptado 3",C2,C4)</f>
        <v>2</v>
      </c>
      <c r="D8" s="63">
        <f>IF($F$6="aceptado 3",D2,D4)</f>
        <v>6</v>
      </c>
      <c r="E8" s="63">
        <f>IF($F$6="aceptado 3",E2,E4)</f>
        <v>28</v>
      </c>
      <c r="F8" s="54"/>
      <c r="G8" s="54"/>
      <c r="H8" s="14"/>
    </row>
    <row r="9" spans="1:8" x14ac:dyDescent="0.3">
      <c r="A9" s="54"/>
      <c r="B9" s="63"/>
      <c r="C9" s="63"/>
      <c r="D9" s="63"/>
      <c r="E9" s="63"/>
      <c r="F9" s="54"/>
      <c r="G9" s="54"/>
      <c r="H9" s="14"/>
    </row>
    <row r="10" spans="1:8" x14ac:dyDescent="0.3">
      <c r="A10" s="87" t="s">
        <v>7</v>
      </c>
      <c r="B10" s="63">
        <f>B6</f>
        <v>1</v>
      </c>
      <c r="C10" s="63">
        <f>C6</f>
        <v>10</v>
      </c>
      <c r="D10" s="63">
        <f>D6</f>
        <v>9</v>
      </c>
      <c r="E10" s="63">
        <f>E6</f>
        <v>7</v>
      </c>
      <c r="F10" s="54"/>
      <c r="G10" s="54"/>
      <c r="H10" s="14"/>
    </row>
    <row r="11" spans="1:8" x14ac:dyDescent="0.3">
      <c r="A11" s="54"/>
      <c r="B11" s="63">
        <f>B7-($B$7/$B$6)*B6</f>
        <v>0</v>
      </c>
      <c r="C11" s="63">
        <f>C7-($B$7/$B$6)*C6</f>
        <v>-27</v>
      </c>
      <c r="D11" s="63">
        <f>D7-($B$7/$B$6)*D6</f>
        <v>-28</v>
      </c>
      <c r="E11" s="63">
        <f>E7-($B$7/$B$6)*E6</f>
        <v>-31</v>
      </c>
      <c r="F11" s="54"/>
      <c r="G11" s="54"/>
      <c r="H11" s="14"/>
    </row>
    <row r="12" spans="1:8" x14ac:dyDescent="0.3">
      <c r="A12" s="54"/>
      <c r="B12" s="63">
        <f>B8-($B$8/$B$6)*B6</f>
        <v>0</v>
      </c>
      <c r="C12" s="63">
        <f>C8-($B$8/$B$6)*C6</f>
        <v>-98</v>
      </c>
      <c r="D12" s="63">
        <f>D8-($B$8/$B$6)*D6</f>
        <v>-84</v>
      </c>
      <c r="E12" s="63">
        <f>E8-($B$8/$B$6)*E6</f>
        <v>-42</v>
      </c>
      <c r="F12" s="54"/>
      <c r="G12" s="54"/>
      <c r="H12" s="14"/>
    </row>
    <row r="13" spans="1:8" x14ac:dyDescent="0.3">
      <c r="A13" s="54"/>
      <c r="B13" s="63"/>
      <c r="C13" s="63"/>
      <c r="D13" s="63"/>
      <c r="E13" s="63"/>
      <c r="F13" s="54"/>
      <c r="G13" s="54"/>
      <c r="H13" s="14"/>
    </row>
    <row r="14" spans="1:8" x14ac:dyDescent="0.3">
      <c r="A14" s="86" t="s">
        <v>8</v>
      </c>
      <c r="B14" s="63">
        <f>B10</f>
        <v>1</v>
      </c>
      <c r="C14" s="63">
        <f>C10</f>
        <v>10</v>
      </c>
      <c r="D14" s="63">
        <f>D10</f>
        <v>9</v>
      </c>
      <c r="E14" s="63">
        <f>E10</f>
        <v>7</v>
      </c>
      <c r="F14" s="54" t="str">
        <f>IF(C15=C11,"aceptado 2",IF(C15=C12,"aceptado 3","falla"))</f>
        <v>aceptado 2</v>
      </c>
      <c r="G14" s="54"/>
      <c r="H14" s="14"/>
    </row>
    <row r="15" spans="1:8" x14ac:dyDescent="0.3">
      <c r="A15" s="54"/>
      <c r="B15" s="63">
        <f>IF($C$11=0,IF($C$12=0,"falla",B12),B11)</f>
        <v>0</v>
      </c>
      <c r="C15" s="63">
        <f>IF($C$11=0,IF($C$12=0,"falla",C12),C11)</f>
        <v>-27</v>
      </c>
      <c r="D15" s="63">
        <f>IF($C$11=0,IF($C$12=0,"falla",D12),D11)</f>
        <v>-28</v>
      </c>
      <c r="E15" s="63">
        <f>IF($C$11=0,IF($C$12=0,"falla",E12),E11)</f>
        <v>-31</v>
      </c>
      <c r="F15" s="54"/>
      <c r="G15" s="54"/>
      <c r="H15" s="14"/>
    </row>
    <row r="16" spans="1:8" x14ac:dyDescent="0.3">
      <c r="A16" s="54"/>
      <c r="B16" s="63">
        <f>IF($F$14="aceptado 2",B12,B11)</f>
        <v>0</v>
      </c>
      <c r="C16" s="63">
        <f>IF($F$14="aceptado 2",C12,C11)</f>
        <v>-98</v>
      </c>
      <c r="D16" s="63">
        <f>IF($F$14="aceptado 2",D12,D11)</f>
        <v>-84</v>
      </c>
      <c r="E16" s="63">
        <f>IF($F$14="aceptado 2",E12,E11)</f>
        <v>-42</v>
      </c>
      <c r="F16" s="54"/>
      <c r="G16" s="54"/>
      <c r="H16" s="14"/>
    </row>
    <row r="17" spans="1:8" x14ac:dyDescent="0.3">
      <c r="A17" s="54"/>
      <c r="B17" s="63"/>
      <c r="C17" s="63"/>
      <c r="D17" s="63"/>
      <c r="E17" s="63"/>
      <c r="F17" s="54"/>
      <c r="G17" s="54"/>
      <c r="H17" s="14"/>
    </row>
    <row r="18" spans="1:8" x14ac:dyDescent="0.3">
      <c r="A18" s="87" t="s">
        <v>9</v>
      </c>
      <c r="B18" s="63">
        <f>B14-($C$14/$C$15)*B15</f>
        <v>1</v>
      </c>
      <c r="C18" s="63">
        <f>C14-($C$14/$C$15)*C15</f>
        <v>0</v>
      </c>
      <c r="D18" s="71">
        <f>D14-($C$14/$C$15)*D15</f>
        <v>-1.3703703703703702</v>
      </c>
      <c r="E18" s="71">
        <f>E14-($C$14/$C$15)*E15</f>
        <v>-4.481481481481481</v>
      </c>
      <c r="F18" s="54"/>
      <c r="G18" s="54"/>
      <c r="H18" s="14"/>
    </row>
    <row r="19" spans="1:8" x14ac:dyDescent="0.3">
      <c r="A19" s="54"/>
      <c r="B19" s="63">
        <f>B15</f>
        <v>0</v>
      </c>
      <c r="C19" s="63">
        <f>C15</f>
        <v>-27</v>
      </c>
      <c r="D19" s="63">
        <f>D15</f>
        <v>-28</v>
      </c>
      <c r="E19" s="63">
        <f>E15</f>
        <v>-31</v>
      </c>
      <c r="F19" s="54"/>
      <c r="G19" s="54"/>
      <c r="H19" s="14"/>
    </row>
    <row r="20" spans="1:8" x14ac:dyDescent="0.3">
      <c r="A20" s="54"/>
      <c r="B20" s="63">
        <f>B16-($C$16/$C$15)*B15</f>
        <v>0</v>
      </c>
      <c r="C20" s="63">
        <f>C16-($C$16/$C$15)*C15</f>
        <v>0</v>
      </c>
      <c r="D20" s="71">
        <f>D16-($C$16/$C$15)*D15</f>
        <v>17.629629629629633</v>
      </c>
      <c r="E20" s="71">
        <f>E16-($C$16/$C$15)*E15</f>
        <v>70.518518518518519</v>
      </c>
      <c r="F20" s="54"/>
      <c r="G20" s="54"/>
      <c r="H20" s="14"/>
    </row>
    <row r="21" spans="1:8" x14ac:dyDescent="0.3">
      <c r="A21" s="54"/>
      <c r="B21" s="63"/>
      <c r="C21" s="63"/>
      <c r="D21" s="63"/>
      <c r="E21" s="63"/>
      <c r="F21" s="54"/>
      <c r="G21" s="54"/>
      <c r="H21" s="14"/>
    </row>
    <row r="22" spans="1:8" x14ac:dyDescent="0.3">
      <c r="A22" s="86" t="s">
        <v>10</v>
      </c>
      <c r="B22" s="63">
        <f t="shared" ref="B22:E23" si="0">B18</f>
        <v>1</v>
      </c>
      <c r="C22" s="63">
        <f t="shared" si="0"/>
        <v>0</v>
      </c>
      <c r="D22" s="71">
        <f t="shared" si="0"/>
        <v>-1.3703703703703702</v>
      </c>
      <c r="E22" s="71">
        <f t="shared" si="0"/>
        <v>-4.481481481481481</v>
      </c>
      <c r="F22" s="54" t="str">
        <f>IF(D24=D20,"aceptado 3","falla")</f>
        <v>aceptado 3</v>
      </c>
      <c r="G22" s="54"/>
      <c r="H22" s="14"/>
    </row>
    <row r="23" spans="1:8" x14ac:dyDescent="0.3">
      <c r="A23" s="54"/>
      <c r="B23" s="63">
        <f t="shared" si="0"/>
        <v>0</v>
      </c>
      <c r="C23" s="63">
        <f t="shared" si="0"/>
        <v>-27</v>
      </c>
      <c r="D23" s="63">
        <f t="shared" si="0"/>
        <v>-28</v>
      </c>
      <c r="E23" s="63">
        <f t="shared" si="0"/>
        <v>-31</v>
      </c>
      <c r="F23" s="54"/>
      <c r="G23" s="54"/>
      <c r="H23" s="14"/>
    </row>
    <row r="24" spans="1:8" x14ac:dyDescent="0.3">
      <c r="A24" s="54"/>
      <c r="B24" s="63">
        <f>IF($D$20=0,"falla",B20)</f>
        <v>0</v>
      </c>
      <c r="C24" s="63">
        <f>IF($D$20=0,"falla",C20)</f>
        <v>0</v>
      </c>
      <c r="D24" s="71">
        <f>IF($D$20=0,"falla",D20)</f>
        <v>17.629629629629633</v>
      </c>
      <c r="E24" s="71">
        <f>IF($D$20=0,"falla",E20)</f>
        <v>70.518518518518519</v>
      </c>
      <c r="F24" s="54"/>
      <c r="G24" s="54"/>
      <c r="H24" s="14"/>
    </row>
    <row r="25" spans="1:8" x14ac:dyDescent="0.3">
      <c r="A25" s="54"/>
      <c r="B25" s="63"/>
      <c r="C25" s="63"/>
      <c r="D25" s="63"/>
      <c r="E25" s="63"/>
      <c r="F25" s="54"/>
      <c r="G25" s="54"/>
      <c r="H25" s="14"/>
    </row>
    <row r="26" spans="1:8" x14ac:dyDescent="0.3">
      <c r="A26" s="87" t="s">
        <v>11</v>
      </c>
      <c r="B26" s="63">
        <f>B22-($D$22/$D$24)*B24</f>
        <v>1</v>
      </c>
      <c r="C26" s="63">
        <f>C22-($D$22/$D$24)*C24</f>
        <v>0</v>
      </c>
      <c r="D26" s="63">
        <f>D22-($D$22/$D$24)*D24</f>
        <v>0</v>
      </c>
      <c r="E26" s="63">
        <f>E22-($D$22/$D$24)*E24</f>
        <v>0.99999999999999911</v>
      </c>
      <c r="F26" s="54"/>
      <c r="G26" s="54"/>
      <c r="H26" s="14"/>
    </row>
    <row r="27" spans="1:8" x14ac:dyDescent="0.3">
      <c r="A27" s="54"/>
      <c r="B27" s="63">
        <f>B23-($D$23/$D$24)*B24</f>
        <v>0</v>
      </c>
      <c r="C27" s="63">
        <f>C23-($D$23/$D$24)*C24</f>
        <v>-27</v>
      </c>
      <c r="D27" s="63">
        <f>D23-($D$23/$D$24)*D24</f>
        <v>0</v>
      </c>
      <c r="E27" s="63">
        <f>E23-($D$23/$D$24)*E24</f>
        <v>80.999999999999986</v>
      </c>
      <c r="F27" s="54"/>
      <c r="G27" s="54"/>
      <c r="H27" s="14"/>
    </row>
    <row r="28" spans="1:8" x14ac:dyDescent="0.3">
      <c r="A28" s="54"/>
      <c r="B28" s="63">
        <f>B24</f>
        <v>0</v>
      </c>
      <c r="C28" s="63">
        <f>C24</f>
        <v>0</v>
      </c>
      <c r="D28" s="71">
        <f>D24</f>
        <v>17.629629629629633</v>
      </c>
      <c r="E28" s="71">
        <f>E24</f>
        <v>70.518518518518519</v>
      </c>
      <c r="F28" s="54"/>
      <c r="G28" s="54"/>
      <c r="H28" s="14"/>
    </row>
    <row r="29" spans="1:8" ht="15" thickBot="1" x14ac:dyDescent="0.35">
      <c r="A29" s="54"/>
      <c r="B29" s="63"/>
      <c r="C29" s="63"/>
      <c r="D29" s="63"/>
      <c r="E29" s="79" t="s">
        <v>14</v>
      </c>
      <c r="F29" s="54"/>
      <c r="G29" s="54"/>
      <c r="H29" s="14"/>
    </row>
    <row r="30" spans="1:8" ht="15" thickBot="1" x14ac:dyDescent="0.35">
      <c r="A30" s="66" t="s">
        <v>15</v>
      </c>
      <c r="B30" s="63">
        <f>B26/$B$26</f>
        <v>1</v>
      </c>
      <c r="C30" s="63">
        <f>C26/$B$26</f>
        <v>0</v>
      </c>
      <c r="D30" s="63">
        <f>D26/$B$26</f>
        <v>0</v>
      </c>
      <c r="E30" s="80">
        <f>E26/$B$26</f>
        <v>0.99999999999999911</v>
      </c>
      <c r="F30" s="54"/>
      <c r="G30" s="54"/>
      <c r="H30" s="14"/>
    </row>
    <row r="31" spans="1:8" ht="15" thickBot="1" x14ac:dyDescent="0.35">
      <c r="A31" s="54"/>
      <c r="B31" s="63">
        <f>B27/$C$27</f>
        <v>0</v>
      </c>
      <c r="C31" s="63">
        <f>C27/$C$27</f>
        <v>1</v>
      </c>
      <c r="D31" s="63">
        <f>D27/$C$27</f>
        <v>0</v>
      </c>
      <c r="E31" s="80">
        <f>E27/$C$27</f>
        <v>-2.9999999999999996</v>
      </c>
      <c r="F31" s="54"/>
      <c r="G31" s="54"/>
      <c r="H31" s="14"/>
    </row>
    <row r="32" spans="1:8" ht="15" thickBot="1" x14ac:dyDescent="0.35">
      <c r="A32" s="54"/>
      <c r="B32" s="63">
        <f>B28/$D$28</f>
        <v>0</v>
      </c>
      <c r="C32" s="63">
        <f>C28/$D$28</f>
        <v>0</v>
      </c>
      <c r="D32" s="63">
        <f>D28/$D$28</f>
        <v>1</v>
      </c>
      <c r="E32" s="80">
        <f>E28/$D$28</f>
        <v>3.9999999999999991</v>
      </c>
      <c r="F32" s="54"/>
      <c r="G32" s="54"/>
      <c r="H32" s="1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112A6-C72A-4CEF-9B86-C084E0780737}">
  <dimension ref="A1:I50"/>
  <sheetViews>
    <sheetView topLeftCell="A24" workbookViewId="0">
      <selection sqref="A1:H50"/>
    </sheetView>
  </sheetViews>
  <sheetFormatPr baseColWidth="10" defaultColWidth="11.44140625" defaultRowHeight="14.4" x14ac:dyDescent="0.3"/>
  <cols>
    <col min="1" max="1" width="19.88671875" bestFit="1" customWidth="1"/>
    <col min="8" max="8" width="17" bestFit="1" customWidth="1"/>
  </cols>
  <sheetData>
    <row r="1" spans="1:9" ht="15.6" x14ac:dyDescent="0.3">
      <c r="A1" s="17" t="s">
        <v>0</v>
      </c>
      <c r="B1" s="6"/>
      <c r="C1" s="6" t="s">
        <v>1</v>
      </c>
      <c r="D1" s="6"/>
      <c r="E1" s="6"/>
      <c r="F1" s="6" t="s">
        <v>2</v>
      </c>
      <c r="G1" s="6" t="s">
        <v>3</v>
      </c>
      <c r="H1" s="23" t="s">
        <v>4</v>
      </c>
    </row>
    <row r="2" spans="1:9" ht="15.6" x14ac:dyDescent="0.3">
      <c r="A2" s="6"/>
      <c r="B2" s="5">
        <v>0</v>
      </c>
      <c r="C2" s="5">
        <v>1</v>
      </c>
      <c r="D2" s="5">
        <v>2</v>
      </c>
      <c r="E2" s="28">
        <v>-1</v>
      </c>
      <c r="F2" s="12">
        <v>1</v>
      </c>
      <c r="G2" s="6"/>
      <c r="H2" s="18">
        <f t="array" ref="H2:H5">MMULT(B2:E5,F47:F50)</f>
        <v>1.0000000000000011</v>
      </c>
    </row>
    <row r="3" spans="1:9" ht="15.6" x14ac:dyDescent="0.3">
      <c r="A3" s="6"/>
      <c r="B3" s="5">
        <v>0</v>
      </c>
      <c r="C3" s="5">
        <v>1</v>
      </c>
      <c r="D3" s="5">
        <v>-1</v>
      </c>
      <c r="E3" s="28">
        <v>1</v>
      </c>
      <c r="F3" s="12">
        <v>2</v>
      </c>
      <c r="G3" s="6"/>
      <c r="H3" s="18">
        <v>1.9999999999999989</v>
      </c>
      <c r="I3" t="s">
        <v>5</v>
      </c>
    </row>
    <row r="4" spans="1:9" ht="15.6" x14ac:dyDescent="0.3">
      <c r="A4" s="6"/>
      <c r="B4" s="5">
        <v>0</v>
      </c>
      <c r="C4" s="5">
        <v>3</v>
      </c>
      <c r="D4" s="5">
        <v>-2</v>
      </c>
      <c r="E4" s="28">
        <v>-1</v>
      </c>
      <c r="F4" s="12">
        <v>0</v>
      </c>
      <c r="G4" s="6"/>
      <c r="H4" s="45">
        <v>-2.4424906541753444E-15</v>
      </c>
    </row>
    <row r="5" spans="1:9" ht="15.6" x14ac:dyDescent="0.3">
      <c r="A5" s="6"/>
      <c r="B5" s="5">
        <v>3</v>
      </c>
      <c r="C5" s="5">
        <v>-1</v>
      </c>
      <c r="D5" s="5">
        <v>1</v>
      </c>
      <c r="E5" s="28">
        <v>2</v>
      </c>
      <c r="F5" s="12">
        <v>-2</v>
      </c>
      <c r="G5" s="7"/>
      <c r="H5" s="18">
        <v>-1.9999999999999987</v>
      </c>
      <c r="I5" s="1"/>
    </row>
    <row r="6" spans="1:9" ht="15" x14ac:dyDescent="0.3">
      <c r="A6" s="6"/>
      <c r="B6" s="6"/>
      <c r="C6" s="6"/>
      <c r="D6" s="6"/>
      <c r="E6" s="6"/>
      <c r="F6" s="6"/>
      <c r="G6" s="6"/>
      <c r="H6" s="7"/>
      <c r="I6" s="1"/>
    </row>
    <row r="7" spans="1:9" ht="15" x14ac:dyDescent="0.3">
      <c r="A7" s="89" t="s">
        <v>6</v>
      </c>
      <c r="B7" s="6">
        <f>IF($B$2=0,IF($B$3=0,IF($B$4=0,IF($B$5=0,"Falla",B5),B4),B3),B2)</f>
        <v>3</v>
      </c>
      <c r="C7" s="6">
        <f>IF($B$2=0,IF($B$3=0,IF($B$4=0,IF($B$5=0,"Falla",C5),C4),C3),C2)</f>
        <v>-1</v>
      </c>
      <c r="D7" s="6">
        <f>IF($B$2=0,IF($B$3=0,IF($B$4=0,IF($B$5=0,"Falla",D5),D4),D3),D2)</f>
        <v>1</v>
      </c>
      <c r="E7" s="6">
        <f>IF($B$2=0,IF($B$3=0,IF($B$4=0,IF($B$5=0,"Falla",E5),E4),E3),E2)</f>
        <v>2</v>
      </c>
      <c r="F7" s="6">
        <f>IF($B$2=0,IF($B$3=0,IF($B$4=0,IF($B$5=0,"Falla",F5),F4),F3),F2)</f>
        <v>-2</v>
      </c>
      <c r="G7" s="6" t="str">
        <f>IF(B7=B2,"aceptado 1",IF(B7=B3,"aceptado 2",IF(B7=B4,"aceptado 3",IF(B7=B5,"aceptado 4","falla"))))</f>
        <v>aceptado 4</v>
      </c>
      <c r="H7" s="7"/>
      <c r="I7" s="1"/>
    </row>
    <row r="8" spans="1:9" ht="15" x14ac:dyDescent="0.3">
      <c r="A8" s="6"/>
      <c r="B8" s="6">
        <f>IF($G$7="aceptado 2",B2,B3)</f>
        <v>0</v>
      </c>
      <c r="C8" s="6">
        <f>IF($G$7="aceptado 2",C2,C3)</f>
        <v>1</v>
      </c>
      <c r="D8" s="6">
        <f>IF($G$7="aceptado 2",D2,D3)</f>
        <v>-1</v>
      </c>
      <c r="E8" s="6">
        <f>IF($G$7="aceptado 2",E2,E3)</f>
        <v>1</v>
      </c>
      <c r="F8" s="6">
        <f>IF($G$7="aceptado 2",F2,F3)</f>
        <v>2</v>
      </c>
      <c r="G8" s="6"/>
      <c r="H8" s="7"/>
      <c r="I8" s="1"/>
    </row>
    <row r="9" spans="1:9" ht="15" x14ac:dyDescent="0.3">
      <c r="A9" s="6"/>
      <c r="B9" s="6">
        <f>IF($G$7="aceptado 3",B2,B4)</f>
        <v>0</v>
      </c>
      <c r="C9" s="6">
        <f>IF($G$7="aceptado 3",C2,C4)</f>
        <v>3</v>
      </c>
      <c r="D9" s="6">
        <f>IF($G$7="aceptado 3",D2,D4)</f>
        <v>-2</v>
      </c>
      <c r="E9" s="6">
        <f>IF($G$7="aceptado 3",E2,E4)</f>
        <v>-1</v>
      </c>
      <c r="F9" s="6">
        <f>IF($G$7="aceptado 3",F2,F4)</f>
        <v>0</v>
      </c>
      <c r="G9" s="6"/>
      <c r="H9" s="7"/>
      <c r="I9" s="50"/>
    </row>
    <row r="10" spans="1:9" ht="15" x14ac:dyDescent="0.3">
      <c r="A10" s="6"/>
      <c r="B10" s="6">
        <f>IF($G$7="aceptado 4",B2,B5)</f>
        <v>0</v>
      </c>
      <c r="C10" s="6">
        <f>IF($G$7="aceptado 4",C2,C5)</f>
        <v>1</v>
      </c>
      <c r="D10" s="6">
        <f>IF($G$7="aceptado 4",D2,D5)</f>
        <v>2</v>
      </c>
      <c r="E10" s="6">
        <f>IF($G$7="aceptado 4",E2,E5)</f>
        <v>-1</v>
      </c>
      <c r="F10" s="6">
        <f>IF($G$7="aceptado 4",F2,F5)</f>
        <v>1</v>
      </c>
      <c r="G10" s="6"/>
      <c r="H10" s="7"/>
      <c r="I10" s="1"/>
    </row>
    <row r="11" spans="1:9" ht="15" x14ac:dyDescent="0.3">
      <c r="A11" s="6"/>
      <c r="B11" s="6"/>
      <c r="C11" s="6"/>
      <c r="D11" s="6"/>
      <c r="E11" s="6"/>
      <c r="F11" s="6"/>
      <c r="G11" s="6"/>
      <c r="H11" s="7"/>
      <c r="I11" s="1"/>
    </row>
    <row r="12" spans="1:9" ht="15" x14ac:dyDescent="0.3">
      <c r="A12" s="91" t="s">
        <v>7</v>
      </c>
      <c r="B12" s="6">
        <f>B7</f>
        <v>3</v>
      </c>
      <c r="C12" s="6">
        <f>C7</f>
        <v>-1</v>
      </c>
      <c r="D12" s="6">
        <f>D7</f>
        <v>1</v>
      </c>
      <c r="E12" s="6">
        <f>E7</f>
        <v>2</v>
      </c>
      <c r="F12" s="6">
        <f>F7</f>
        <v>-2</v>
      </c>
      <c r="G12" s="6"/>
      <c r="H12" s="7"/>
      <c r="I12" s="1"/>
    </row>
    <row r="13" spans="1:9" ht="15" x14ac:dyDescent="0.3">
      <c r="A13" s="6"/>
      <c r="B13" s="6">
        <f>B8-($B$8/$B$7)*B7</f>
        <v>0</v>
      </c>
      <c r="C13" s="6">
        <f>C8-($B$8/$B$7)*C7</f>
        <v>1</v>
      </c>
      <c r="D13" s="6">
        <f>D8-($B$8/$B$7)*D7</f>
        <v>-1</v>
      </c>
      <c r="E13" s="6">
        <f>E8-($B$8/$B$7)*E7</f>
        <v>1</v>
      </c>
      <c r="F13" s="6">
        <f>F8-($B$8/$B$7)*F7</f>
        <v>2</v>
      </c>
      <c r="G13" s="6"/>
      <c r="H13" s="7"/>
      <c r="I13" s="1"/>
    </row>
    <row r="14" spans="1:9" ht="15" x14ac:dyDescent="0.3">
      <c r="A14" s="6"/>
      <c r="B14" s="6">
        <f>B9-($B$9/$B$7)*B7</f>
        <v>0</v>
      </c>
      <c r="C14" s="6">
        <f>C9-($B$9/$B$7)*C7</f>
        <v>3</v>
      </c>
      <c r="D14" s="6">
        <f>D9-($B$9/$B$7)*D7</f>
        <v>-2</v>
      </c>
      <c r="E14" s="6">
        <f>E9-($B$9/$B$7)*E7</f>
        <v>-1</v>
      </c>
      <c r="F14" s="6">
        <f>F9-($B$9/$B$7)*F7</f>
        <v>0</v>
      </c>
      <c r="G14" s="6"/>
      <c r="H14" s="7"/>
      <c r="I14" s="1"/>
    </row>
    <row r="15" spans="1:9" ht="15" x14ac:dyDescent="0.3">
      <c r="A15" s="6"/>
      <c r="B15" s="6">
        <f>B10-($B$10/$B$7)*B7</f>
        <v>0</v>
      </c>
      <c r="C15" s="6">
        <f>C10-($B$10/$B$7)*C7</f>
        <v>1</v>
      </c>
      <c r="D15" s="6">
        <f>D10-($B$10/$B$7)*D7</f>
        <v>2</v>
      </c>
      <c r="E15" s="6">
        <f>E10-($B$10/$B$7)*E7</f>
        <v>-1</v>
      </c>
      <c r="F15" s="6">
        <f>F10-($B$10/$B$7)*F7</f>
        <v>1</v>
      </c>
      <c r="G15" s="6"/>
      <c r="H15" s="7"/>
      <c r="I15" s="1"/>
    </row>
    <row r="16" spans="1:9" ht="15" x14ac:dyDescent="0.3">
      <c r="A16" s="6"/>
      <c r="B16" s="6"/>
      <c r="C16" s="6"/>
      <c r="D16" s="6"/>
      <c r="E16" s="6"/>
      <c r="F16" s="6"/>
      <c r="G16" s="6"/>
      <c r="H16" s="7"/>
      <c r="I16" s="1"/>
    </row>
    <row r="17" spans="1:9" ht="15" x14ac:dyDescent="0.3">
      <c r="A17" s="89" t="s">
        <v>8</v>
      </c>
      <c r="B17" s="6">
        <f>B12</f>
        <v>3</v>
      </c>
      <c r="C17" s="6">
        <f>C12</f>
        <v>-1</v>
      </c>
      <c r="D17" s="6">
        <f>D12</f>
        <v>1</v>
      </c>
      <c r="E17" s="6">
        <f>E12</f>
        <v>2</v>
      </c>
      <c r="F17" s="6">
        <f>F12</f>
        <v>-2</v>
      </c>
      <c r="G17" s="7"/>
      <c r="H17" s="7"/>
      <c r="I17" s="1"/>
    </row>
    <row r="18" spans="1:9" ht="15" x14ac:dyDescent="0.3">
      <c r="A18" s="6"/>
      <c r="B18" s="6">
        <f>IF($C$13=0,IF($C$14=0,IF($C$15=0,"Falla",B15),B14),B13)</f>
        <v>0</v>
      </c>
      <c r="C18" s="6">
        <f>IF($C$13=0,IF($C$14=0,IF($C$15=0,"Falla",C15),C14),C13)</f>
        <v>1</v>
      </c>
      <c r="D18" s="6">
        <f>IF($C$13=0,IF($C$14=0,IF($C$15=0,"Falla",D15),D14),D13)</f>
        <v>-1</v>
      </c>
      <c r="E18" s="6">
        <f>IF($C$13=0,IF($C$14=0,IF($C$15=0,"Falla",E15),E14),E13)</f>
        <v>1</v>
      </c>
      <c r="F18" s="6">
        <f>IF($C$13=0,IF($C$14=0,IF($C$15=0,"Falla",F15),F14),F13)</f>
        <v>2</v>
      </c>
      <c r="G18" s="6" t="str">
        <f>IF(C18=C13,"aceptado 2",IF(C18=C14,"aceptado 3",IF(C18=C15,"aceptado 4","falla")))</f>
        <v>aceptado 2</v>
      </c>
      <c r="H18" s="7"/>
      <c r="I18" s="1"/>
    </row>
    <row r="19" spans="1:9" ht="15" x14ac:dyDescent="0.3">
      <c r="A19" s="6"/>
      <c r="B19" s="6">
        <f>IF($G$18="aceptado 2",B14,B13)</f>
        <v>0</v>
      </c>
      <c r="C19" s="6">
        <f>IF($G$18="aceptado 2",C14,C13)</f>
        <v>3</v>
      </c>
      <c r="D19" s="6">
        <f>IF($G$18="aceptado 2",D14,D13)</f>
        <v>-2</v>
      </c>
      <c r="E19" s="6">
        <f>IF($G$18="aceptado 2",E14,E13)</f>
        <v>-1</v>
      </c>
      <c r="F19" s="6">
        <f>IF($G$18="aceptado 2",F14,F13)</f>
        <v>0</v>
      </c>
      <c r="G19" s="6"/>
      <c r="H19" s="7"/>
      <c r="I19" s="1"/>
    </row>
    <row r="20" spans="1:9" ht="15" x14ac:dyDescent="0.3">
      <c r="A20" s="6"/>
      <c r="B20" s="6">
        <f>IF($G$18="aceptado 4",B13,B15)</f>
        <v>0</v>
      </c>
      <c r="C20" s="6">
        <f>IF($G$18="aceptado 4",C13,C15)</f>
        <v>1</v>
      </c>
      <c r="D20" s="6">
        <f>IF($G$18="aceptado 4",D13,D15)</f>
        <v>2</v>
      </c>
      <c r="E20" s="6">
        <f>IF($G$18="aceptado 4",E13,E15)</f>
        <v>-1</v>
      </c>
      <c r="F20" s="6">
        <f>IF($G$18="aceptado 4",F13,F15)</f>
        <v>1</v>
      </c>
      <c r="G20" s="6"/>
      <c r="H20" s="7"/>
      <c r="I20" s="1"/>
    </row>
    <row r="21" spans="1:9" ht="15" x14ac:dyDescent="0.3">
      <c r="A21" s="6"/>
      <c r="B21" s="6"/>
      <c r="C21" s="6"/>
      <c r="D21" s="6"/>
      <c r="E21" s="6"/>
      <c r="F21" s="6"/>
      <c r="G21" s="6"/>
      <c r="H21" s="7"/>
      <c r="I21" s="1"/>
    </row>
    <row r="22" spans="1:9" ht="15" x14ac:dyDescent="0.3">
      <c r="A22" s="91" t="s">
        <v>9</v>
      </c>
      <c r="B22" s="6">
        <f>B17-($C$17/$C$18)*B18</f>
        <v>3</v>
      </c>
      <c r="C22" s="6">
        <f>C17-($C$17/$C$18)*C18</f>
        <v>0</v>
      </c>
      <c r="D22" s="6">
        <f>D17-($C$17/$C$18)*D18</f>
        <v>0</v>
      </c>
      <c r="E22" s="6">
        <f>E17-($C$17/$C$18)*E18</f>
        <v>3</v>
      </c>
      <c r="F22" s="6">
        <f>F17-($C$17/$C$18)*F18</f>
        <v>0</v>
      </c>
      <c r="G22" s="6"/>
      <c r="H22" s="7"/>
      <c r="I22" s="1"/>
    </row>
    <row r="23" spans="1:9" ht="15" x14ac:dyDescent="0.3">
      <c r="A23" s="6"/>
      <c r="B23" s="6">
        <f>B18</f>
        <v>0</v>
      </c>
      <c r="C23" s="6">
        <f>C18</f>
        <v>1</v>
      </c>
      <c r="D23" s="6">
        <f>D18</f>
        <v>-1</v>
      </c>
      <c r="E23" s="6">
        <f>E18</f>
        <v>1</v>
      </c>
      <c r="F23" s="6">
        <f>F18</f>
        <v>2</v>
      </c>
      <c r="G23" s="6"/>
      <c r="H23" s="7"/>
    </row>
    <row r="24" spans="1:9" ht="15" x14ac:dyDescent="0.3">
      <c r="A24" s="6"/>
      <c r="B24" s="6">
        <f>B19-($C$19/$C$18)*B18</f>
        <v>0</v>
      </c>
      <c r="C24" s="6">
        <f>C19-($C$19/$C$18)*C18</f>
        <v>0</v>
      </c>
      <c r="D24" s="6">
        <f>D19-($C$19/$C$18)*D18</f>
        <v>1</v>
      </c>
      <c r="E24" s="6">
        <f>E19-($C$19/$C$18)*E18</f>
        <v>-4</v>
      </c>
      <c r="F24" s="6">
        <f>F19-($C$19/$C$18)*F18</f>
        <v>-6</v>
      </c>
      <c r="G24" s="6"/>
      <c r="H24" s="7"/>
      <c r="I24" s="1"/>
    </row>
    <row r="25" spans="1:9" ht="15" x14ac:dyDescent="0.3">
      <c r="A25" s="6"/>
      <c r="B25" s="6">
        <f>B20-($C$20/$C$18)*B18</f>
        <v>0</v>
      </c>
      <c r="C25" s="6">
        <f>C20-($C$20/$C$18)*C18</f>
        <v>0</v>
      </c>
      <c r="D25" s="6">
        <f>D20-($C$20/$C$18)*D18</f>
        <v>3</v>
      </c>
      <c r="E25" s="6">
        <f>E20-($C$20/$C$18)*E18</f>
        <v>-2</v>
      </c>
      <c r="F25" s="6">
        <f>F20-($C$20/$C$18)*F18</f>
        <v>-1</v>
      </c>
      <c r="G25" s="6"/>
      <c r="H25" s="7"/>
      <c r="I25" s="1"/>
    </row>
    <row r="26" spans="1:9" ht="15" x14ac:dyDescent="0.3">
      <c r="A26" s="6"/>
      <c r="B26" s="6"/>
      <c r="C26" s="6"/>
      <c r="D26" s="6"/>
      <c r="E26" s="6"/>
      <c r="F26" s="6"/>
      <c r="G26" s="6"/>
      <c r="H26" s="7"/>
    </row>
    <row r="27" spans="1:9" ht="15" x14ac:dyDescent="0.3">
      <c r="A27" s="89" t="s">
        <v>10</v>
      </c>
      <c r="B27" s="6">
        <f t="shared" ref="B27:F28" si="0">B22</f>
        <v>3</v>
      </c>
      <c r="C27" s="6">
        <f t="shared" si="0"/>
        <v>0</v>
      </c>
      <c r="D27" s="6">
        <f t="shared" si="0"/>
        <v>0</v>
      </c>
      <c r="E27" s="6">
        <f t="shared" si="0"/>
        <v>3</v>
      </c>
      <c r="F27" s="6">
        <f t="shared" si="0"/>
        <v>0</v>
      </c>
      <c r="G27" s="7"/>
      <c r="H27" s="7"/>
    </row>
    <row r="28" spans="1:9" ht="15" x14ac:dyDescent="0.3">
      <c r="A28" s="6"/>
      <c r="B28" s="6">
        <f t="shared" si="0"/>
        <v>0</v>
      </c>
      <c r="C28" s="6">
        <f t="shared" si="0"/>
        <v>1</v>
      </c>
      <c r="D28" s="6">
        <f t="shared" si="0"/>
        <v>-1</v>
      </c>
      <c r="E28" s="6">
        <f t="shared" si="0"/>
        <v>1</v>
      </c>
      <c r="F28" s="6">
        <f t="shared" si="0"/>
        <v>2</v>
      </c>
      <c r="G28" s="6"/>
      <c r="H28" s="7"/>
    </row>
    <row r="29" spans="1:9" ht="15" x14ac:dyDescent="0.3">
      <c r="A29" s="6"/>
      <c r="B29" s="6">
        <f>IF($D$24=0,IF($D$25=0,"falla",B25),B24)</f>
        <v>0</v>
      </c>
      <c r="C29" s="6">
        <f>IF($D$24=0,IF($D$25=0,"falla",C25),C24)</f>
        <v>0</v>
      </c>
      <c r="D29" s="6">
        <f>IF($D$24=0,IF($D$25=0,"falla",D25),D24)</f>
        <v>1</v>
      </c>
      <c r="E29" s="6">
        <f>IF($D$24=0,IF($D$25=0,"falla",E25),E24)</f>
        <v>-4</v>
      </c>
      <c r="F29" s="6">
        <f>IF($D$24=0,IF($D$25=0,"falla",F25),F24)</f>
        <v>-6</v>
      </c>
      <c r="G29" s="6" t="str">
        <f>IF(D29=D24,"aceptado 3",IF(D29=D25,"aceptado 4","falla"))</f>
        <v>aceptado 3</v>
      </c>
      <c r="H29" s="7"/>
    </row>
    <row r="30" spans="1:9" ht="15" x14ac:dyDescent="0.3">
      <c r="A30" s="6"/>
      <c r="B30" s="6">
        <f>IF($G$29="aceptado 4",B24,B25)</f>
        <v>0</v>
      </c>
      <c r="C30" s="6">
        <f>IF($G$29="aceptado 4",C24,C25)</f>
        <v>0</v>
      </c>
      <c r="D30" s="6">
        <f>IF($G$29="aceptado 4",D24,D25)</f>
        <v>3</v>
      </c>
      <c r="E30" s="6">
        <f>IF($G$29="aceptado 4",E24,E25)</f>
        <v>-2</v>
      </c>
      <c r="F30" s="6">
        <f>IF($G$29="aceptado 4",F24,F25)</f>
        <v>-1</v>
      </c>
      <c r="G30" s="6"/>
      <c r="H30" s="7"/>
    </row>
    <row r="31" spans="1:9" ht="15" x14ac:dyDescent="0.3">
      <c r="A31" s="6"/>
      <c r="B31" s="6"/>
      <c r="C31" s="6"/>
      <c r="D31" s="6"/>
      <c r="E31" s="6"/>
      <c r="F31" s="6"/>
      <c r="G31" s="6"/>
      <c r="H31" s="7"/>
    </row>
    <row r="32" spans="1:9" ht="15" x14ac:dyDescent="0.3">
      <c r="A32" s="91" t="s">
        <v>11</v>
      </c>
      <c r="B32" s="6">
        <f>B27-($D$27/$D$29)*B29</f>
        <v>3</v>
      </c>
      <c r="C32" s="6">
        <f>C27-($D$27/$D$29)*C29</f>
        <v>0</v>
      </c>
      <c r="D32" s="6">
        <f>D27-($D$27/$D$29)*D29</f>
        <v>0</v>
      </c>
      <c r="E32" s="6">
        <f>E27-($D$27/$D$29)*E29</f>
        <v>3</v>
      </c>
      <c r="F32" s="6">
        <f>F27-($D$27/$D$29)*F29</f>
        <v>0</v>
      </c>
      <c r="G32" s="6"/>
      <c r="H32" s="7"/>
    </row>
    <row r="33" spans="1:8" ht="15" x14ac:dyDescent="0.3">
      <c r="A33" s="6"/>
      <c r="B33" s="6">
        <f>B28-($D$28/$D$29)*B29</f>
        <v>0</v>
      </c>
      <c r="C33" s="6">
        <f>C28-($D$28/$D$29)*C29</f>
        <v>1</v>
      </c>
      <c r="D33" s="6">
        <f>D28-($D$28/$D$29)*D29</f>
        <v>0</v>
      </c>
      <c r="E33" s="6">
        <f>E28-($D$28/$D$29)*E29</f>
        <v>-3</v>
      </c>
      <c r="F33" s="6">
        <f>F28-($D$28/$D$29)*F29</f>
        <v>-4</v>
      </c>
      <c r="G33" s="6"/>
      <c r="H33" s="7"/>
    </row>
    <row r="34" spans="1:8" ht="15" x14ac:dyDescent="0.3">
      <c r="A34" s="6"/>
      <c r="B34" s="6">
        <f>B29</f>
        <v>0</v>
      </c>
      <c r="C34" s="6">
        <f>C29</f>
        <v>0</v>
      </c>
      <c r="D34" s="6">
        <f>D29</f>
        <v>1</v>
      </c>
      <c r="E34" s="6">
        <f>E29</f>
        <v>-4</v>
      </c>
      <c r="F34" s="6">
        <f>F29</f>
        <v>-6</v>
      </c>
      <c r="G34" s="6"/>
      <c r="H34" s="7"/>
    </row>
    <row r="35" spans="1:8" ht="15" x14ac:dyDescent="0.3">
      <c r="A35" s="6"/>
      <c r="B35" s="6">
        <f>B30-($D$30/$D$29)*B29</f>
        <v>0</v>
      </c>
      <c r="C35" s="6">
        <f>C30-($D$30/$D$29)*C29</f>
        <v>0</v>
      </c>
      <c r="D35" s="6">
        <f>D30-($D$30/$D$29)*D29</f>
        <v>0</v>
      </c>
      <c r="E35" s="6">
        <f>E30-($D$30/$D$29)*E29</f>
        <v>10</v>
      </c>
      <c r="F35" s="6">
        <f>F30-($D$30/$D$29)*F29</f>
        <v>17</v>
      </c>
      <c r="G35" s="6"/>
      <c r="H35" s="7"/>
    </row>
    <row r="36" spans="1:8" ht="15" x14ac:dyDescent="0.3">
      <c r="A36" s="6"/>
      <c r="B36" s="6"/>
      <c r="C36" s="6"/>
      <c r="D36" s="6"/>
      <c r="E36" s="6"/>
      <c r="F36" s="6"/>
      <c r="G36" s="6"/>
      <c r="H36" s="7"/>
    </row>
    <row r="37" spans="1:8" ht="15" x14ac:dyDescent="0.3">
      <c r="A37" s="89" t="s">
        <v>12</v>
      </c>
      <c r="B37" s="20">
        <f t="shared" ref="B37:F39" si="1">B32</f>
        <v>3</v>
      </c>
      <c r="C37" s="20">
        <f t="shared" si="1"/>
        <v>0</v>
      </c>
      <c r="D37" s="20">
        <f t="shared" si="1"/>
        <v>0</v>
      </c>
      <c r="E37" s="20">
        <f t="shared" si="1"/>
        <v>3</v>
      </c>
      <c r="F37" s="20">
        <f t="shared" si="1"/>
        <v>0</v>
      </c>
      <c r="G37" s="6"/>
      <c r="H37" s="7"/>
    </row>
    <row r="38" spans="1:8" ht="15" x14ac:dyDescent="0.3">
      <c r="A38" s="6"/>
      <c r="B38" s="20">
        <f t="shared" si="1"/>
        <v>0</v>
      </c>
      <c r="C38" s="20">
        <f t="shared" si="1"/>
        <v>1</v>
      </c>
      <c r="D38" s="20">
        <f t="shared" si="1"/>
        <v>0</v>
      </c>
      <c r="E38" s="20">
        <f t="shared" si="1"/>
        <v>-3</v>
      </c>
      <c r="F38" s="20">
        <f t="shared" si="1"/>
        <v>-4</v>
      </c>
      <c r="G38" s="6"/>
      <c r="H38" s="7"/>
    </row>
    <row r="39" spans="1:8" ht="15" x14ac:dyDescent="0.3">
      <c r="A39" s="6"/>
      <c r="B39" s="20">
        <f t="shared" si="1"/>
        <v>0</v>
      </c>
      <c r="C39" s="20">
        <f t="shared" si="1"/>
        <v>0</v>
      </c>
      <c r="D39" s="20">
        <f t="shared" si="1"/>
        <v>1</v>
      </c>
      <c r="E39" s="20">
        <f t="shared" si="1"/>
        <v>-4</v>
      </c>
      <c r="F39" s="20">
        <f t="shared" si="1"/>
        <v>-6</v>
      </c>
      <c r="G39" s="6"/>
      <c r="H39" s="7"/>
    </row>
    <row r="40" spans="1:8" ht="15" x14ac:dyDescent="0.3">
      <c r="A40" s="6"/>
      <c r="B40" s="20">
        <f>IF($E$35=0,"falla",B35)</f>
        <v>0</v>
      </c>
      <c r="C40" s="20">
        <f>IF($E$35=0,"falla",C35)</f>
        <v>0</v>
      </c>
      <c r="D40" s="20">
        <f>IF($E$35=0,"falla",D35)</f>
        <v>0</v>
      </c>
      <c r="E40" s="20">
        <f>IF($E$35=0,"falla",E35)</f>
        <v>10</v>
      </c>
      <c r="F40" s="20">
        <f>IF($E$35=0,"falla",F35)</f>
        <v>17</v>
      </c>
      <c r="G40" s="6"/>
      <c r="H40" s="7"/>
    </row>
    <row r="41" spans="1:8" ht="15" x14ac:dyDescent="0.3">
      <c r="A41" s="6"/>
      <c r="B41" s="6"/>
      <c r="C41" s="6"/>
      <c r="D41" s="6"/>
      <c r="E41" s="21"/>
      <c r="F41" s="21"/>
      <c r="G41" s="6"/>
      <c r="H41" s="7"/>
    </row>
    <row r="42" spans="1:8" ht="15" x14ac:dyDescent="0.3">
      <c r="A42" s="90" t="s">
        <v>13</v>
      </c>
      <c r="B42" s="20">
        <f>B37-($E$37/$E$40)*B40</f>
        <v>3</v>
      </c>
      <c r="C42" s="20">
        <f>C37-($E$37/$E$40)*C40</f>
        <v>0</v>
      </c>
      <c r="D42" s="20">
        <f>D37-($E$37/$E$40)*D40</f>
        <v>0</v>
      </c>
      <c r="E42" s="20">
        <f>E37-($E$37/$E$40)*E40</f>
        <v>0</v>
      </c>
      <c r="F42" s="40">
        <f>F37-($E$37/$E$40)*F40</f>
        <v>-5.0999999999999996</v>
      </c>
      <c r="G42" s="6"/>
      <c r="H42" s="7"/>
    </row>
    <row r="43" spans="1:8" ht="15" x14ac:dyDescent="0.3">
      <c r="A43" s="6"/>
      <c r="B43" s="20">
        <f>B38-($E$38/$E$40)*B40</f>
        <v>0</v>
      </c>
      <c r="C43" s="20">
        <f>C38-($E$38/$E$40)*C40</f>
        <v>1</v>
      </c>
      <c r="D43" s="20">
        <f>D38-($E$38/$E$40)*D40</f>
        <v>0</v>
      </c>
      <c r="E43" s="20">
        <f>E38-($E$38/$E$40)*E40</f>
        <v>0</v>
      </c>
      <c r="F43" s="40">
        <f>F38-($E$38/$E$40)*F40</f>
        <v>1.0999999999999996</v>
      </c>
      <c r="G43" s="6"/>
      <c r="H43" s="7"/>
    </row>
    <row r="44" spans="1:8" ht="15" x14ac:dyDescent="0.3">
      <c r="A44" s="6"/>
      <c r="B44" s="20">
        <f>B39-($E$39/$E$40)*B40</f>
        <v>0</v>
      </c>
      <c r="C44" s="20">
        <f>C39-($E$39/$E$40)*C40</f>
        <v>0</v>
      </c>
      <c r="D44" s="20">
        <f>D39-($E$39/$E$40)*D40</f>
        <v>1</v>
      </c>
      <c r="E44" s="20">
        <f>E39-($E$39/$E$40)*E40</f>
        <v>0</v>
      </c>
      <c r="F44" s="40">
        <f>F39-($E$39/$E$40)*F40</f>
        <v>0.80000000000000071</v>
      </c>
      <c r="G44" s="6"/>
      <c r="H44" s="7"/>
    </row>
    <row r="45" spans="1:8" ht="15" x14ac:dyDescent="0.3">
      <c r="A45" s="6"/>
      <c r="B45" s="20">
        <f>B40</f>
        <v>0</v>
      </c>
      <c r="C45" s="20">
        <f>C40</f>
        <v>0</v>
      </c>
      <c r="D45" s="20">
        <f>D40</f>
        <v>0</v>
      </c>
      <c r="E45" s="20">
        <f>E40</f>
        <v>10</v>
      </c>
      <c r="F45" s="83">
        <f>F40</f>
        <v>17</v>
      </c>
      <c r="G45" s="6"/>
      <c r="H45" s="7"/>
    </row>
    <row r="46" spans="1:8" ht="16.2" thickBot="1" x14ac:dyDescent="0.35">
      <c r="A46" s="6"/>
      <c r="B46" s="6"/>
      <c r="C46" s="6"/>
      <c r="D46" s="6"/>
      <c r="E46" s="21"/>
      <c r="F46" s="32" t="s">
        <v>14</v>
      </c>
      <c r="G46" s="6"/>
      <c r="H46" s="7"/>
    </row>
    <row r="47" spans="1:8" ht="16.2" thickBot="1" x14ac:dyDescent="0.35">
      <c r="A47" s="26" t="s">
        <v>15</v>
      </c>
      <c r="B47" s="6">
        <f>B42/$B$42</f>
        <v>1</v>
      </c>
      <c r="C47" s="6">
        <f>C42/$B$42</f>
        <v>0</v>
      </c>
      <c r="D47" s="6">
        <f>D42/$B$42</f>
        <v>0</v>
      </c>
      <c r="E47" s="6">
        <f>E42/$B$42</f>
        <v>0</v>
      </c>
      <c r="F47" s="77">
        <f>F42/$B$42</f>
        <v>-1.7</v>
      </c>
      <c r="G47" s="6"/>
      <c r="H47" s="7"/>
    </row>
    <row r="48" spans="1:8" ht="16.2" thickBot="1" x14ac:dyDescent="0.35">
      <c r="A48" s="6"/>
      <c r="B48" s="6">
        <f>B43/$C$43</f>
        <v>0</v>
      </c>
      <c r="C48" s="6">
        <f>C43/$C$43</f>
        <v>1</v>
      </c>
      <c r="D48" s="6">
        <f>D43/$C$43</f>
        <v>0</v>
      </c>
      <c r="E48" s="6">
        <f>E43/$C$43</f>
        <v>0</v>
      </c>
      <c r="F48" s="77">
        <f>F43/$C$43</f>
        <v>1.0999999999999996</v>
      </c>
      <c r="G48" s="6"/>
      <c r="H48" s="7"/>
    </row>
    <row r="49" spans="1:8" ht="16.2" thickBot="1" x14ac:dyDescent="0.35">
      <c r="A49" s="6"/>
      <c r="B49" s="6">
        <f>B44/$D$44</f>
        <v>0</v>
      </c>
      <c r="C49" s="6">
        <f>C44/$D$44</f>
        <v>0</v>
      </c>
      <c r="D49" s="6">
        <f>D44/$D$44</f>
        <v>1</v>
      </c>
      <c r="E49" s="6">
        <f>E44/$D$44</f>
        <v>0</v>
      </c>
      <c r="F49" s="77">
        <f>F44/$D$44</f>
        <v>0.80000000000000071</v>
      </c>
      <c r="G49" s="6"/>
      <c r="H49" s="7"/>
    </row>
    <row r="50" spans="1:8" ht="16.2" thickBot="1" x14ac:dyDescent="0.35">
      <c r="A50" s="6"/>
      <c r="B50" s="6">
        <f>B45/$E$45</f>
        <v>0</v>
      </c>
      <c r="C50" s="6">
        <f>C45/$E$45</f>
        <v>0</v>
      </c>
      <c r="D50" s="6">
        <f>D45/$E$45</f>
        <v>0</v>
      </c>
      <c r="E50" s="6">
        <f>E45/$E$45</f>
        <v>1</v>
      </c>
      <c r="F50" s="77">
        <f>F45/$E$45</f>
        <v>1.7</v>
      </c>
      <c r="G50" s="6"/>
      <c r="H50" s="7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C84A3-0876-456A-B5C9-7B98DE1AB7AE}">
  <dimension ref="A1:H50"/>
  <sheetViews>
    <sheetView topLeftCell="A27" workbookViewId="0">
      <selection sqref="A1:H51"/>
    </sheetView>
  </sheetViews>
  <sheetFormatPr baseColWidth="10" defaultColWidth="11.44140625" defaultRowHeight="14.4" x14ac:dyDescent="0.3"/>
  <cols>
    <col min="1" max="1" width="19.88671875" bestFit="1" customWidth="1"/>
    <col min="6" max="6" width="12.33203125" bestFit="1" customWidth="1"/>
    <col min="8" max="8" width="16.44140625" bestFit="1" customWidth="1"/>
  </cols>
  <sheetData>
    <row r="1" spans="1:8" ht="15.6" x14ac:dyDescent="0.3">
      <c r="A1" s="17" t="s">
        <v>0</v>
      </c>
      <c r="B1" s="6"/>
      <c r="C1" s="6" t="s">
        <v>1</v>
      </c>
      <c r="D1" s="6"/>
      <c r="E1" s="6"/>
      <c r="F1" s="6" t="s">
        <v>2</v>
      </c>
      <c r="G1" s="6" t="s">
        <v>3</v>
      </c>
      <c r="H1" s="23" t="s">
        <v>4</v>
      </c>
    </row>
    <row r="2" spans="1:8" ht="15.6" x14ac:dyDescent="0.3">
      <c r="A2" s="6"/>
      <c r="B2" s="5">
        <v>3</v>
      </c>
      <c r="C2" s="5">
        <v>2</v>
      </c>
      <c r="D2" s="5">
        <v>1</v>
      </c>
      <c r="E2" s="28">
        <v>-1</v>
      </c>
      <c r="F2" s="12">
        <v>1</v>
      </c>
      <c r="G2" s="6"/>
      <c r="H2" s="18">
        <f t="array" ref="H2:H5">MMULT(B2:E5,F47:F50)</f>
        <v>1</v>
      </c>
    </row>
    <row r="3" spans="1:8" ht="15.6" x14ac:dyDescent="0.3">
      <c r="A3" s="6"/>
      <c r="B3" s="5">
        <v>-1</v>
      </c>
      <c r="C3" s="5">
        <v>4</v>
      </c>
      <c r="D3" s="5">
        <v>-1</v>
      </c>
      <c r="E3" s="28">
        <v>8</v>
      </c>
      <c r="F3" s="12">
        <v>7</v>
      </c>
      <c r="G3" s="6"/>
      <c r="H3" s="18">
        <v>6.9999999999999964</v>
      </c>
    </row>
    <row r="4" spans="1:8" ht="15.6" x14ac:dyDescent="0.3">
      <c r="A4" s="6"/>
      <c r="B4" s="5">
        <v>2</v>
      </c>
      <c r="C4" s="5">
        <v>1</v>
      </c>
      <c r="D4" s="5">
        <v>-5</v>
      </c>
      <c r="E4" s="28">
        <v>3</v>
      </c>
      <c r="F4" s="12">
        <v>-14</v>
      </c>
      <c r="G4" s="6"/>
      <c r="H4" s="18">
        <v>-13.999999999999998</v>
      </c>
    </row>
    <row r="5" spans="1:8" ht="15.6" x14ac:dyDescent="0.3">
      <c r="A5" s="6"/>
      <c r="B5" s="5">
        <v>1</v>
      </c>
      <c r="C5" s="5">
        <v>1</v>
      </c>
      <c r="D5" s="5">
        <v>-1</v>
      </c>
      <c r="E5" s="28">
        <v>2</v>
      </c>
      <c r="F5" s="12">
        <v>-4</v>
      </c>
      <c r="G5" s="7"/>
      <c r="H5" s="18">
        <v>-4</v>
      </c>
    </row>
    <row r="6" spans="1:8" ht="15" x14ac:dyDescent="0.3">
      <c r="A6" s="6"/>
      <c r="B6" s="6"/>
      <c r="C6" s="6"/>
      <c r="D6" s="6"/>
      <c r="E6" s="6"/>
      <c r="F6" s="6"/>
      <c r="G6" s="6"/>
      <c r="H6" s="7"/>
    </row>
    <row r="7" spans="1:8" ht="15" x14ac:dyDescent="0.3">
      <c r="A7" s="89" t="s">
        <v>6</v>
      </c>
      <c r="B7" s="15">
        <f>IF($B$2=0,IF($B$3=0,IF($B$4=0,IF($B$5=0,"Falla",B5),B4),B3),B2)</f>
        <v>3</v>
      </c>
      <c r="C7" s="15">
        <f>IF($B$2=0,IF($B$3=0,IF($B$4=0,IF($B$5=0,"Falla",C5),C4),C3),C2)</f>
        <v>2</v>
      </c>
      <c r="D7" s="15">
        <f>IF($B$2=0,IF($B$3=0,IF($B$4=0,IF($B$5=0,"Falla",D5),D4),D3),D2)</f>
        <v>1</v>
      </c>
      <c r="E7" s="15">
        <f>IF($B$2=0,IF($B$3=0,IF($B$4=0,IF($B$5=0,"Falla",E5),E4),E3),E2)</f>
        <v>-1</v>
      </c>
      <c r="F7" s="15">
        <f>IF($B$2=0,IF($B$3=0,IF($B$4=0,IF($B$5=0,"Falla",F5),F4),F3),F2)</f>
        <v>1</v>
      </c>
      <c r="G7" s="6" t="str">
        <f>IF(B7=B2,"aceptado 1",IF(B7=B3,"aceptado 2",IF(B7=B4,"aceptado 3",IF(B7=B5,"aceptado 4","falla"))))</f>
        <v>aceptado 1</v>
      </c>
      <c r="H7" s="7"/>
    </row>
    <row r="8" spans="1:8" ht="15" x14ac:dyDescent="0.3">
      <c r="A8" s="6"/>
      <c r="B8" s="15">
        <f>IF($G$7="aceptado 2",B2,B3)</f>
        <v>-1</v>
      </c>
      <c r="C8" s="15">
        <f>IF($G$7="aceptado 2",C2,C3)</f>
        <v>4</v>
      </c>
      <c r="D8" s="15">
        <f>IF($G$7="aceptado 2",D2,D3)</f>
        <v>-1</v>
      </c>
      <c r="E8" s="15">
        <f>IF($G$7="aceptado 2",E2,E3)</f>
        <v>8</v>
      </c>
      <c r="F8" s="15">
        <f>IF($G$7="aceptado 2",F2,F3)</f>
        <v>7</v>
      </c>
      <c r="G8" s="6"/>
      <c r="H8" s="7"/>
    </row>
    <row r="9" spans="1:8" ht="15" x14ac:dyDescent="0.3">
      <c r="A9" s="6"/>
      <c r="B9" s="15">
        <f>IF($G$7="aceptado 3",B2,B4)</f>
        <v>2</v>
      </c>
      <c r="C9" s="15">
        <f>IF($G$7="aceptado 3",C2,C4)</f>
        <v>1</v>
      </c>
      <c r="D9" s="15">
        <f>IF($G$7="aceptado 3",D2,D4)</f>
        <v>-5</v>
      </c>
      <c r="E9" s="15">
        <f>IF($G$7="aceptado 3",E2,E4)</f>
        <v>3</v>
      </c>
      <c r="F9" s="15">
        <f>IF($G$7="aceptado 3",F2,F4)</f>
        <v>-14</v>
      </c>
      <c r="G9" s="6"/>
      <c r="H9" s="7"/>
    </row>
    <row r="10" spans="1:8" ht="15" x14ac:dyDescent="0.3">
      <c r="A10" s="6"/>
      <c r="B10" s="15">
        <f>IF($G$7="aceptado 4",B2,B5)</f>
        <v>1</v>
      </c>
      <c r="C10" s="15">
        <f>IF($G$7="aceptado 4",C2,C5)</f>
        <v>1</v>
      </c>
      <c r="D10" s="15">
        <f>IF($G$7="aceptado 4",D2,D5)</f>
        <v>-1</v>
      </c>
      <c r="E10" s="15">
        <f>IF($G$7="aceptado 4",E2,E5)</f>
        <v>2</v>
      </c>
      <c r="F10" s="15">
        <f>IF($G$7="aceptado 4",F2,F5)</f>
        <v>-4</v>
      </c>
      <c r="G10" s="6"/>
      <c r="H10" s="7"/>
    </row>
    <row r="11" spans="1:8" ht="15" x14ac:dyDescent="0.3">
      <c r="A11" s="6"/>
      <c r="B11" s="15"/>
      <c r="C11" s="15"/>
      <c r="D11" s="15"/>
      <c r="E11" s="15"/>
      <c r="F11" s="15"/>
      <c r="G11" s="6"/>
      <c r="H11" s="7"/>
    </row>
    <row r="12" spans="1:8" ht="15" x14ac:dyDescent="0.3">
      <c r="A12" s="91" t="s">
        <v>7</v>
      </c>
      <c r="B12" s="15">
        <f>B7</f>
        <v>3</v>
      </c>
      <c r="C12" s="15">
        <f>C7</f>
        <v>2</v>
      </c>
      <c r="D12" s="15">
        <f>D7</f>
        <v>1</v>
      </c>
      <c r="E12" s="15">
        <f>E7</f>
        <v>-1</v>
      </c>
      <c r="F12" s="15">
        <f>F7</f>
        <v>1</v>
      </c>
      <c r="G12" s="6"/>
      <c r="H12" s="7"/>
    </row>
    <row r="13" spans="1:8" ht="15" x14ac:dyDescent="0.3">
      <c r="A13" s="6"/>
      <c r="B13" s="15">
        <f>B8-($B$8/$B$7)*B7</f>
        <v>0</v>
      </c>
      <c r="C13" s="25">
        <f>C8-($B$8/$B$7)*C7</f>
        <v>4.666666666666667</v>
      </c>
      <c r="D13" s="25">
        <f>D8-($B$8/$B$7)*D7</f>
        <v>-0.66666666666666674</v>
      </c>
      <c r="E13" s="25">
        <f>E8-($B$8/$B$7)*E7</f>
        <v>7.666666666666667</v>
      </c>
      <c r="F13" s="25">
        <f>F8-($B$8/$B$7)*F7</f>
        <v>7.333333333333333</v>
      </c>
      <c r="G13" s="6"/>
      <c r="H13" s="7"/>
    </row>
    <row r="14" spans="1:8" ht="15" x14ac:dyDescent="0.3">
      <c r="A14" s="6"/>
      <c r="B14" s="15">
        <f>B9-($B$9/$B$7)*B7</f>
        <v>0</v>
      </c>
      <c r="C14" s="25">
        <f>C9-($B$9/$B$7)*C7</f>
        <v>-0.33333333333333326</v>
      </c>
      <c r="D14" s="25">
        <f>D9-($B$9/$B$7)*D7</f>
        <v>-5.666666666666667</v>
      </c>
      <c r="E14" s="25">
        <f>E9-($B$9/$B$7)*E7</f>
        <v>3.6666666666666665</v>
      </c>
      <c r="F14" s="25">
        <f>F9-($B$9/$B$7)*F7</f>
        <v>-14.666666666666666</v>
      </c>
      <c r="G14" s="6"/>
      <c r="H14" s="7"/>
    </row>
    <row r="15" spans="1:8" ht="15" x14ac:dyDescent="0.3">
      <c r="A15" s="6"/>
      <c r="B15" s="15">
        <f>B10-($B$10/$B$7)*B7</f>
        <v>0</v>
      </c>
      <c r="C15" s="25">
        <f>C10-($B$10/$B$7)*C7</f>
        <v>0.33333333333333337</v>
      </c>
      <c r="D15" s="25">
        <f>D10-($B$10/$B$7)*D7</f>
        <v>-1.3333333333333333</v>
      </c>
      <c r="E15" s="25">
        <f>E10-($B$10/$B$7)*E7</f>
        <v>2.3333333333333335</v>
      </c>
      <c r="F15" s="25">
        <f>F10-($B$10/$B$7)*F7</f>
        <v>-4.333333333333333</v>
      </c>
      <c r="G15" s="6"/>
      <c r="H15" s="7"/>
    </row>
    <row r="16" spans="1:8" ht="15" x14ac:dyDescent="0.3">
      <c r="A16" s="6"/>
      <c r="B16" s="6"/>
      <c r="C16" s="6"/>
      <c r="D16" s="6"/>
      <c r="E16" s="6"/>
      <c r="F16" s="6"/>
      <c r="G16" s="6"/>
      <c r="H16" s="7"/>
    </row>
    <row r="17" spans="1:8" ht="15" x14ac:dyDescent="0.3">
      <c r="A17" s="89" t="s">
        <v>8</v>
      </c>
      <c r="B17" s="15">
        <f>B12</f>
        <v>3</v>
      </c>
      <c r="C17" s="15">
        <f>C12</f>
        <v>2</v>
      </c>
      <c r="D17" s="15">
        <f>D12</f>
        <v>1</v>
      </c>
      <c r="E17" s="15">
        <f>E12</f>
        <v>-1</v>
      </c>
      <c r="F17" s="15">
        <f>F12</f>
        <v>1</v>
      </c>
      <c r="G17" s="7"/>
      <c r="H17" s="7"/>
    </row>
    <row r="18" spans="1:8" ht="15" x14ac:dyDescent="0.3">
      <c r="A18" s="6"/>
      <c r="B18" s="15">
        <f>IF($C$13=0,IF($C$14=0,IF($C$15=0,"Falla",B15),B14),B13)</f>
        <v>0</v>
      </c>
      <c r="C18" s="25">
        <f>IF($C$13=0,IF($C$14=0,IF($C$15=0,"Falla",C15),C14),C13)</f>
        <v>4.666666666666667</v>
      </c>
      <c r="D18" s="25">
        <f>IF($C$13=0,IF($C$14=0,IF($C$15=0,"Falla",D15),D14),D13)</f>
        <v>-0.66666666666666674</v>
      </c>
      <c r="E18" s="25">
        <f>IF($C$13=0,IF($C$14=0,IF($C$15=0,"Falla",E15),E14),E13)</f>
        <v>7.666666666666667</v>
      </c>
      <c r="F18" s="25">
        <f>IF($C$13=0,IF($C$14=0,IF($C$15=0,"Falla",F15),F14),F13)</f>
        <v>7.333333333333333</v>
      </c>
      <c r="G18" s="6" t="str">
        <f>IF(C18=C13,"aceptado 2",IF(C18=C14,"aceptado 3",IF(C18=C15,"aceptado 4","falla")))</f>
        <v>aceptado 2</v>
      </c>
      <c r="H18" s="7"/>
    </row>
    <row r="19" spans="1:8" ht="15" x14ac:dyDescent="0.3">
      <c r="A19" s="6"/>
      <c r="B19" s="15">
        <f>IF($G$18="aceptado 2",B14,B13)</f>
        <v>0</v>
      </c>
      <c r="C19" s="25">
        <f>IF($G$18="aceptado 2",C14,C13)</f>
        <v>-0.33333333333333326</v>
      </c>
      <c r="D19" s="25">
        <f>IF($G$18="aceptado 2",D14,D13)</f>
        <v>-5.666666666666667</v>
      </c>
      <c r="E19" s="25">
        <f>IF($G$18="aceptado 2",E14,E13)</f>
        <v>3.6666666666666665</v>
      </c>
      <c r="F19" s="25">
        <f>IF($G$18="aceptado 2",F14,F13)</f>
        <v>-14.666666666666666</v>
      </c>
      <c r="G19" s="6"/>
      <c r="H19" s="7"/>
    </row>
    <row r="20" spans="1:8" ht="15" x14ac:dyDescent="0.3">
      <c r="A20" s="6"/>
      <c r="B20" s="15">
        <f>IF($G$18="aceptado 4",B13,B15)</f>
        <v>0</v>
      </c>
      <c r="C20" s="25">
        <f>IF($G$18="aceptado 4",C13,C15)</f>
        <v>0.33333333333333337</v>
      </c>
      <c r="D20" s="25">
        <f>IF($G$18="aceptado 4",D13,D15)</f>
        <v>-1.3333333333333333</v>
      </c>
      <c r="E20" s="25">
        <f>IF($G$18="aceptado 4",E13,E15)</f>
        <v>2.3333333333333335</v>
      </c>
      <c r="F20" s="25">
        <f>IF($G$18="aceptado 4",F13,F15)</f>
        <v>-4.333333333333333</v>
      </c>
      <c r="G20" s="6"/>
      <c r="H20" s="7"/>
    </row>
    <row r="21" spans="1:8" ht="15" x14ac:dyDescent="0.3">
      <c r="A21" s="6"/>
      <c r="B21" s="6"/>
      <c r="C21" s="6"/>
      <c r="D21" s="6"/>
      <c r="E21" s="6"/>
      <c r="F21" s="6"/>
      <c r="G21" s="6"/>
      <c r="H21" s="7"/>
    </row>
    <row r="22" spans="1:8" ht="15" x14ac:dyDescent="0.3">
      <c r="A22" s="91" t="s">
        <v>9</v>
      </c>
      <c r="B22" s="15">
        <f>B17-($C$17/$C$18)*B18</f>
        <v>3</v>
      </c>
      <c r="C22" s="15">
        <f>C17-($C$17/$C$18)*C18</f>
        <v>0</v>
      </c>
      <c r="D22" s="25">
        <f>D17-($C$17/$C$18)*D18</f>
        <v>1.2857142857142858</v>
      </c>
      <c r="E22" s="25">
        <f>E17-($C$17/$C$18)*E18</f>
        <v>-4.2857142857142856</v>
      </c>
      <c r="F22" s="25">
        <f>F17-($C$17/$C$18)*F18</f>
        <v>-2.1428571428571423</v>
      </c>
      <c r="G22" s="6"/>
      <c r="H22" s="7"/>
    </row>
    <row r="23" spans="1:8" ht="15" x14ac:dyDescent="0.3">
      <c r="A23" s="6"/>
      <c r="B23" s="15">
        <f>B18</f>
        <v>0</v>
      </c>
      <c r="C23" s="25">
        <f>C18</f>
        <v>4.666666666666667</v>
      </c>
      <c r="D23" s="25">
        <f>D18</f>
        <v>-0.66666666666666674</v>
      </c>
      <c r="E23" s="25">
        <f>E18</f>
        <v>7.666666666666667</v>
      </c>
      <c r="F23" s="25">
        <f>F18</f>
        <v>7.333333333333333</v>
      </c>
      <c r="G23" s="6"/>
      <c r="H23" s="7"/>
    </row>
    <row r="24" spans="1:8" ht="15" x14ac:dyDescent="0.3">
      <c r="A24" s="6"/>
      <c r="B24" s="15">
        <f>B19-($C$19/$C$18)*B18</f>
        <v>0</v>
      </c>
      <c r="C24" s="15">
        <f>C19-($C$19/$C$18)*C18</f>
        <v>0</v>
      </c>
      <c r="D24" s="25">
        <f>D19-($C$19/$C$18)*D18</f>
        <v>-5.7142857142857144</v>
      </c>
      <c r="E24" s="25">
        <f>E19-($C$19/$C$18)*E18</f>
        <v>4.2142857142857135</v>
      </c>
      <c r="F24" s="25">
        <f>F19-($C$19/$C$18)*F18</f>
        <v>-14.142857142857142</v>
      </c>
      <c r="G24" s="6"/>
      <c r="H24" s="7"/>
    </row>
    <row r="25" spans="1:8" ht="15" x14ac:dyDescent="0.3">
      <c r="A25" s="6"/>
      <c r="B25" s="15">
        <f>B20-($C$20/$C$18)*B18</f>
        <v>0</v>
      </c>
      <c r="C25" s="15">
        <f>C20-($C$20/$C$18)*C18</f>
        <v>0</v>
      </c>
      <c r="D25" s="25">
        <f>D20-($C$20/$C$18)*D18</f>
        <v>-1.2857142857142856</v>
      </c>
      <c r="E25" s="25">
        <f>E20-($C$20/$C$18)*E18</f>
        <v>1.7857142857142858</v>
      </c>
      <c r="F25" s="25">
        <f>F20-($C$20/$C$18)*F18</f>
        <v>-4.8571428571428568</v>
      </c>
      <c r="G25" s="6"/>
      <c r="H25" s="7"/>
    </row>
    <row r="26" spans="1:8" ht="15" x14ac:dyDescent="0.3">
      <c r="A26" s="6"/>
      <c r="B26" s="6"/>
      <c r="C26" s="6"/>
      <c r="D26" s="6"/>
      <c r="E26" s="6"/>
      <c r="F26" s="6"/>
      <c r="G26" s="6"/>
      <c r="H26" s="7"/>
    </row>
    <row r="27" spans="1:8" ht="15" x14ac:dyDescent="0.3">
      <c r="A27" s="89" t="s">
        <v>10</v>
      </c>
      <c r="B27" s="15">
        <f t="shared" ref="B27:F28" si="0">B22</f>
        <v>3</v>
      </c>
      <c r="C27" s="15">
        <f t="shared" si="0"/>
        <v>0</v>
      </c>
      <c r="D27" s="25">
        <f t="shared" si="0"/>
        <v>1.2857142857142858</v>
      </c>
      <c r="E27" s="25">
        <f t="shared" si="0"/>
        <v>-4.2857142857142856</v>
      </c>
      <c r="F27" s="25">
        <f t="shared" si="0"/>
        <v>-2.1428571428571423</v>
      </c>
      <c r="G27" s="7"/>
      <c r="H27" s="7"/>
    </row>
    <row r="28" spans="1:8" ht="15" x14ac:dyDescent="0.3">
      <c r="A28" s="6"/>
      <c r="B28" s="15">
        <f t="shared" si="0"/>
        <v>0</v>
      </c>
      <c r="C28" s="25">
        <f t="shared" si="0"/>
        <v>4.666666666666667</v>
      </c>
      <c r="D28" s="25">
        <f t="shared" si="0"/>
        <v>-0.66666666666666674</v>
      </c>
      <c r="E28" s="25">
        <f t="shared" si="0"/>
        <v>7.666666666666667</v>
      </c>
      <c r="F28" s="25">
        <f t="shared" si="0"/>
        <v>7.333333333333333</v>
      </c>
      <c r="G28" s="6"/>
      <c r="H28" s="7"/>
    </row>
    <row r="29" spans="1:8" ht="15" x14ac:dyDescent="0.3">
      <c r="A29" s="6"/>
      <c r="B29" s="15">
        <f>IF($D$24=0,IF($D$25=0,"falla",B25),B24)</f>
        <v>0</v>
      </c>
      <c r="C29" s="15">
        <f>IF($D$24=0,IF($D$25=0,"falla",C25),C24)</f>
        <v>0</v>
      </c>
      <c r="D29" s="25">
        <f>IF($D$24=0,IF($D$25=0,"falla",D25),D24)</f>
        <v>-5.7142857142857144</v>
      </c>
      <c r="E29" s="25">
        <f>IF($D$24=0,IF($D$25=0,"falla",E25),E24)</f>
        <v>4.2142857142857135</v>
      </c>
      <c r="F29" s="25">
        <f>IF($D$24=0,IF($D$25=0,"falla",F25),F24)</f>
        <v>-14.142857142857142</v>
      </c>
      <c r="G29" s="6" t="str">
        <f>IF(D29=D24,"aceptado 3",IF(D29=D25,"aceptado 4","falla"))</f>
        <v>aceptado 3</v>
      </c>
      <c r="H29" s="7"/>
    </row>
    <row r="30" spans="1:8" ht="15" x14ac:dyDescent="0.3">
      <c r="A30" s="6"/>
      <c r="B30" s="15">
        <f>IF($G$29="aceptado 4",B24,B25)</f>
        <v>0</v>
      </c>
      <c r="C30" s="15">
        <f>IF($G$29="aceptado 4",C24,C25)</f>
        <v>0</v>
      </c>
      <c r="D30" s="25">
        <f>IF($G$29="aceptado 4",D24,D25)</f>
        <v>-1.2857142857142856</v>
      </c>
      <c r="E30" s="25">
        <f>IF($G$29="aceptado 4",E24,E25)</f>
        <v>1.7857142857142858</v>
      </c>
      <c r="F30" s="25">
        <f>IF($G$29="aceptado 4",F24,F25)</f>
        <v>-4.8571428571428568</v>
      </c>
      <c r="G30" s="6"/>
      <c r="H30" s="7"/>
    </row>
    <row r="31" spans="1:8" ht="15" x14ac:dyDescent="0.3">
      <c r="A31" s="6"/>
      <c r="B31" s="6"/>
      <c r="C31" s="6"/>
      <c r="D31" s="6"/>
      <c r="E31" s="6"/>
      <c r="F31" s="6"/>
      <c r="G31" s="6"/>
      <c r="H31" s="7"/>
    </row>
    <row r="32" spans="1:8" ht="15" x14ac:dyDescent="0.3">
      <c r="A32" s="91" t="s">
        <v>11</v>
      </c>
      <c r="B32" s="15">
        <f>B27-($D$27/$D$29)*B29</f>
        <v>3</v>
      </c>
      <c r="C32" s="15">
        <f>C27-($D$27/$D$29)*C29</f>
        <v>0</v>
      </c>
      <c r="D32" s="15">
        <f>D27-($D$27/$D$29)*D29</f>
        <v>0</v>
      </c>
      <c r="E32" s="25">
        <f>E27-($D$27/$D$29)*E29</f>
        <v>-3.3374999999999999</v>
      </c>
      <c r="F32" s="25">
        <f>F27-($D$27/$D$29)*F29</f>
        <v>-5.3249999999999993</v>
      </c>
      <c r="G32" s="6"/>
      <c r="H32" s="7"/>
    </row>
    <row r="33" spans="1:8" ht="15" x14ac:dyDescent="0.3">
      <c r="A33" s="6"/>
      <c r="B33" s="15">
        <f>B28-($D$28/$D$29)*B29</f>
        <v>0</v>
      </c>
      <c r="C33" s="25">
        <f>C28-($D$28/$D$29)*C29</f>
        <v>4.666666666666667</v>
      </c>
      <c r="D33" s="15">
        <f>D28-($D$28/$D$29)*D29</f>
        <v>0</v>
      </c>
      <c r="E33" s="25">
        <f>E28-($D$28/$D$29)*E29</f>
        <v>7.1750000000000007</v>
      </c>
      <c r="F33" s="25">
        <f>F28-($D$28/$D$29)*F29</f>
        <v>8.9833333333333325</v>
      </c>
      <c r="G33" s="6"/>
      <c r="H33" s="7"/>
    </row>
    <row r="34" spans="1:8" ht="15" x14ac:dyDescent="0.3">
      <c r="A34" s="6"/>
      <c r="B34" s="15">
        <f>B29</f>
        <v>0</v>
      </c>
      <c r="C34" s="15">
        <f>C29</f>
        <v>0</v>
      </c>
      <c r="D34" s="25">
        <f>D29</f>
        <v>-5.7142857142857144</v>
      </c>
      <c r="E34" s="25">
        <f>E29</f>
        <v>4.2142857142857135</v>
      </c>
      <c r="F34" s="25">
        <f>F29</f>
        <v>-14.142857142857142</v>
      </c>
      <c r="G34" s="6"/>
      <c r="H34" s="7"/>
    </row>
    <row r="35" spans="1:8" ht="15" x14ac:dyDescent="0.3">
      <c r="A35" s="6"/>
      <c r="B35" s="15">
        <f>B30-($D$30/$D$29)*B29</f>
        <v>0</v>
      </c>
      <c r="C35" s="15">
        <f>C30-($D$30/$D$29)*C29</f>
        <v>0</v>
      </c>
      <c r="D35" s="15">
        <f>D30-($D$30/$D$29)*D29</f>
        <v>0</v>
      </c>
      <c r="E35" s="25">
        <f>E30-($D$30/$D$29)*E29</f>
        <v>0.83750000000000036</v>
      </c>
      <c r="F35" s="25">
        <f>F30-($D$30/$D$29)*F29</f>
        <v>-1.6750000000000003</v>
      </c>
      <c r="G35" s="6"/>
      <c r="H35" s="7"/>
    </row>
    <row r="36" spans="1:8" ht="15" x14ac:dyDescent="0.3">
      <c r="A36" s="6"/>
      <c r="B36" s="6"/>
      <c r="C36" s="6"/>
      <c r="D36" s="6"/>
      <c r="E36" s="6"/>
      <c r="F36" s="6"/>
      <c r="G36" s="6"/>
      <c r="H36" s="7"/>
    </row>
    <row r="37" spans="1:8" ht="15" x14ac:dyDescent="0.3">
      <c r="A37" s="89" t="s">
        <v>12</v>
      </c>
      <c r="B37" s="83">
        <f t="shared" ref="B37:F39" si="1">B32</f>
        <v>3</v>
      </c>
      <c r="C37" s="83">
        <f t="shared" si="1"/>
        <v>0</v>
      </c>
      <c r="D37" s="83">
        <f t="shared" si="1"/>
        <v>0</v>
      </c>
      <c r="E37" s="41">
        <f t="shared" si="1"/>
        <v>-3.3374999999999999</v>
      </c>
      <c r="F37" s="41">
        <f t="shared" si="1"/>
        <v>-5.3249999999999993</v>
      </c>
      <c r="G37" s="6"/>
      <c r="H37" s="7"/>
    </row>
    <row r="38" spans="1:8" ht="15" x14ac:dyDescent="0.3">
      <c r="A38" s="6"/>
      <c r="B38" s="83">
        <f t="shared" si="1"/>
        <v>0</v>
      </c>
      <c r="C38" s="41">
        <f t="shared" si="1"/>
        <v>4.666666666666667</v>
      </c>
      <c r="D38" s="83">
        <f t="shared" si="1"/>
        <v>0</v>
      </c>
      <c r="E38" s="41">
        <f t="shared" si="1"/>
        <v>7.1750000000000007</v>
      </c>
      <c r="F38" s="41">
        <f t="shared" si="1"/>
        <v>8.9833333333333325</v>
      </c>
      <c r="G38" s="6"/>
      <c r="H38" s="7"/>
    </row>
    <row r="39" spans="1:8" ht="15" x14ac:dyDescent="0.3">
      <c r="A39" s="6"/>
      <c r="B39" s="83">
        <f t="shared" si="1"/>
        <v>0</v>
      </c>
      <c r="C39" s="46">
        <f t="shared" si="1"/>
        <v>0</v>
      </c>
      <c r="D39" s="41">
        <f t="shared" si="1"/>
        <v>-5.7142857142857144</v>
      </c>
      <c r="E39" s="41">
        <f t="shared" si="1"/>
        <v>4.2142857142857135</v>
      </c>
      <c r="F39" s="41">
        <f t="shared" si="1"/>
        <v>-14.142857142857142</v>
      </c>
      <c r="G39" s="6"/>
      <c r="H39" s="7"/>
    </row>
    <row r="40" spans="1:8" ht="15" x14ac:dyDescent="0.3">
      <c r="A40" s="6"/>
      <c r="B40" s="83">
        <f>IF($E$35=0,"falla",B35)</f>
        <v>0</v>
      </c>
      <c r="C40" s="83">
        <f>IF($E$35=0,"falla",C35)</f>
        <v>0</v>
      </c>
      <c r="D40" s="83">
        <f>IF($E$35=0,"falla",D35)</f>
        <v>0</v>
      </c>
      <c r="E40" s="41">
        <f>IF($E$35=0,"falla",E35)</f>
        <v>0.83750000000000036</v>
      </c>
      <c r="F40" s="41">
        <f>IF($E$35=0,"falla",F35)</f>
        <v>-1.6750000000000003</v>
      </c>
      <c r="G40" s="6"/>
      <c r="H40" s="7"/>
    </row>
    <row r="41" spans="1:8" ht="15" x14ac:dyDescent="0.3">
      <c r="A41" s="6"/>
      <c r="B41" s="6"/>
      <c r="C41" s="6"/>
      <c r="D41" s="6"/>
      <c r="E41" s="21"/>
      <c r="F41" s="21"/>
      <c r="G41" s="6"/>
      <c r="H41" s="7"/>
    </row>
    <row r="42" spans="1:8" ht="15" x14ac:dyDescent="0.3">
      <c r="A42" s="90" t="s">
        <v>13</v>
      </c>
      <c r="B42" s="83">
        <f>B37-($E$37/$E$40)*B40</f>
        <v>3</v>
      </c>
      <c r="C42" s="83">
        <f>C37-($E$37/$E$40)*C40</f>
        <v>0</v>
      </c>
      <c r="D42" s="83">
        <f>D37-($E$37/$E$40)*D40</f>
        <v>0</v>
      </c>
      <c r="E42" s="83">
        <f>E37-($E$37/$E$40)*E40</f>
        <v>0</v>
      </c>
      <c r="F42" s="83">
        <f>F37-($E$37/$E$40)*F40</f>
        <v>-11.999999999999996</v>
      </c>
      <c r="G42" s="6"/>
      <c r="H42" s="7"/>
    </row>
    <row r="43" spans="1:8" ht="15" x14ac:dyDescent="0.3">
      <c r="A43" s="6"/>
      <c r="B43" s="83">
        <f>B38-($E$38/$E$40)*B40</f>
        <v>0</v>
      </c>
      <c r="C43" s="41">
        <f>C38-($E$38/$E$40)*C40</f>
        <v>4.666666666666667</v>
      </c>
      <c r="D43" s="83">
        <f>D38-($E$38/$E$40)*D40</f>
        <v>0</v>
      </c>
      <c r="E43" s="83">
        <f>E38-($E$38/$E$40)*E40</f>
        <v>0</v>
      </c>
      <c r="F43" s="41">
        <f>F38-($E$38/$E$40)*F40</f>
        <v>23.333333333333329</v>
      </c>
      <c r="G43" s="6"/>
      <c r="H43" s="7"/>
    </row>
    <row r="44" spans="1:8" ht="15" x14ac:dyDescent="0.3">
      <c r="A44" s="6"/>
      <c r="B44" s="83">
        <f>B39-($E$39/$E$40)*B40</f>
        <v>0</v>
      </c>
      <c r="C44" s="83">
        <f>C39-($E$39/$E$40)*C40</f>
        <v>0</v>
      </c>
      <c r="D44" s="41">
        <f>D39-($E$39/$E$40)*D40</f>
        <v>-5.7142857142857144</v>
      </c>
      <c r="E44" s="83">
        <f>E39-($E$39/$E$40)*E40</f>
        <v>0</v>
      </c>
      <c r="F44" s="41">
        <f>F39-($E$39/$E$40)*F40</f>
        <v>-5.7142857142857171</v>
      </c>
      <c r="G44" s="6"/>
      <c r="H44" s="7"/>
    </row>
    <row r="45" spans="1:8" ht="15" x14ac:dyDescent="0.3">
      <c r="A45" s="6"/>
      <c r="B45" s="83">
        <f>B40</f>
        <v>0</v>
      </c>
      <c r="C45" s="83">
        <f>C40</f>
        <v>0</v>
      </c>
      <c r="D45" s="83">
        <f>D40</f>
        <v>0</v>
      </c>
      <c r="E45" s="41">
        <f>E40</f>
        <v>0.83750000000000036</v>
      </c>
      <c r="F45" s="41">
        <f>F40</f>
        <v>-1.6750000000000003</v>
      </c>
      <c r="G45" s="6"/>
      <c r="H45" s="7"/>
    </row>
    <row r="46" spans="1:8" ht="16.2" thickBot="1" x14ac:dyDescent="0.35">
      <c r="A46" s="6"/>
      <c r="B46" s="6"/>
      <c r="C46" s="6"/>
      <c r="D46" s="6"/>
      <c r="E46" s="21"/>
      <c r="F46" s="32" t="s">
        <v>14</v>
      </c>
      <c r="G46" s="6"/>
      <c r="H46" s="7"/>
    </row>
    <row r="47" spans="1:8" ht="16.2" thickBot="1" x14ac:dyDescent="0.35">
      <c r="A47" s="26" t="s">
        <v>15</v>
      </c>
      <c r="B47" s="6">
        <f>B42/$B$42</f>
        <v>1</v>
      </c>
      <c r="C47" s="6">
        <f>C42/$B$42</f>
        <v>0</v>
      </c>
      <c r="D47" s="6">
        <f>D42/$B$42</f>
        <v>0</v>
      </c>
      <c r="E47" s="6">
        <f>E42/$B$42</f>
        <v>0</v>
      </c>
      <c r="F47" s="78">
        <f>F42/$B$42</f>
        <v>-3.9999999999999987</v>
      </c>
      <c r="G47" s="6"/>
      <c r="H47" s="7"/>
    </row>
    <row r="48" spans="1:8" ht="16.2" thickBot="1" x14ac:dyDescent="0.35">
      <c r="A48" s="6"/>
      <c r="B48" s="6">
        <f>B43/$C$43</f>
        <v>0</v>
      </c>
      <c r="C48" s="6">
        <f>C43/$C$43</f>
        <v>1</v>
      </c>
      <c r="D48" s="6">
        <f>D43/$C$43</f>
        <v>0</v>
      </c>
      <c r="E48" s="6">
        <f>E43/$C$43</f>
        <v>0</v>
      </c>
      <c r="F48" s="78">
        <f>F43/$C$43</f>
        <v>4.9999999999999982</v>
      </c>
      <c r="G48" s="6"/>
      <c r="H48" s="7"/>
    </row>
    <row r="49" spans="1:8" ht="16.2" thickBot="1" x14ac:dyDescent="0.35">
      <c r="A49" s="6"/>
      <c r="B49" s="6">
        <f>B44/$D$44</f>
        <v>0</v>
      </c>
      <c r="C49" s="6">
        <f>C44/$D$44</f>
        <v>0</v>
      </c>
      <c r="D49" s="6">
        <f>D44/$D$44</f>
        <v>1</v>
      </c>
      <c r="E49" s="6">
        <f>E44/$D$44</f>
        <v>0</v>
      </c>
      <c r="F49" s="78">
        <f>F44/$D$44</f>
        <v>1.0000000000000004</v>
      </c>
      <c r="G49" s="6"/>
      <c r="H49" s="7"/>
    </row>
    <row r="50" spans="1:8" ht="16.2" thickBot="1" x14ac:dyDescent="0.35">
      <c r="A50" s="6"/>
      <c r="B50" s="6">
        <f>B45/$E$45</f>
        <v>0</v>
      </c>
      <c r="C50" s="6">
        <f>C45/$E$45</f>
        <v>0</v>
      </c>
      <c r="D50" s="6">
        <f>D45/$E$45</f>
        <v>0</v>
      </c>
      <c r="E50" s="6">
        <f>E45/$E$45</f>
        <v>1</v>
      </c>
      <c r="F50" s="78">
        <f>F45/$E$45</f>
        <v>-1.9999999999999996</v>
      </c>
      <c r="G50" s="6"/>
      <c r="H50" s="7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7CBEE-ED3A-4D50-B95D-D48A1F133D25}">
  <dimension ref="A1:K54"/>
  <sheetViews>
    <sheetView tabSelected="1" topLeftCell="A11" zoomScaleNormal="100" workbookViewId="0">
      <selection activeCell="B20" sqref="B20"/>
    </sheetView>
  </sheetViews>
  <sheetFormatPr baseColWidth="10" defaultColWidth="11.44140625" defaultRowHeight="14.4" x14ac:dyDescent="0.3"/>
  <cols>
    <col min="1" max="1" width="18.6640625" bestFit="1" customWidth="1"/>
    <col min="2" max="6" width="10.6640625" customWidth="1"/>
    <col min="7" max="7" width="12" bestFit="1" customWidth="1"/>
    <col min="8" max="8" width="15.109375" bestFit="1" customWidth="1"/>
    <col min="9" max="9" width="32" customWidth="1"/>
  </cols>
  <sheetData>
    <row r="1" spans="1:11" ht="15.6" x14ac:dyDescent="0.3">
      <c r="A1" s="17" t="s">
        <v>0</v>
      </c>
      <c r="B1" s="6"/>
      <c r="C1" s="6" t="s">
        <v>1</v>
      </c>
      <c r="D1" s="6"/>
      <c r="E1" s="6"/>
      <c r="F1" s="6" t="s">
        <v>2</v>
      </c>
      <c r="G1" s="6" t="s">
        <v>3</v>
      </c>
      <c r="H1" s="23" t="s">
        <v>4</v>
      </c>
      <c r="I1" s="3"/>
      <c r="J1" s="4"/>
    </row>
    <row r="2" spans="1:11" ht="15.6" x14ac:dyDescent="0.3">
      <c r="A2" s="6"/>
      <c r="B2" s="5">
        <v>0</v>
      </c>
      <c r="C2" s="5">
        <v>0</v>
      </c>
      <c r="D2" s="5">
        <v>1</v>
      </c>
      <c r="E2" s="28">
        <v>1</v>
      </c>
      <c r="F2" s="29">
        <v>2</v>
      </c>
      <c r="G2" s="6"/>
      <c r="H2" s="18" t="e">
        <f t="array" ref="H2:H5">MMULT(B2:E5,F47:F50)</f>
        <v>#VALUE!</v>
      </c>
      <c r="I2" s="3"/>
      <c r="J2" s="3"/>
    </row>
    <row r="3" spans="1:11" ht="15.6" x14ac:dyDescent="0.3">
      <c r="A3" s="6"/>
      <c r="B3" s="5">
        <v>1</v>
      </c>
      <c r="C3" s="5">
        <v>0</v>
      </c>
      <c r="D3" s="5">
        <v>0</v>
      </c>
      <c r="E3" s="28">
        <v>1</v>
      </c>
      <c r="F3" s="29">
        <v>2</v>
      </c>
      <c r="G3" s="6"/>
      <c r="H3" s="18" t="e">
        <v>#VALUE!</v>
      </c>
      <c r="I3" s="3" t="s">
        <v>5</v>
      </c>
      <c r="J3" s="3"/>
    </row>
    <row r="4" spans="1:11" ht="15.6" x14ac:dyDescent="0.3">
      <c r="A4" s="6"/>
      <c r="B4" s="5">
        <v>1</v>
      </c>
      <c r="C4" s="5">
        <v>4</v>
      </c>
      <c r="D4" s="5">
        <v>0</v>
      </c>
      <c r="E4" s="28">
        <v>-1</v>
      </c>
      <c r="F4" s="29">
        <v>4</v>
      </c>
      <c r="G4" s="6"/>
      <c r="H4" s="18" t="e">
        <v>#VALUE!</v>
      </c>
      <c r="I4" s="3"/>
      <c r="J4" s="3"/>
    </row>
    <row r="5" spans="1:11" ht="15.6" x14ac:dyDescent="0.3">
      <c r="A5" s="6"/>
      <c r="B5" s="5">
        <v>1</v>
      </c>
      <c r="C5" s="5">
        <v>0</v>
      </c>
      <c r="D5" s="5">
        <v>1</v>
      </c>
      <c r="E5" s="28">
        <v>0</v>
      </c>
      <c r="F5" s="29">
        <v>2</v>
      </c>
      <c r="G5" s="7"/>
      <c r="H5" s="18" t="e">
        <v>#VALUE!</v>
      </c>
      <c r="I5" s="4"/>
      <c r="J5" s="3"/>
    </row>
    <row r="6" spans="1:11" ht="15.6" x14ac:dyDescent="0.3">
      <c r="A6" s="6"/>
      <c r="B6" s="6"/>
      <c r="C6" s="6"/>
      <c r="D6" s="6"/>
      <c r="E6" s="6"/>
      <c r="F6" s="6"/>
      <c r="G6" s="6"/>
      <c r="H6" s="7"/>
      <c r="I6" s="4"/>
      <c r="J6" s="3"/>
    </row>
    <row r="7" spans="1:11" ht="15.6" x14ac:dyDescent="0.3">
      <c r="A7" s="89" t="s">
        <v>6</v>
      </c>
      <c r="B7" s="15">
        <f>IF($B$2=0,IF($B$3=0,IF($B$4=0,IF($B$5=0,"Falla",B5),B4),B3),B2)</f>
        <v>1</v>
      </c>
      <c r="C7" s="15">
        <f>IF($B$2=0,IF($B$3=0,IF($B$4=0,IF($B$5=0,"Falla",C5),C4),C3),C2)</f>
        <v>0</v>
      </c>
      <c r="D7" s="15">
        <f>IF($B$2=0,IF($B$3=0,IF($B$4=0,IF($B$5=0,"Falla",D5),D4),D3),D2)</f>
        <v>0</v>
      </c>
      <c r="E7" s="15">
        <f>IF($B$2=0,IF($B$3=0,IF($B$4=0,IF($B$5=0,"Falla",E5),E4),E3),E2)</f>
        <v>1</v>
      </c>
      <c r="F7" s="15">
        <f>IF($B$2=0,IF($B$3=0,IF($B$4=0,IF($B$5=0,"Falla",F5),F4),F3),F2)</f>
        <v>2</v>
      </c>
      <c r="G7" s="6" t="str">
        <f>IF(B7=B2,"aceptado 1",IF(B7=B3,"aceptado 2",IF(B7=B4,"aceptado 3",IF(B7=B5,"aceptado 4","falla"))))</f>
        <v>aceptado 2</v>
      </c>
      <c r="H7" s="7"/>
      <c r="I7" s="4"/>
      <c r="J7" s="3"/>
    </row>
    <row r="8" spans="1:11" ht="15.6" x14ac:dyDescent="0.3">
      <c r="A8" s="6"/>
      <c r="B8" s="15">
        <f>IF($G$7="aceptado 2",B2,B3)</f>
        <v>0</v>
      </c>
      <c r="C8" s="15">
        <f>IF($G$7="aceptado 2",C2,C3)</f>
        <v>0</v>
      </c>
      <c r="D8" s="15">
        <f>IF($G$7="aceptado 2",D2,D3)</f>
        <v>1</v>
      </c>
      <c r="E8" s="15">
        <f>IF($G$7="aceptado 2",E2,E3)</f>
        <v>1</v>
      </c>
      <c r="F8" s="15">
        <f>IF($G$7="aceptado 2",F2,F3)</f>
        <v>2</v>
      </c>
      <c r="G8" s="6"/>
      <c r="H8" s="7"/>
      <c r="I8" s="4"/>
      <c r="J8" s="3"/>
    </row>
    <row r="9" spans="1:11" ht="15.6" x14ac:dyDescent="0.3">
      <c r="A9" s="6"/>
      <c r="B9" s="15">
        <f>IF($G$7="aceptado 3",B2,B4)</f>
        <v>1</v>
      </c>
      <c r="C9" s="15">
        <f>IF($G$7="aceptado 3",C2,C4)</f>
        <v>4</v>
      </c>
      <c r="D9" s="15">
        <f>IF($G$7="aceptado 3",D2,D4)</f>
        <v>0</v>
      </c>
      <c r="E9" s="15">
        <f>IF($G$7="aceptado 3",E2,E4)</f>
        <v>-1</v>
      </c>
      <c r="F9" s="15">
        <f>IF($G$7="aceptado 3",F2,F4)</f>
        <v>4</v>
      </c>
      <c r="G9" s="6"/>
      <c r="H9" s="7"/>
      <c r="I9" s="4"/>
      <c r="J9" s="3"/>
    </row>
    <row r="10" spans="1:11" ht="15.6" x14ac:dyDescent="0.3">
      <c r="A10" s="6"/>
      <c r="B10" s="15">
        <f>IF($G$7="aceptado 4",B2,B5)</f>
        <v>1</v>
      </c>
      <c r="C10" s="15">
        <f>IF($G$7="aceptado 4",C2,C5)</f>
        <v>0</v>
      </c>
      <c r="D10" s="15">
        <f>IF($G$7="aceptado 4",D2,D5)</f>
        <v>1</v>
      </c>
      <c r="E10" s="15">
        <f>IF($G$7="aceptado 4",E2,E5)</f>
        <v>0</v>
      </c>
      <c r="F10" s="15">
        <f>IF($G$7="aceptado 4",F2,F5)</f>
        <v>2</v>
      </c>
      <c r="G10" s="6"/>
      <c r="H10" s="7"/>
      <c r="I10" s="4"/>
      <c r="J10" s="3"/>
    </row>
    <row r="11" spans="1:11" ht="15.6" x14ac:dyDescent="0.3">
      <c r="A11" s="6"/>
      <c r="B11" s="15"/>
      <c r="C11" s="15"/>
      <c r="D11" s="15"/>
      <c r="E11" s="15"/>
      <c r="F11" s="15"/>
      <c r="G11" s="6"/>
      <c r="H11" s="7"/>
      <c r="I11" s="4"/>
      <c r="J11" s="3"/>
    </row>
    <row r="12" spans="1:11" ht="15.6" x14ac:dyDescent="0.3">
      <c r="A12" s="91" t="s">
        <v>7</v>
      </c>
      <c r="B12" s="15">
        <f>B7</f>
        <v>1</v>
      </c>
      <c r="C12" s="15">
        <f>C7</f>
        <v>0</v>
      </c>
      <c r="D12" s="15">
        <f>D7</f>
        <v>0</v>
      </c>
      <c r="E12" s="15">
        <f>E7</f>
        <v>1</v>
      </c>
      <c r="F12" s="15">
        <f>F7</f>
        <v>2</v>
      </c>
      <c r="G12" s="6"/>
      <c r="H12" s="7"/>
      <c r="I12" s="4"/>
      <c r="J12" s="3"/>
      <c r="K12" s="4" t="s">
        <v>26</v>
      </c>
    </row>
    <row r="13" spans="1:11" ht="15.6" x14ac:dyDescent="0.3">
      <c r="A13" s="6"/>
      <c r="B13" s="15">
        <f>B8-($B$8/$B$7)*B7</f>
        <v>0</v>
      </c>
      <c r="C13" s="15">
        <f>C8-($B$8/$B$7)*C7</f>
        <v>0</v>
      </c>
      <c r="D13" s="15">
        <f>D8-($B$8/$B$7)*D7</f>
        <v>1</v>
      </c>
      <c r="E13" s="15">
        <f>E8-($B$8/$B$7)*E7</f>
        <v>1</v>
      </c>
      <c r="F13" s="15">
        <f>F8-($B$8/$B$7)*F7</f>
        <v>2</v>
      </c>
      <c r="G13" s="6"/>
      <c r="H13" s="7"/>
      <c r="I13" s="4" t="s">
        <v>27</v>
      </c>
      <c r="J13" s="3"/>
    </row>
    <row r="14" spans="1:11" ht="15.6" x14ac:dyDescent="0.3">
      <c r="A14" s="6"/>
      <c r="B14" s="15">
        <f>B9-($B$9/$B$7)*B7</f>
        <v>0</v>
      </c>
      <c r="C14" s="15">
        <f>C9-($B$9/$B$7)*C7</f>
        <v>4</v>
      </c>
      <c r="D14" s="15">
        <f>D9-($B$9/$B$7)*D7</f>
        <v>0</v>
      </c>
      <c r="E14" s="15">
        <f>E9-($B$9/$B$7)*E7</f>
        <v>-2</v>
      </c>
      <c r="F14" s="15">
        <f>F9-($B$9/$B$7)*F7</f>
        <v>2</v>
      </c>
      <c r="G14" s="6"/>
      <c r="H14" s="7"/>
      <c r="I14" s="4"/>
      <c r="J14" s="3"/>
    </row>
    <row r="15" spans="1:11" ht="15.6" x14ac:dyDescent="0.3">
      <c r="A15" s="6"/>
      <c r="B15" s="15">
        <f>B10-($B$10/$B$7)*B7</f>
        <v>0</v>
      </c>
      <c r="C15" s="15">
        <f>C10-($B$10/$B$7)*C7</f>
        <v>0</v>
      </c>
      <c r="D15" s="15">
        <f>D10-($B$10/$B$7)*D7</f>
        <v>1</v>
      </c>
      <c r="E15" s="15">
        <f>E10-($B$10/$B$7)*E7</f>
        <v>-1</v>
      </c>
      <c r="F15" s="15">
        <f>F10-($B$10/$B$7)*F7</f>
        <v>0</v>
      </c>
      <c r="G15" s="6"/>
      <c r="H15" s="7"/>
      <c r="I15" s="4" t="s">
        <v>28</v>
      </c>
      <c r="J15" s="3"/>
    </row>
    <row r="16" spans="1:11" ht="15.6" x14ac:dyDescent="0.3">
      <c r="A16" s="6"/>
      <c r="B16" s="15"/>
      <c r="C16" s="15"/>
      <c r="D16" s="15"/>
      <c r="E16" s="15"/>
      <c r="F16" s="15"/>
      <c r="G16" s="6"/>
      <c r="H16" s="7"/>
      <c r="I16" s="19" t="s">
        <v>29</v>
      </c>
      <c r="J16" s="3"/>
    </row>
    <row r="17" spans="1:10" ht="15.6" x14ac:dyDescent="0.3">
      <c r="A17" s="89" t="s">
        <v>8</v>
      </c>
      <c r="B17" s="15">
        <f>B12</f>
        <v>1</v>
      </c>
      <c r="C17" s="15">
        <f>C12</f>
        <v>0</v>
      </c>
      <c r="D17" s="15">
        <f>D12</f>
        <v>0</v>
      </c>
      <c r="E17" s="15">
        <f>E12</f>
        <v>1</v>
      </c>
      <c r="F17" s="15">
        <f>F12</f>
        <v>2</v>
      </c>
      <c r="G17" s="7"/>
      <c r="H17" s="7"/>
      <c r="I17" s="4"/>
      <c r="J17" s="3"/>
    </row>
    <row r="18" spans="1:10" ht="15.6" x14ac:dyDescent="0.3">
      <c r="A18" s="6"/>
      <c r="B18" s="15">
        <f>IF($C$13=0,IF($C$14=0,IF($C$15=0,"Falla",B15),B14),B13)</f>
        <v>0</v>
      </c>
      <c r="C18" s="15">
        <f>IF($C$13=0,IF($C$14=0,IF($C$15=0,"Falla",C15),C14),C13)</f>
        <v>4</v>
      </c>
      <c r="D18" s="15">
        <f>IF($C$13=0,IF($C$14=0,IF($C$15=0,"Falla",D15),D14),D13)</f>
        <v>0</v>
      </c>
      <c r="E18" s="15">
        <f>IF($C$13=0,IF($C$14=0,IF($C$15=0,"Falla",E15),E14),E13)</f>
        <v>-2</v>
      </c>
      <c r="F18" s="15">
        <f>IF($C$13=0,IF($C$14=0,IF($C$15=0,"Falla",F15),F14),F13)</f>
        <v>2</v>
      </c>
      <c r="G18" s="6" t="str">
        <f>IF(C18=C13,"aceptado 2",IF(C18=C14,"aceptado 3",IF(C18=C15,"aceptado 4","falla")))</f>
        <v>aceptado 3</v>
      </c>
      <c r="H18" s="7"/>
      <c r="I18" s="4"/>
      <c r="J18" s="3"/>
    </row>
    <row r="19" spans="1:10" ht="15.6" x14ac:dyDescent="0.3">
      <c r="A19" s="6"/>
      <c r="B19" s="15">
        <f>IF($G$18="aceptado 2",B14,B13)</f>
        <v>0</v>
      </c>
      <c r="C19" s="15">
        <f>IF($G$18="aceptado 2",C14,C13)</f>
        <v>0</v>
      </c>
      <c r="D19" s="15">
        <f>IF($G$18="aceptado 2",D14,D13)</f>
        <v>1</v>
      </c>
      <c r="E19" s="15">
        <f>IF($G$18="aceptado 2",E14,E13)</f>
        <v>1</v>
      </c>
      <c r="F19" s="15">
        <f>IF($G$18="aceptado 2",F14,F13)</f>
        <v>2</v>
      </c>
      <c r="G19" s="6"/>
      <c r="H19" s="7"/>
      <c r="I19" s="4"/>
      <c r="J19" s="3"/>
    </row>
    <row r="20" spans="1:10" ht="15.6" x14ac:dyDescent="0.3">
      <c r="A20" s="6"/>
      <c r="B20" s="15" t="s">
        <v>37</v>
      </c>
      <c r="C20" s="15">
        <f>IF($G$18="aceptado 4",C13,C15)</f>
        <v>0</v>
      </c>
      <c r="D20" s="15">
        <f>IF($G$18="aceptado 4",D13,D15)</f>
        <v>1</v>
      </c>
      <c r="E20" s="15">
        <f>IF($G$18="aceptado 4",E13,E15)</f>
        <v>-1</v>
      </c>
      <c r="F20" s="15">
        <f>IF($G$18="aceptado 4",F13,F15)</f>
        <v>0</v>
      </c>
      <c r="G20" s="6"/>
      <c r="H20" s="7"/>
      <c r="I20" s="4"/>
      <c r="J20" s="3"/>
    </row>
    <row r="21" spans="1:10" ht="15.6" x14ac:dyDescent="0.3">
      <c r="A21" s="6"/>
      <c r="B21" s="15"/>
      <c r="C21" s="15"/>
      <c r="D21" s="15"/>
      <c r="E21" s="15"/>
      <c r="F21" s="15"/>
      <c r="G21" s="6"/>
      <c r="H21" s="7"/>
      <c r="I21" s="4"/>
      <c r="J21" s="3"/>
    </row>
    <row r="22" spans="1:10" ht="15.6" x14ac:dyDescent="0.3">
      <c r="A22" s="91" t="s">
        <v>9</v>
      </c>
      <c r="B22" s="15">
        <f>B17-($C$17/$C$18)*B18</f>
        <v>1</v>
      </c>
      <c r="C22" s="15">
        <f>C17-($C$17/$C$18)*C18</f>
        <v>0</v>
      </c>
      <c r="D22" s="15">
        <f>D17-($C$17/$C$18)*D18</f>
        <v>0</v>
      </c>
      <c r="E22" s="15">
        <f>E17-($C$17/$C$18)*E18</f>
        <v>1</v>
      </c>
      <c r="F22" s="15">
        <f>F17-($C$17/$C$18)*F18</f>
        <v>2</v>
      </c>
      <c r="G22" s="6"/>
      <c r="H22" s="7"/>
      <c r="I22" s="4"/>
      <c r="J22" s="3"/>
    </row>
    <row r="23" spans="1:10" ht="15.6" x14ac:dyDescent="0.3">
      <c r="A23" s="6"/>
      <c r="B23" s="15">
        <f>B18</f>
        <v>0</v>
      </c>
      <c r="C23" s="15">
        <f>C18</f>
        <v>4</v>
      </c>
      <c r="D23" s="15">
        <f>D18</f>
        <v>0</v>
      </c>
      <c r="E23" s="15">
        <f>E18</f>
        <v>-2</v>
      </c>
      <c r="F23" s="15">
        <f>F18</f>
        <v>2</v>
      </c>
      <c r="G23" s="6"/>
      <c r="H23" s="7"/>
      <c r="I23" s="3"/>
      <c r="J23" s="3"/>
    </row>
    <row r="24" spans="1:10" ht="15.6" x14ac:dyDescent="0.3">
      <c r="A24" s="6"/>
      <c r="B24" s="15">
        <f>B19-($C$19/$C$18)*B18</f>
        <v>0</v>
      </c>
      <c r="C24" s="15">
        <f>C19-($C$19/$C$18)*C18</f>
        <v>0</v>
      </c>
      <c r="D24" s="15">
        <f>D19-($C$19/$C$18)*D18</f>
        <v>1</v>
      </c>
      <c r="E24" s="15">
        <f>E19-($C$19/$C$18)*E18</f>
        <v>1</v>
      </c>
      <c r="F24" s="15">
        <f>F19-($C$19/$C$18)*F18</f>
        <v>2</v>
      </c>
      <c r="G24" s="6"/>
      <c r="H24" s="7"/>
      <c r="I24" s="4"/>
      <c r="J24" s="3"/>
    </row>
    <row r="25" spans="1:10" ht="15.6" x14ac:dyDescent="0.3">
      <c r="A25" s="6"/>
      <c r="B25" s="15" t="e">
        <f>B20-($C$20/$C$18)*B18</f>
        <v>#VALUE!</v>
      </c>
      <c r="C25" s="15">
        <f>C20-($C$20/$C$18)*C18</f>
        <v>0</v>
      </c>
      <c r="D25" s="15">
        <f>D20-($C$20/$C$18)*D18</f>
        <v>1</v>
      </c>
      <c r="E25" s="15">
        <f>E20-($C$20/$C$18)*E18</f>
        <v>-1</v>
      </c>
      <c r="F25" s="15">
        <f>F20-($C$20/$C$18)*F18</f>
        <v>0</v>
      </c>
      <c r="G25" s="6"/>
      <c r="H25" s="7"/>
      <c r="I25" s="4"/>
      <c r="J25" s="3"/>
    </row>
    <row r="26" spans="1:10" ht="15.6" x14ac:dyDescent="0.3">
      <c r="A26" s="6"/>
      <c r="B26" s="15"/>
      <c r="C26" s="15"/>
      <c r="D26" s="15"/>
      <c r="E26" s="15"/>
      <c r="F26" s="15"/>
      <c r="G26" s="6"/>
      <c r="H26" s="7"/>
      <c r="I26" s="3"/>
      <c r="J26" s="3"/>
    </row>
    <row r="27" spans="1:10" ht="15.6" x14ac:dyDescent="0.3">
      <c r="A27" s="89" t="s">
        <v>10</v>
      </c>
      <c r="B27" s="15">
        <f t="shared" ref="B27:F28" si="0">B22</f>
        <v>1</v>
      </c>
      <c r="C27" s="15">
        <f t="shared" si="0"/>
        <v>0</v>
      </c>
      <c r="D27" s="15">
        <f t="shared" si="0"/>
        <v>0</v>
      </c>
      <c r="E27" s="15">
        <f t="shared" si="0"/>
        <v>1</v>
      </c>
      <c r="F27" s="15">
        <f t="shared" si="0"/>
        <v>2</v>
      </c>
      <c r="G27" s="7"/>
      <c r="H27" s="7"/>
      <c r="I27" s="3"/>
      <c r="J27" s="3"/>
    </row>
    <row r="28" spans="1:10" ht="15.6" x14ac:dyDescent="0.3">
      <c r="A28" s="6"/>
      <c r="B28" s="15">
        <f t="shared" si="0"/>
        <v>0</v>
      </c>
      <c r="C28" s="15">
        <f t="shared" si="0"/>
        <v>4</v>
      </c>
      <c r="D28" s="15">
        <f t="shared" si="0"/>
        <v>0</v>
      </c>
      <c r="E28" s="15">
        <f t="shared" si="0"/>
        <v>-2</v>
      </c>
      <c r="F28" s="15">
        <f t="shared" si="0"/>
        <v>2</v>
      </c>
      <c r="G28" s="6"/>
      <c r="H28" s="7"/>
      <c r="I28" s="3"/>
      <c r="J28" s="3"/>
    </row>
    <row r="29" spans="1:10" ht="15.6" x14ac:dyDescent="0.3">
      <c r="A29" s="6"/>
      <c r="B29" s="15">
        <f>IF($D$24=0,IF($D$25=0,"falla",B25),B24)</f>
        <v>0</v>
      </c>
      <c r="C29" s="15">
        <f>IF($D$24=0,IF($D$25=0,"falla",C25),C24)</f>
        <v>0</v>
      </c>
      <c r="D29" s="15">
        <f>IF($D$24=0,IF($D$25=0,"falla",D25),D24)</f>
        <v>1</v>
      </c>
      <c r="E29" s="15">
        <f>IF($D$24=0,IF($D$25=0,"falla",E25),E24)</f>
        <v>1</v>
      </c>
      <c r="F29" s="15">
        <f>IF($D$24=0,IF($D$25=0,"falla",F25),F24)</f>
        <v>2</v>
      </c>
      <c r="G29" s="6" t="str">
        <f>IF(D29=D24,"aceptado 3",IF(D29=D25,"aceptado 4","falla"))</f>
        <v>aceptado 3</v>
      </c>
      <c r="H29" s="7"/>
      <c r="I29" s="3"/>
      <c r="J29" s="3"/>
    </row>
    <row r="30" spans="1:10" ht="15.6" x14ac:dyDescent="0.3">
      <c r="A30" s="6"/>
      <c r="B30" s="15" t="e">
        <f>IF($G$29="aceptado 4",B24,B25)</f>
        <v>#VALUE!</v>
      </c>
      <c r="C30" s="15">
        <f>IF($G$29="aceptado 4",C24,C25)</f>
        <v>0</v>
      </c>
      <c r="D30" s="15">
        <f>IF($G$29="aceptado 4",D24,D25)</f>
        <v>1</v>
      </c>
      <c r="E30" s="15">
        <f>IF($G$29="aceptado 4",E24,E25)</f>
        <v>-1</v>
      </c>
      <c r="F30" s="15">
        <f>IF($G$29="aceptado 4",F24,F25)</f>
        <v>0</v>
      </c>
      <c r="G30" s="6"/>
      <c r="H30" s="7"/>
      <c r="I30" s="3"/>
      <c r="J30" s="3"/>
    </row>
    <row r="31" spans="1:10" ht="15.6" x14ac:dyDescent="0.3">
      <c r="A31" s="6"/>
      <c r="B31" s="15"/>
      <c r="C31" s="15"/>
      <c r="D31" s="15"/>
      <c r="E31" s="15"/>
      <c r="F31" s="15"/>
      <c r="G31" s="6"/>
      <c r="H31" s="7"/>
      <c r="I31" s="3"/>
      <c r="J31" s="3"/>
    </row>
    <row r="32" spans="1:10" ht="15.6" x14ac:dyDescent="0.3">
      <c r="A32" s="91" t="s">
        <v>11</v>
      </c>
      <c r="B32" s="15">
        <f>B27-($D$27/$D$29)*B29</f>
        <v>1</v>
      </c>
      <c r="C32" s="15">
        <f>C27-($D$27/$D$29)*C29</f>
        <v>0</v>
      </c>
      <c r="D32" s="15">
        <f>D27-($D$27/$D$29)*D29</f>
        <v>0</v>
      </c>
      <c r="E32" s="15">
        <f>E27-($D$27/$D$29)*E29</f>
        <v>1</v>
      </c>
      <c r="F32" s="15">
        <f>F27-($D$27/$D$29)*F29</f>
        <v>2</v>
      </c>
      <c r="G32" s="6"/>
      <c r="H32" s="7"/>
      <c r="I32" s="3"/>
      <c r="J32" s="3"/>
    </row>
    <row r="33" spans="1:10" ht="15.6" x14ac:dyDescent="0.3">
      <c r="A33" s="6"/>
      <c r="B33" s="15">
        <f>B28-($D$28/$D$29)*B29</f>
        <v>0</v>
      </c>
      <c r="C33" s="15">
        <f>C28-($D$28/$D$29)*C29</f>
        <v>4</v>
      </c>
      <c r="D33" s="15">
        <f>D28-($D$28/$D$29)*D29</f>
        <v>0</v>
      </c>
      <c r="E33" s="15">
        <f>E28-($D$28/$D$29)*E29</f>
        <v>-2</v>
      </c>
      <c r="F33" s="15">
        <f>F28-($D$28/$D$29)*F29</f>
        <v>2</v>
      </c>
      <c r="G33" s="6"/>
      <c r="H33" s="7"/>
      <c r="I33" s="3"/>
      <c r="J33" s="3"/>
    </row>
    <row r="34" spans="1:10" ht="15.6" x14ac:dyDescent="0.3">
      <c r="A34" s="6"/>
      <c r="B34" s="15">
        <f>B29</f>
        <v>0</v>
      </c>
      <c r="C34" s="15">
        <f>C29</f>
        <v>0</v>
      </c>
      <c r="D34" s="15">
        <f>D29</f>
        <v>1</v>
      </c>
      <c r="E34" s="15">
        <f>E29</f>
        <v>1</v>
      </c>
      <c r="F34" s="15">
        <f>F29</f>
        <v>2</v>
      </c>
      <c r="G34" s="6"/>
      <c r="H34" s="7"/>
      <c r="I34" s="3"/>
      <c r="J34" s="3"/>
    </row>
    <row r="35" spans="1:10" ht="15.6" x14ac:dyDescent="0.3">
      <c r="A35" s="6"/>
      <c r="B35" s="15" t="e">
        <f>B30-($D$30/$D$29)*B29</f>
        <v>#VALUE!</v>
      </c>
      <c r="C35" s="15">
        <f>C30-($D$30/$D$29)*C29</f>
        <v>0</v>
      </c>
      <c r="D35" s="15">
        <f>D30-($D$30/$D$29)*D29</f>
        <v>0</v>
      </c>
      <c r="E35" s="15">
        <f>E30-($D$30/$D$29)*E29</f>
        <v>-2</v>
      </c>
      <c r="F35" s="15">
        <f>F30-($D$30/$D$29)*F29</f>
        <v>-2</v>
      </c>
      <c r="G35" s="6"/>
      <c r="H35" s="7"/>
      <c r="I35" s="3"/>
      <c r="J35" s="3"/>
    </row>
    <row r="36" spans="1:10" ht="15.6" x14ac:dyDescent="0.3">
      <c r="A36" s="6"/>
      <c r="B36" s="15"/>
      <c r="C36" s="15"/>
      <c r="D36" s="15"/>
      <c r="E36" s="15"/>
      <c r="F36" s="15"/>
      <c r="G36" s="6"/>
      <c r="H36" s="7"/>
      <c r="I36" s="3"/>
      <c r="J36" s="3"/>
    </row>
    <row r="37" spans="1:10" ht="15.6" x14ac:dyDescent="0.3">
      <c r="A37" s="89" t="s">
        <v>12</v>
      </c>
      <c r="B37" s="83">
        <f t="shared" ref="B37:F39" si="1">B32</f>
        <v>1</v>
      </c>
      <c r="C37" s="83">
        <f t="shared" si="1"/>
        <v>0</v>
      </c>
      <c r="D37" s="83">
        <f t="shared" si="1"/>
        <v>0</v>
      </c>
      <c r="E37" s="83">
        <f t="shared" si="1"/>
        <v>1</v>
      </c>
      <c r="F37" s="83">
        <f t="shared" si="1"/>
        <v>2</v>
      </c>
      <c r="G37" s="6"/>
      <c r="H37" s="7"/>
      <c r="I37" s="3"/>
      <c r="J37" s="3"/>
    </row>
    <row r="38" spans="1:10" ht="15.6" x14ac:dyDescent="0.3">
      <c r="A38" s="6"/>
      <c r="B38" s="83">
        <f t="shared" si="1"/>
        <v>0</v>
      </c>
      <c r="C38" s="83">
        <f t="shared" si="1"/>
        <v>4</v>
      </c>
      <c r="D38" s="83">
        <f t="shared" si="1"/>
        <v>0</v>
      </c>
      <c r="E38" s="83">
        <f t="shared" si="1"/>
        <v>-2</v>
      </c>
      <c r="F38" s="83">
        <f t="shared" si="1"/>
        <v>2</v>
      </c>
      <c r="G38" s="6"/>
      <c r="H38" s="7"/>
      <c r="I38" s="3"/>
      <c r="J38" s="3"/>
    </row>
    <row r="39" spans="1:10" ht="15.6" x14ac:dyDescent="0.3">
      <c r="A39" s="6"/>
      <c r="B39" s="83">
        <f t="shared" si="1"/>
        <v>0</v>
      </c>
      <c r="C39" s="83">
        <f t="shared" si="1"/>
        <v>0</v>
      </c>
      <c r="D39" s="83">
        <f t="shared" si="1"/>
        <v>1</v>
      </c>
      <c r="E39" s="83">
        <f t="shared" si="1"/>
        <v>1</v>
      </c>
      <c r="F39" s="83">
        <f t="shared" si="1"/>
        <v>2</v>
      </c>
      <c r="G39" s="6"/>
      <c r="H39" s="7"/>
      <c r="I39" s="3"/>
      <c r="J39" s="3"/>
    </row>
    <row r="40" spans="1:10" ht="15.6" x14ac:dyDescent="0.3">
      <c r="A40" s="6"/>
      <c r="B40" s="83" t="e">
        <f>IF($E$35=0,"falla",B35)</f>
        <v>#VALUE!</v>
      </c>
      <c r="C40" s="83">
        <f>IF($E$35=0,"falla",C35)</f>
        <v>0</v>
      </c>
      <c r="D40" s="83">
        <f>IF($E$35=0,"falla",D35)</f>
        <v>0</v>
      </c>
      <c r="E40" s="83">
        <f>IF($E$35=0,"falla",E35)</f>
        <v>-2</v>
      </c>
      <c r="F40" s="83">
        <f>IF($E$35=0,"falla",F35)</f>
        <v>-2</v>
      </c>
      <c r="G40" s="6"/>
      <c r="H40" s="7"/>
      <c r="I40" s="3"/>
      <c r="J40" s="3"/>
    </row>
    <row r="41" spans="1:10" ht="15.6" x14ac:dyDescent="0.3">
      <c r="A41" s="6"/>
      <c r="B41" s="15"/>
      <c r="C41" s="15"/>
      <c r="D41" s="15"/>
      <c r="E41" s="84"/>
      <c r="F41" s="84"/>
      <c r="G41" s="6"/>
      <c r="H41" s="7"/>
      <c r="I41" s="3"/>
      <c r="J41" s="3"/>
    </row>
    <row r="42" spans="1:10" ht="15.6" x14ac:dyDescent="0.3">
      <c r="A42" s="90" t="s">
        <v>13</v>
      </c>
      <c r="B42" s="83" t="e">
        <f>B37-($E$37/$E$40)*B40</f>
        <v>#VALUE!</v>
      </c>
      <c r="C42" s="83">
        <f>C37-($E$37/$E$40)*C40</f>
        <v>0</v>
      </c>
      <c r="D42" s="83">
        <f>D37-($E$37/$E$40)*D40</f>
        <v>0</v>
      </c>
      <c r="E42" s="83">
        <f>E37-($E$37/$E$40)*E40</f>
        <v>0</v>
      </c>
      <c r="F42" s="83">
        <f>F37-($E$37/$E$40)*F40</f>
        <v>1</v>
      </c>
      <c r="G42" s="6"/>
      <c r="H42" s="7"/>
      <c r="I42" s="3"/>
      <c r="J42" s="3"/>
    </row>
    <row r="43" spans="1:10" ht="15.6" x14ac:dyDescent="0.3">
      <c r="A43" s="6"/>
      <c r="B43" s="83" t="e">
        <f>B38-($E$38/$E$40)*B40</f>
        <v>#VALUE!</v>
      </c>
      <c r="C43" s="83">
        <f>C38-($E$38/$E$40)*C40</f>
        <v>4</v>
      </c>
      <c r="D43" s="83">
        <f>D38-($E$38/$E$40)*D40</f>
        <v>0</v>
      </c>
      <c r="E43" s="83">
        <f>E38-($E$38/$E$40)*E40</f>
        <v>0</v>
      </c>
      <c r="F43" s="83">
        <f>F38-($E$38/$E$40)*F40</f>
        <v>4</v>
      </c>
      <c r="G43" s="6"/>
      <c r="H43" s="7"/>
      <c r="I43" s="3"/>
      <c r="J43" s="3"/>
    </row>
    <row r="44" spans="1:10" ht="15.6" x14ac:dyDescent="0.3">
      <c r="A44" s="6"/>
      <c r="B44" s="83" t="e">
        <f>B39-($E$39/$E$40)*B40</f>
        <v>#VALUE!</v>
      </c>
      <c r="C44" s="83">
        <f>C39-($E$39/$E$40)*C40</f>
        <v>0</v>
      </c>
      <c r="D44" s="83">
        <f>D39-($E$39/$E$40)*D40</f>
        <v>1</v>
      </c>
      <c r="E44" s="83">
        <f>E39-($E$39/$E$40)*E40</f>
        <v>0</v>
      </c>
      <c r="F44" s="83">
        <f>F39-($E$39/$E$40)*F40</f>
        <v>1</v>
      </c>
      <c r="G44" s="6"/>
      <c r="H44" s="7"/>
      <c r="I44" s="3"/>
      <c r="J44" s="3"/>
    </row>
    <row r="45" spans="1:10" ht="15.6" x14ac:dyDescent="0.3">
      <c r="A45" s="6"/>
      <c r="B45" s="83" t="e">
        <f>B40</f>
        <v>#VALUE!</v>
      </c>
      <c r="C45" s="83">
        <f>C40</f>
        <v>0</v>
      </c>
      <c r="D45" s="83">
        <f>D40</f>
        <v>0</v>
      </c>
      <c r="E45" s="83">
        <f>E40</f>
        <v>-2</v>
      </c>
      <c r="F45" s="83">
        <f>F40</f>
        <v>-2</v>
      </c>
      <c r="G45" s="6"/>
      <c r="H45" s="7"/>
      <c r="I45" s="3"/>
      <c r="J45" s="3"/>
    </row>
    <row r="46" spans="1:10" ht="15.6" x14ac:dyDescent="0.3">
      <c r="A46" s="6"/>
      <c r="B46" s="15"/>
      <c r="C46" s="15"/>
      <c r="D46" s="15"/>
      <c r="E46" s="84"/>
      <c r="F46" s="84"/>
      <c r="G46" s="6"/>
      <c r="H46" s="7"/>
      <c r="I46" s="3"/>
      <c r="J46" s="3"/>
    </row>
    <row r="47" spans="1:10" ht="16.5" customHeight="1" x14ac:dyDescent="0.3">
      <c r="A47" s="26" t="s">
        <v>15</v>
      </c>
      <c r="B47" s="15" t="e">
        <f>B42/$B$42</f>
        <v>#VALUE!</v>
      </c>
      <c r="C47" s="15" t="e">
        <f>C42/$B$42</f>
        <v>#VALUE!</v>
      </c>
      <c r="D47" s="15" t="e">
        <f>D42/$B$42</f>
        <v>#VALUE!</v>
      </c>
      <c r="E47" s="15" t="e">
        <f>E42/$B$42</f>
        <v>#VALUE!</v>
      </c>
      <c r="F47" s="85" t="e">
        <f>F42/$B$42</f>
        <v>#VALUE!</v>
      </c>
      <c r="G47" s="6"/>
      <c r="H47" s="7"/>
      <c r="I47" s="3"/>
      <c r="J47" s="3"/>
    </row>
    <row r="48" spans="1:10" ht="15.6" x14ac:dyDescent="0.3">
      <c r="A48" s="6"/>
      <c r="B48" s="15" t="e">
        <f>B43/$C$43</f>
        <v>#VALUE!</v>
      </c>
      <c r="C48" s="15">
        <f>C43/$C$43</f>
        <v>1</v>
      </c>
      <c r="D48" s="15">
        <f>D43/$C$43</f>
        <v>0</v>
      </c>
      <c r="E48" s="15">
        <f>E43/$C$43</f>
        <v>0</v>
      </c>
      <c r="F48" s="85">
        <f>F43/$C$43</f>
        <v>1</v>
      </c>
      <c r="G48" s="6"/>
      <c r="H48" s="7"/>
      <c r="I48" s="3"/>
      <c r="J48" s="3"/>
    </row>
    <row r="49" spans="1:10" ht="15.6" x14ac:dyDescent="0.3">
      <c r="A49" s="6"/>
      <c r="B49" s="15" t="e">
        <f>B44/$D$44</f>
        <v>#VALUE!</v>
      </c>
      <c r="C49" s="15">
        <f>C44/$D$44</f>
        <v>0</v>
      </c>
      <c r="D49" s="15">
        <f>D44/$D$44</f>
        <v>1</v>
      </c>
      <c r="E49" s="15">
        <f>E44/$D$44</f>
        <v>0</v>
      </c>
      <c r="F49" s="85">
        <f>F44/$D$44</f>
        <v>1</v>
      </c>
      <c r="G49" s="6"/>
      <c r="H49" s="7"/>
      <c r="I49" s="3"/>
      <c r="J49" s="3"/>
    </row>
    <row r="50" spans="1:10" ht="15.6" x14ac:dyDescent="0.3">
      <c r="A50" s="6"/>
      <c r="B50" s="15" t="e">
        <f>B45/$E$45</f>
        <v>#VALUE!</v>
      </c>
      <c r="C50" s="15">
        <f>C45/$E$45</f>
        <v>0</v>
      </c>
      <c r="D50" s="15">
        <f>D45/$E$45</f>
        <v>0</v>
      </c>
      <c r="E50" s="15">
        <f>E45/$E$45</f>
        <v>1</v>
      </c>
      <c r="F50" s="85">
        <f>F45/$E$45</f>
        <v>1</v>
      </c>
      <c r="G50" s="6"/>
      <c r="H50" s="7"/>
      <c r="I50" s="3"/>
      <c r="J50" s="3"/>
    </row>
    <row r="51" spans="1:10" ht="15.6" x14ac:dyDescent="0.3">
      <c r="A51" s="6"/>
      <c r="B51" s="6"/>
      <c r="C51" s="6"/>
      <c r="D51" s="6"/>
      <c r="E51" s="6"/>
      <c r="F51" s="16"/>
      <c r="G51" s="3"/>
      <c r="H51" s="3"/>
      <c r="I51" s="3"/>
      <c r="J51" s="3"/>
    </row>
    <row r="52" spans="1:10" ht="15.6" x14ac:dyDescent="0.3">
      <c r="A52" s="6"/>
      <c r="B52" s="6"/>
      <c r="C52" s="6"/>
      <c r="D52" s="6"/>
      <c r="E52" s="6"/>
      <c r="F52" s="6"/>
      <c r="G52" s="3"/>
      <c r="H52" s="3"/>
      <c r="I52" s="3"/>
      <c r="J52" s="3"/>
    </row>
    <row r="53" spans="1:10" ht="15.6" x14ac:dyDescent="0.3">
      <c r="A53" s="6"/>
      <c r="B53" s="6"/>
      <c r="C53" s="6"/>
      <c r="D53" s="6"/>
      <c r="E53" s="6"/>
      <c r="F53" s="6"/>
      <c r="G53" s="3"/>
      <c r="H53" s="3"/>
      <c r="I53" s="3"/>
      <c r="J53" s="3"/>
    </row>
    <row r="54" spans="1:10" ht="15" x14ac:dyDescent="0.3">
      <c r="A54" s="6"/>
      <c r="B54" s="6"/>
      <c r="C54" s="6"/>
      <c r="D54" s="6"/>
      <c r="E54" s="6"/>
      <c r="F54" s="6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B6860-A786-4A5A-9091-06CB72228294}">
  <dimension ref="A1:I32"/>
  <sheetViews>
    <sheetView workbookViewId="0">
      <selection sqref="A1:G32"/>
    </sheetView>
  </sheetViews>
  <sheetFormatPr baseColWidth="10" defaultColWidth="11.44140625" defaultRowHeight="14.4" x14ac:dyDescent="0.3"/>
  <cols>
    <col min="1" max="1" width="19.88671875" bestFit="1" customWidth="1"/>
    <col min="7" max="7" width="16.44140625" bestFit="1" customWidth="1"/>
  </cols>
  <sheetData>
    <row r="1" spans="1:9" ht="15.6" x14ac:dyDescent="0.3">
      <c r="A1" s="17" t="s">
        <v>0</v>
      </c>
      <c r="B1" s="6"/>
      <c r="C1" s="6" t="s">
        <v>16</v>
      </c>
      <c r="D1" s="6"/>
      <c r="E1" s="6" t="s">
        <v>2</v>
      </c>
      <c r="F1" s="20" t="s">
        <v>17</v>
      </c>
      <c r="G1" s="23" t="s">
        <v>4</v>
      </c>
      <c r="I1" s="49"/>
    </row>
    <row r="2" spans="1:9" ht="15.6" x14ac:dyDescent="0.3">
      <c r="A2" s="6"/>
      <c r="B2" s="5">
        <v>-1.0194000000000001</v>
      </c>
      <c r="C2" s="5">
        <v>1</v>
      </c>
      <c r="D2" s="28">
        <v>0</v>
      </c>
      <c r="E2" s="12">
        <v>2</v>
      </c>
      <c r="F2" s="6"/>
      <c r="G2" s="18">
        <f t="array" ref="G2:G4">MMULT(B2:D4,E30:E32)</f>
        <v>2</v>
      </c>
    </row>
    <row r="3" spans="1:9" ht="15.6" x14ac:dyDescent="0.3">
      <c r="A3" s="6"/>
      <c r="B3" s="5">
        <v>-2.0387</v>
      </c>
      <c r="C3" s="5">
        <v>-1</v>
      </c>
      <c r="D3" s="28">
        <v>1</v>
      </c>
      <c r="E3" s="12">
        <v>8</v>
      </c>
      <c r="F3" s="6"/>
      <c r="G3" s="18">
        <v>7.9999999999999964</v>
      </c>
    </row>
    <row r="4" spans="1:9" ht="15.6" x14ac:dyDescent="0.3">
      <c r="A4" s="6"/>
      <c r="B4" s="5">
        <v>-5.0968</v>
      </c>
      <c r="C4" s="5">
        <v>0</v>
      </c>
      <c r="D4" s="28">
        <v>-1</v>
      </c>
      <c r="E4" s="12">
        <v>-50</v>
      </c>
      <c r="F4" s="6"/>
      <c r="G4" s="18">
        <v>-50.000000000000007</v>
      </c>
    </row>
    <row r="5" spans="1:9" ht="15" x14ac:dyDescent="0.3">
      <c r="A5" s="6"/>
      <c r="B5" s="6"/>
      <c r="C5" s="6"/>
      <c r="D5" s="6"/>
      <c r="E5" s="6"/>
      <c r="F5" s="6"/>
      <c r="G5" s="6"/>
    </row>
    <row r="6" spans="1:9" ht="15" x14ac:dyDescent="0.3">
      <c r="A6" s="89" t="s">
        <v>6</v>
      </c>
      <c r="B6" s="25">
        <f>IF($B$2=0,IF($B$3=0,IF($B$4=0,"Falla",B4),B3),B2)</f>
        <v>-1.0194000000000001</v>
      </c>
      <c r="C6" s="15">
        <f>IF($B$2=0,IF($B$3=0,IF($B$4=0,"Falla",C4),C3),C2)</f>
        <v>1</v>
      </c>
      <c r="D6" s="15">
        <f>IF($B$2=0,IF($B$3=0,IF($B$4=0,"Falla",D4),D3),D2)</f>
        <v>0</v>
      </c>
      <c r="E6" s="15">
        <f>IF($B$2=0,IF($B$3=0,IF($B$4=0,"Falla",E4),E3),E2)</f>
        <v>2</v>
      </c>
      <c r="F6" s="6" t="str">
        <f>IF(B6=B2,"aceptado 1",IF(B6=B3,"aceptado 2",IF(B6=B4,"aceptado 3","falla")))</f>
        <v>aceptado 1</v>
      </c>
      <c r="G6" s="6"/>
    </row>
    <row r="7" spans="1:9" ht="15" x14ac:dyDescent="0.3">
      <c r="A7" s="6"/>
      <c r="B7" s="25">
        <f>IF($F$6="aceptado 2",B2,B3)</f>
        <v>-2.0387</v>
      </c>
      <c r="C7" s="15">
        <f>IF($F$6="aceptado 2",C2,C3)</f>
        <v>-1</v>
      </c>
      <c r="D7" s="15">
        <f>IF($F$6="aceptado 2",D2,D3)</f>
        <v>1</v>
      </c>
      <c r="E7" s="15">
        <f>IF($F$6="aceptado 2",E2,E3)</f>
        <v>8</v>
      </c>
      <c r="F7" s="6"/>
      <c r="G7" s="6"/>
    </row>
    <row r="8" spans="1:9" ht="15" x14ac:dyDescent="0.3">
      <c r="A8" s="6"/>
      <c r="B8" s="25">
        <f>IF($F$6="aceptado 3",B2,B4)</f>
        <v>-5.0968</v>
      </c>
      <c r="C8" s="15">
        <f>IF($F$6="aceptado 3",C2,C4)</f>
        <v>0</v>
      </c>
      <c r="D8" s="15">
        <f>IF($F$6="aceptado 3",D2,D4)</f>
        <v>-1</v>
      </c>
      <c r="E8" s="15">
        <f>IF($F$6="aceptado 3",E2,E4)</f>
        <v>-50</v>
      </c>
      <c r="F8" s="6"/>
      <c r="G8" s="6"/>
    </row>
    <row r="9" spans="1:9" ht="15" x14ac:dyDescent="0.3">
      <c r="A9" s="6"/>
      <c r="B9" s="15"/>
      <c r="C9" s="15"/>
      <c r="D9" s="15"/>
      <c r="E9" s="15"/>
      <c r="F9" s="6"/>
      <c r="G9" s="6"/>
    </row>
    <row r="10" spans="1:9" ht="15" x14ac:dyDescent="0.3">
      <c r="A10" s="91" t="s">
        <v>7</v>
      </c>
      <c r="B10" s="25">
        <f>B6</f>
        <v>-1.0194000000000001</v>
      </c>
      <c r="C10" s="15">
        <f>C6</f>
        <v>1</v>
      </c>
      <c r="D10" s="15">
        <f>D6</f>
        <v>0</v>
      </c>
      <c r="E10" s="15">
        <f>E6</f>
        <v>2</v>
      </c>
      <c r="F10" s="6"/>
      <c r="G10" s="6"/>
    </row>
    <row r="11" spans="1:9" ht="15" x14ac:dyDescent="0.3">
      <c r="A11" s="6"/>
      <c r="B11" s="15">
        <f>B7-($B$7/$B$6)*B6</f>
        <v>0</v>
      </c>
      <c r="C11" s="25">
        <f>C7-($B$7/$B$6)*C6</f>
        <v>-2.999901903080243</v>
      </c>
      <c r="D11" s="15">
        <f>D7-($B$7/$B$6)*D6</f>
        <v>1</v>
      </c>
      <c r="E11" s="25">
        <f>E7-($B$7/$B$6)*E6</f>
        <v>4.0001961938395141</v>
      </c>
      <c r="F11" s="6"/>
      <c r="G11" s="6"/>
    </row>
    <row r="12" spans="1:9" ht="15" x14ac:dyDescent="0.3">
      <c r="A12" s="6"/>
      <c r="B12" s="15">
        <f>B8-($B$8/$B$6)*B6</f>
        <v>0</v>
      </c>
      <c r="C12" s="25">
        <f>C8-($B$8/$B$6)*C6</f>
        <v>-4.9998038061604859</v>
      </c>
      <c r="D12" s="15">
        <f>D8-($B$8/$B$6)*D6</f>
        <v>-1</v>
      </c>
      <c r="E12" s="25">
        <f>E8-($B$8/$B$6)*E6</f>
        <v>-59.999607612320972</v>
      </c>
      <c r="F12" s="6"/>
      <c r="G12" s="6"/>
    </row>
    <row r="13" spans="1:9" ht="15" x14ac:dyDescent="0.3">
      <c r="A13" s="6"/>
      <c r="B13" s="15"/>
      <c r="C13" s="15"/>
      <c r="D13" s="15"/>
      <c r="E13" s="15"/>
      <c r="F13" s="6"/>
      <c r="G13" s="6"/>
    </row>
    <row r="14" spans="1:9" ht="15" x14ac:dyDescent="0.3">
      <c r="A14" s="89" t="s">
        <v>8</v>
      </c>
      <c r="B14" s="25">
        <f>B10</f>
        <v>-1.0194000000000001</v>
      </c>
      <c r="C14" s="15">
        <f>C10</f>
        <v>1</v>
      </c>
      <c r="D14" s="15">
        <f>D10</f>
        <v>0</v>
      </c>
      <c r="E14" s="15">
        <f>E10</f>
        <v>2</v>
      </c>
      <c r="F14" s="6" t="str">
        <f>IF(C15=C11,"aceptado 2",IF(C15=C12,"aceptado 3","falla"))</f>
        <v>aceptado 2</v>
      </c>
      <c r="G14" s="6"/>
    </row>
    <row r="15" spans="1:9" ht="15" x14ac:dyDescent="0.3">
      <c r="A15" s="6"/>
      <c r="B15" s="15">
        <f>IF($C$11=0,IF($C$12=0,"falla",B12),B11)</f>
        <v>0</v>
      </c>
      <c r="C15" s="25">
        <f>IF($C$11=0,IF($C$12=0,"falla",C12),C11)</f>
        <v>-2.999901903080243</v>
      </c>
      <c r="D15" s="15">
        <f>IF($C$11=0,IF($C$12=0,"falla",D12),D11)</f>
        <v>1</v>
      </c>
      <c r="E15" s="25">
        <f>IF($C$11=0,IF($C$12=0,"falla",E12),E11)</f>
        <v>4.0001961938395141</v>
      </c>
      <c r="F15" s="6"/>
      <c r="G15" s="6"/>
    </row>
    <row r="16" spans="1:9" ht="15" x14ac:dyDescent="0.3">
      <c r="A16" s="6"/>
      <c r="B16" s="15">
        <f>IF($F$14="aceptado 2",B12,B11)</f>
        <v>0</v>
      </c>
      <c r="C16" s="25">
        <f>IF($F$14="aceptado 2",C12,C11)</f>
        <v>-4.9998038061604859</v>
      </c>
      <c r="D16" s="15">
        <f>IF($F$14="aceptado 2",D12,D11)</f>
        <v>-1</v>
      </c>
      <c r="E16" s="25">
        <f>IF($F$14="aceptado 2",E12,E11)</f>
        <v>-59.999607612320972</v>
      </c>
      <c r="F16" s="6"/>
      <c r="G16" s="6"/>
    </row>
    <row r="17" spans="1:7" ht="15" x14ac:dyDescent="0.3">
      <c r="A17" s="6"/>
      <c r="B17" s="15"/>
      <c r="C17" s="15"/>
      <c r="D17" s="15"/>
      <c r="E17" s="15"/>
      <c r="F17" s="6"/>
      <c r="G17" s="6"/>
    </row>
    <row r="18" spans="1:7" ht="15" x14ac:dyDescent="0.3">
      <c r="A18" s="91" t="s">
        <v>9</v>
      </c>
      <c r="B18" s="25">
        <f>B14-($C$14/$C$15)*B15</f>
        <v>-1.0194000000000001</v>
      </c>
      <c r="C18" s="15">
        <f>C14-($C$14/$C$15)*C15</f>
        <v>0</v>
      </c>
      <c r="D18" s="25">
        <f>D14-($C$14/$C$15)*D15</f>
        <v>0.3333442333475034</v>
      </c>
      <c r="E18" s="25">
        <f>E14-($C$14/$C$15)*E15</f>
        <v>3.333442333475034</v>
      </c>
      <c r="F18" s="6"/>
      <c r="G18" s="6"/>
    </row>
    <row r="19" spans="1:7" ht="15" x14ac:dyDescent="0.3">
      <c r="A19" s="6"/>
      <c r="B19" s="15">
        <f>B15</f>
        <v>0</v>
      </c>
      <c r="C19" s="25">
        <f>C15</f>
        <v>-2.999901903080243</v>
      </c>
      <c r="D19" s="15">
        <f>D15</f>
        <v>1</v>
      </c>
      <c r="E19" s="25">
        <f>E15</f>
        <v>4.0001961938395141</v>
      </c>
      <c r="F19" s="6"/>
      <c r="G19" s="6"/>
    </row>
    <row r="20" spans="1:7" ht="15" x14ac:dyDescent="0.3">
      <c r="A20" s="6"/>
      <c r="B20" s="15">
        <f>B16-($C$16/$C$15)*B15</f>
        <v>0</v>
      </c>
      <c r="C20" s="15">
        <f>C16-($C$16/$C$15)*C15</f>
        <v>0</v>
      </c>
      <c r="D20" s="25">
        <f>D16-($C$16/$C$15)*D15</f>
        <v>-2.6666557666524966</v>
      </c>
      <c r="E20" s="25">
        <f>E16-($C$16/$C$15)*E15</f>
        <v>-66.666557666524966</v>
      </c>
      <c r="F20" s="6"/>
      <c r="G20" s="6"/>
    </row>
    <row r="21" spans="1:7" ht="15" x14ac:dyDescent="0.3">
      <c r="A21" s="6"/>
      <c r="B21" s="15"/>
      <c r="C21" s="15"/>
      <c r="D21" s="15"/>
      <c r="E21" s="15"/>
      <c r="F21" s="6"/>
      <c r="G21" s="6"/>
    </row>
    <row r="22" spans="1:7" ht="15" x14ac:dyDescent="0.3">
      <c r="A22" s="89" t="s">
        <v>10</v>
      </c>
      <c r="B22" s="25">
        <f t="shared" ref="B22:E23" si="0">B18</f>
        <v>-1.0194000000000001</v>
      </c>
      <c r="C22" s="15">
        <f t="shared" si="0"/>
        <v>0</v>
      </c>
      <c r="D22" s="25">
        <f t="shared" si="0"/>
        <v>0.3333442333475034</v>
      </c>
      <c r="E22" s="25">
        <f t="shared" si="0"/>
        <v>3.333442333475034</v>
      </c>
      <c r="F22" s="6" t="str">
        <f>IF(D24=D20,"aceptado 3","falla")</f>
        <v>aceptado 3</v>
      </c>
      <c r="G22" s="6"/>
    </row>
    <row r="23" spans="1:7" ht="15" x14ac:dyDescent="0.3">
      <c r="A23" s="6"/>
      <c r="B23" s="15">
        <f t="shared" si="0"/>
        <v>0</v>
      </c>
      <c r="C23" s="25">
        <f t="shared" si="0"/>
        <v>-2.999901903080243</v>
      </c>
      <c r="D23" s="15">
        <f t="shared" si="0"/>
        <v>1</v>
      </c>
      <c r="E23" s="25">
        <f t="shared" si="0"/>
        <v>4.0001961938395141</v>
      </c>
      <c r="F23" s="6"/>
      <c r="G23" s="6"/>
    </row>
    <row r="24" spans="1:7" ht="15" x14ac:dyDescent="0.3">
      <c r="A24" s="6"/>
      <c r="B24" s="15">
        <f>IF($D$20=0,"falla",B20)</f>
        <v>0</v>
      </c>
      <c r="C24" s="15">
        <f>IF($D$20=0,"falla",C20)</f>
        <v>0</v>
      </c>
      <c r="D24" s="25">
        <f>IF($D$20=0,"falla",D20)</f>
        <v>-2.6666557666524966</v>
      </c>
      <c r="E24" s="25">
        <f>IF($D$20=0,"falla",E20)</f>
        <v>-66.666557666524966</v>
      </c>
      <c r="F24" s="6"/>
      <c r="G24" s="6"/>
    </row>
    <row r="25" spans="1:7" ht="15" x14ac:dyDescent="0.3">
      <c r="A25" s="6"/>
      <c r="B25" s="15"/>
      <c r="C25" s="15"/>
      <c r="D25" s="15"/>
      <c r="E25" s="15"/>
      <c r="F25" s="6"/>
      <c r="G25" s="6"/>
    </row>
    <row r="26" spans="1:7" ht="15" x14ac:dyDescent="0.3">
      <c r="A26" s="91" t="s">
        <v>11</v>
      </c>
      <c r="B26" s="25">
        <f>B22-($D$22/$D$24)*B24</f>
        <v>-1.0194000000000001</v>
      </c>
      <c r="C26" s="15">
        <f>C22-($D$22/$D$24)*C24</f>
        <v>0</v>
      </c>
      <c r="D26" s="15">
        <f>D22-($D$22/$D$24)*D24</f>
        <v>0</v>
      </c>
      <c r="E26" s="25">
        <f>E22-($D$22/$D$24)*E24</f>
        <v>-5.0001839384909701</v>
      </c>
      <c r="F26" s="6"/>
      <c r="G26" s="6"/>
    </row>
    <row r="27" spans="1:7" ht="15" x14ac:dyDescent="0.3">
      <c r="A27" s="6"/>
      <c r="B27" s="15">
        <f>B23-($D$23/$D$24)*B24</f>
        <v>0</v>
      </c>
      <c r="C27" s="25">
        <f>C23-($D$23/$D$24)*C24</f>
        <v>-2.999901903080243</v>
      </c>
      <c r="D27" s="15">
        <f>D23-($D$23/$D$24)*D24</f>
        <v>0</v>
      </c>
      <c r="E27" s="25">
        <f>E23-($D$23/$D$24)*E24</f>
        <v>-20.999865118990812</v>
      </c>
      <c r="F27" s="6"/>
      <c r="G27" s="6"/>
    </row>
    <row r="28" spans="1:7" ht="15" x14ac:dyDescent="0.3">
      <c r="A28" s="6"/>
      <c r="B28" s="15">
        <f>B24</f>
        <v>0</v>
      </c>
      <c r="C28" s="15">
        <f>C24</f>
        <v>0</v>
      </c>
      <c r="D28" s="25">
        <f>D24</f>
        <v>-2.6666557666524966</v>
      </c>
      <c r="E28" s="25">
        <f>E24</f>
        <v>-66.666557666524966</v>
      </c>
      <c r="F28" s="6"/>
      <c r="G28" s="6"/>
    </row>
    <row r="29" spans="1:7" ht="16.2" thickBot="1" x14ac:dyDescent="0.35">
      <c r="A29" s="6"/>
      <c r="B29" s="15"/>
      <c r="C29" s="15"/>
      <c r="D29" s="15"/>
      <c r="E29" s="38" t="s">
        <v>14</v>
      </c>
      <c r="F29" s="6"/>
      <c r="G29" s="6"/>
    </row>
    <row r="30" spans="1:7" ht="16.2" thickBot="1" x14ac:dyDescent="0.35">
      <c r="A30" s="26" t="s">
        <v>15</v>
      </c>
      <c r="B30" s="15">
        <f>B26/$B$26</f>
        <v>1</v>
      </c>
      <c r="C30" s="15">
        <f>C26/$B$26</f>
        <v>0</v>
      </c>
      <c r="D30" s="15">
        <f>D26/$B$26</f>
        <v>0</v>
      </c>
      <c r="E30" s="34">
        <f>E26/$B$26</f>
        <v>4.9050264258298704</v>
      </c>
      <c r="F30" s="6"/>
      <c r="G30" s="6"/>
    </row>
    <row r="31" spans="1:7" ht="16.2" thickBot="1" x14ac:dyDescent="0.35">
      <c r="A31" s="6"/>
      <c r="B31" s="15">
        <f>B27/$C$27</f>
        <v>0</v>
      </c>
      <c r="C31" s="15">
        <f>C27/$C$27</f>
        <v>1</v>
      </c>
      <c r="D31" s="15">
        <f>D27/$C$27</f>
        <v>0</v>
      </c>
      <c r="E31" s="34">
        <f>E27/$C$27</f>
        <v>7.0001839384909701</v>
      </c>
      <c r="F31" s="6"/>
      <c r="G31" s="6"/>
    </row>
    <row r="32" spans="1:7" ht="16.2" thickBot="1" x14ac:dyDescent="0.35">
      <c r="A32" s="6"/>
      <c r="B32" s="15">
        <f>B28/$D$28</f>
        <v>0</v>
      </c>
      <c r="C32" s="15">
        <f>C28/$D$28</f>
        <v>0</v>
      </c>
      <c r="D32" s="15">
        <f>D28/$D$28</f>
        <v>1</v>
      </c>
      <c r="E32" s="34">
        <f>E28/$D$28</f>
        <v>25.000061312830322</v>
      </c>
      <c r="F32" s="6"/>
      <c r="G32" s="6"/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38F98-20A2-4E22-A2FF-385ECF8BC643}">
  <dimension ref="A1:I32"/>
  <sheetViews>
    <sheetView workbookViewId="0">
      <selection sqref="A1:G32"/>
    </sheetView>
  </sheetViews>
  <sheetFormatPr baseColWidth="10" defaultColWidth="11.44140625" defaultRowHeight="14.4" x14ac:dyDescent="0.3"/>
  <cols>
    <col min="1" max="1" width="19.88671875" bestFit="1" customWidth="1"/>
    <col min="7" max="7" width="18.33203125" bestFit="1" customWidth="1"/>
  </cols>
  <sheetData>
    <row r="1" spans="1:9" ht="15.6" x14ac:dyDescent="0.3">
      <c r="A1" s="17" t="s">
        <v>0</v>
      </c>
      <c r="B1" s="6"/>
      <c r="C1" s="6" t="s">
        <v>16</v>
      </c>
      <c r="D1" s="6"/>
      <c r="E1" s="6" t="s">
        <v>2</v>
      </c>
      <c r="F1" s="20" t="s">
        <v>17</v>
      </c>
      <c r="G1" s="23" t="s">
        <v>4</v>
      </c>
    </row>
    <row r="2" spans="1:9" ht="15.6" x14ac:dyDescent="0.3">
      <c r="A2" s="6"/>
      <c r="B2" s="5">
        <v>1</v>
      </c>
      <c r="C2" s="5">
        <v>-1</v>
      </c>
      <c r="D2" s="28">
        <v>1</v>
      </c>
      <c r="E2" s="12">
        <v>0</v>
      </c>
      <c r="F2" s="6"/>
      <c r="G2" s="39">
        <f t="array" ref="G2:G4">MMULT(B2:D4,E30:E32)</f>
        <v>4.4408920985006262E-16</v>
      </c>
    </row>
    <row r="3" spans="1:9" ht="15.6" x14ac:dyDescent="0.3">
      <c r="A3" s="6"/>
      <c r="B3" s="5">
        <v>2</v>
      </c>
      <c r="C3" s="5">
        <v>3</v>
      </c>
      <c r="D3" s="28">
        <v>0</v>
      </c>
      <c r="E3" s="12">
        <v>12</v>
      </c>
      <c r="F3" s="6"/>
      <c r="G3" s="18">
        <v>12</v>
      </c>
    </row>
    <row r="4" spans="1:9" ht="15.6" x14ac:dyDescent="0.3">
      <c r="A4" s="6"/>
      <c r="B4" s="5">
        <v>0</v>
      </c>
      <c r="C4" s="5">
        <v>3</v>
      </c>
      <c r="D4" s="28">
        <v>1</v>
      </c>
      <c r="E4" s="12">
        <v>10</v>
      </c>
      <c r="F4" s="6"/>
      <c r="G4" s="18">
        <v>10</v>
      </c>
      <c r="I4" s="49" t="s">
        <v>30</v>
      </c>
    </row>
    <row r="5" spans="1:9" ht="15" x14ac:dyDescent="0.3">
      <c r="A5" s="6"/>
      <c r="B5" s="6"/>
      <c r="C5" s="6"/>
      <c r="D5" s="6"/>
      <c r="E5" s="6"/>
      <c r="F5" s="6"/>
      <c r="G5" s="6"/>
    </row>
    <row r="6" spans="1:9" ht="15" x14ac:dyDescent="0.3">
      <c r="A6" s="89" t="s">
        <v>6</v>
      </c>
      <c r="B6" s="15">
        <f>IF($B$2=0,IF($B$3=0,IF($B$4=0,"Falla",B4),B3),B2)</f>
        <v>1</v>
      </c>
      <c r="C6" s="15">
        <f>IF($B$2=0,IF($B$3=0,IF($B$4=0,"Falla",C4),C3),C2)</f>
        <v>-1</v>
      </c>
      <c r="D6" s="15">
        <f>IF($B$2=0,IF($B$3=0,IF($B$4=0,"Falla",D4),D3),D2)</f>
        <v>1</v>
      </c>
      <c r="E6" s="15">
        <f>IF($B$2=0,IF($B$3=0,IF($B$4=0,"Falla",E4),E3),E2)</f>
        <v>0</v>
      </c>
      <c r="F6" s="6" t="str">
        <f>IF(B6=B2,"aceptado 1",IF(B6=B3,"aceptado 2",IF(B6=B4,"aceptado 3","falla")))</f>
        <v>aceptado 1</v>
      </c>
      <c r="G6" s="6"/>
    </row>
    <row r="7" spans="1:9" ht="15" x14ac:dyDescent="0.3">
      <c r="A7" s="6"/>
      <c r="B7" s="15">
        <f>IF($F$6="aceptado 2",B2,B3)</f>
        <v>2</v>
      </c>
      <c r="C7" s="15">
        <f>IF($F$6="aceptado 2",C2,C3)</f>
        <v>3</v>
      </c>
      <c r="D7" s="15">
        <f>IF($F$6="aceptado 2",D2,D3)</f>
        <v>0</v>
      </c>
      <c r="E7" s="15">
        <f>IF($F$6="aceptado 2",E2,E3)</f>
        <v>12</v>
      </c>
      <c r="F7" s="6"/>
      <c r="G7" s="6"/>
    </row>
    <row r="8" spans="1:9" ht="15" x14ac:dyDescent="0.3">
      <c r="A8" s="6"/>
      <c r="B8" s="15">
        <f>IF($F$6="aceptado 3",B2,B4)</f>
        <v>0</v>
      </c>
      <c r="C8" s="15">
        <f>IF($F$6="aceptado 3",C2,C4)</f>
        <v>3</v>
      </c>
      <c r="D8" s="15">
        <f>IF($F$6="aceptado 3",D2,D4)</f>
        <v>1</v>
      </c>
      <c r="E8" s="15">
        <f>IF($F$6="aceptado 3",E2,E4)</f>
        <v>10</v>
      </c>
      <c r="F8" s="6"/>
      <c r="G8" s="6"/>
    </row>
    <row r="9" spans="1:9" ht="15" x14ac:dyDescent="0.3">
      <c r="A9" s="6"/>
      <c r="B9" s="15"/>
      <c r="C9" s="15"/>
      <c r="D9" s="15"/>
      <c r="E9" s="15"/>
      <c r="F9" s="6"/>
      <c r="G9" s="6"/>
    </row>
    <row r="10" spans="1:9" ht="15" x14ac:dyDescent="0.3">
      <c r="A10" s="91" t="s">
        <v>7</v>
      </c>
      <c r="B10" s="15">
        <f>B6</f>
        <v>1</v>
      </c>
      <c r="C10" s="15">
        <f>C6</f>
        <v>-1</v>
      </c>
      <c r="D10" s="15">
        <f>D6</f>
        <v>1</v>
      </c>
      <c r="E10" s="15">
        <f>E6</f>
        <v>0</v>
      </c>
      <c r="F10" s="6"/>
      <c r="G10" s="6"/>
    </row>
    <row r="11" spans="1:9" ht="15" x14ac:dyDescent="0.3">
      <c r="A11" s="6"/>
      <c r="B11" s="15">
        <f>B7-($B$7/$B$6)*B6</f>
        <v>0</v>
      </c>
      <c r="C11" s="15">
        <f>C7-($B$7/$B$6)*C6</f>
        <v>5</v>
      </c>
      <c r="D11" s="15">
        <f>D7-($B$7/$B$6)*D6</f>
        <v>-2</v>
      </c>
      <c r="E11" s="15">
        <f>E7-($B$7/$B$6)*E6</f>
        <v>12</v>
      </c>
      <c r="F11" s="6"/>
      <c r="G11" s="6"/>
    </row>
    <row r="12" spans="1:9" ht="15" x14ac:dyDescent="0.3">
      <c r="A12" s="6"/>
      <c r="B12" s="15">
        <f>B8-($B$8/$B$6)*B6</f>
        <v>0</v>
      </c>
      <c r="C12" s="15">
        <f>C8-($B$8/$B$6)*C6</f>
        <v>3</v>
      </c>
      <c r="D12" s="15">
        <f>D8-($B$8/$B$6)*D6</f>
        <v>1</v>
      </c>
      <c r="E12" s="15">
        <f>E8-($B$8/$B$6)*E6</f>
        <v>10</v>
      </c>
      <c r="F12" s="6"/>
      <c r="G12" s="6"/>
    </row>
    <row r="13" spans="1:9" ht="15" x14ac:dyDescent="0.3">
      <c r="A13" s="6"/>
      <c r="B13" s="15"/>
      <c r="C13" s="15"/>
      <c r="D13" s="15"/>
      <c r="E13" s="15"/>
      <c r="F13" s="6"/>
      <c r="G13" s="6"/>
    </row>
    <row r="14" spans="1:9" ht="15" x14ac:dyDescent="0.3">
      <c r="A14" s="89" t="s">
        <v>8</v>
      </c>
      <c r="B14" s="15">
        <f>B10</f>
        <v>1</v>
      </c>
      <c r="C14" s="15">
        <f>C10</f>
        <v>-1</v>
      </c>
      <c r="D14" s="15">
        <f>D10</f>
        <v>1</v>
      </c>
      <c r="E14" s="15">
        <f>E10</f>
        <v>0</v>
      </c>
      <c r="F14" s="6" t="str">
        <f>IF(C15=C11,"aceptado 2",IF(C15=C12,"aceptado 3","falla"))</f>
        <v>aceptado 2</v>
      </c>
      <c r="G14" s="6"/>
    </row>
    <row r="15" spans="1:9" ht="15" x14ac:dyDescent="0.3">
      <c r="A15" s="6"/>
      <c r="B15" s="15">
        <f>IF($C$11=0,IF($C$12=0,"falla",B12),B11)</f>
        <v>0</v>
      </c>
      <c r="C15" s="15">
        <f>IF($C$11=0,IF($C$12=0,"falla",C12),C11)</f>
        <v>5</v>
      </c>
      <c r="D15" s="15">
        <f>IF($C$11=0,IF($C$12=0,"falla",D12),D11)</f>
        <v>-2</v>
      </c>
      <c r="E15" s="15">
        <f>IF($C$11=0,IF($C$12=0,"falla",E12),E11)</f>
        <v>12</v>
      </c>
      <c r="F15" s="6"/>
      <c r="G15" s="6"/>
    </row>
    <row r="16" spans="1:9" ht="15" x14ac:dyDescent="0.3">
      <c r="A16" s="6"/>
      <c r="B16" s="15">
        <f>IF($F$14="aceptado 2",B12,B11)</f>
        <v>0</v>
      </c>
      <c r="C16" s="15">
        <f>IF($F$14="aceptado 2",C12,C11)</f>
        <v>3</v>
      </c>
      <c r="D16" s="15">
        <f>IF($F$14="aceptado 2",D12,D11)</f>
        <v>1</v>
      </c>
      <c r="E16" s="15">
        <f>IF($F$14="aceptado 2",E12,E11)</f>
        <v>10</v>
      </c>
      <c r="F16" s="6"/>
      <c r="G16" s="6"/>
    </row>
    <row r="17" spans="1:7" ht="15" x14ac:dyDescent="0.3">
      <c r="A17" s="6"/>
      <c r="B17" s="15"/>
      <c r="C17" s="15"/>
      <c r="D17" s="15"/>
      <c r="E17" s="15"/>
      <c r="F17" s="6"/>
      <c r="G17" s="6"/>
    </row>
    <row r="18" spans="1:7" ht="15" x14ac:dyDescent="0.3">
      <c r="A18" s="91" t="s">
        <v>9</v>
      </c>
      <c r="B18" s="15">
        <f>B14-($C$14/$C$15)*B15</f>
        <v>1</v>
      </c>
      <c r="C18" s="15">
        <f>C14-($C$14/$C$15)*C15</f>
        <v>0</v>
      </c>
      <c r="D18" s="15">
        <f>D14-($C$14/$C$15)*D15</f>
        <v>0.6</v>
      </c>
      <c r="E18" s="15">
        <f>E14-($C$14/$C$15)*E15</f>
        <v>2.4000000000000004</v>
      </c>
      <c r="F18" s="6"/>
      <c r="G18" s="6"/>
    </row>
    <row r="19" spans="1:7" ht="15" x14ac:dyDescent="0.3">
      <c r="A19" s="6"/>
      <c r="B19" s="15">
        <f>B15</f>
        <v>0</v>
      </c>
      <c r="C19" s="15">
        <f>C15</f>
        <v>5</v>
      </c>
      <c r="D19" s="15">
        <f>D15</f>
        <v>-2</v>
      </c>
      <c r="E19" s="15">
        <f>E15</f>
        <v>12</v>
      </c>
      <c r="F19" s="6"/>
      <c r="G19" s="6"/>
    </row>
    <row r="20" spans="1:7" ht="15" x14ac:dyDescent="0.3">
      <c r="A20" s="6"/>
      <c r="B20" s="15">
        <f>B16-($C$16/$C$15)*B15</f>
        <v>0</v>
      </c>
      <c r="C20" s="15">
        <f>C16-($C$16/$C$15)*C15</f>
        <v>0</v>
      </c>
      <c r="D20" s="52">
        <f>D16-($C$16/$C$15)*D15</f>
        <v>2.2000000000000002</v>
      </c>
      <c r="E20" s="25">
        <f>E16-($C$16/$C$15)*E15</f>
        <v>2.8000000000000007</v>
      </c>
      <c r="F20" s="6"/>
      <c r="G20" s="6"/>
    </row>
    <row r="21" spans="1:7" ht="15" x14ac:dyDescent="0.3">
      <c r="A21" s="6"/>
      <c r="B21" s="15"/>
      <c r="C21" s="15"/>
      <c r="D21" s="15"/>
      <c r="E21" s="15"/>
      <c r="F21" s="6"/>
      <c r="G21" s="6"/>
    </row>
    <row r="22" spans="1:7" ht="15" x14ac:dyDescent="0.3">
      <c r="A22" s="89" t="s">
        <v>10</v>
      </c>
      <c r="B22" s="15">
        <f t="shared" ref="B22:E23" si="0">B18</f>
        <v>1</v>
      </c>
      <c r="C22" s="15">
        <f t="shared" si="0"/>
        <v>0</v>
      </c>
      <c r="D22" s="52">
        <f t="shared" si="0"/>
        <v>0.6</v>
      </c>
      <c r="E22" s="52">
        <f t="shared" si="0"/>
        <v>2.4000000000000004</v>
      </c>
      <c r="F22" s="6" t="str">
        <f>IF(D24=D20,"aceptado 3","falla")</f>
        <v>aceptado 3</v>
      </c>
      <c r="G22" s="6"/>
    </row>
    <row r="23" spans="1:7" ht="15" x14ac:dyDescent="0.3">
      <c r="A23" s="6"/>
      <c r="B23" s="15">
        <f t="shared" si="0"/>
        <v>0</v>
      </c>
      <c r="C23" s="15">
        <f t="shared" si="0"/>
        <v>5</v>
      </c>
      <c r="D23" s="15">
        <f t="shared" si="0"/>
        <v>-2</v>
      </c>
      <c r="E23" s="15">
        <f t="shared" si="0"/>
        <v>12</v>
      </c>
      <c r="F23" s="6"/>
      <c r="G23" s="6"/>
    </row>
    <row r="24" spans="1:7" ht="15" x14ac:dyDescent="0.3">
      <c r="A24" s="6"/>
      <c r="B24" s="15">
        <f>IF($D$20=0,"falla",B20)</f>
        <v>0</v>
      </c>
      <c r="C24" s="15">
        <f>IF($D$20=0,"falla",C20)</f>
        <v>0</v>
      </c>
      <c r="D24" s="52">
        <f>IF($D$20=0,"falla",D20)</f>
        <v>2.2000000000000002</v>
      </c>
      <c r="E24" s="52">
        <f>IF($D$20=0,"falla",E20)</f>
        <v>2.8000000000000007</v>
      </c>
      <c r="F24" s="6"/>
      <c r="G24" s="6"/>
    </row>
    <row r="25" spans="1:7" ht="15" x14ac:dyDescent="0.3">
      <c r="A25" s="6"/>
      <c r="B25" s="15"/>
      <c r="C25" s="15"/>
      <c r="D25" s="15"/>
      <c r="E25" s="15"/>
      <c r="F25" s="6"/>
      <c r="G25" s="6"/>
    </row>
    <row r="26" spans="1:7" ht="15" x14ac:dyDescent="0.3">
      <c r="A26" s="91" t="s">
        <v>11</v>
      </c>
      <c r="B26" s="15">
        <f>B22-($D$22/$D$24)*B24</f>
        <v>1</v>
      </c>
      <c r="C26" s="15">
        <f>C22-($D$22/$D$24)*C24</f>
        <v>0</v>
      </c>
      <c r="D26" s="15">
        <f>D22-($D$22/$D$24)*D24</f>
        <v>0</v>
      </c>
      <c r="E26" s="25">
        <f>E22-($D$22/$D$24)*E24</f>
        <v>1.6363636363636367</v>
      </c>
      <c r="F26" s="6"/>
      <c r="G26" s="6"/>
    </row>
    <row r="27" spans="1:7" ht="15" x14ac:dyDescent="0.3">
      <c r="A27" s="6"/>
      <c r="B27" s="15">
        <f>B23-($D$23/$D$24)*B24</f>
        <v>0</v>
      </c>
      <c r="C27" s="15">
        <f>C23-($D$23/$D$24)*C24</f>
        <v>5</v>
      </c>
      <c r="D27" s="15">
        <f>D23-($D$23/$D$24)*D24</f>
        <v>0</v>
      </c>
      <c r="E27" s="25">
        <f>E23-($D$23/$D$24)*E24</f>
        <v>14.545454545454547</v>
      </c>
      <c r="F27" s="6"/>
      <c r="G27" s="6"/>
    </row>
    <row r="28" spans="1:7" ht="15" x14ac:dyDescent="0.3">
      <c r="A28" s="6"/>
      <c r="B28" s="15">
        <f>B24</f>
        <v>0</v>
      </c>
      <c r="C28" s="15">
        <f>C24</f>
        <v>0</v>
      </c>
      <c r="D28" s="52">
        <f>D24</f>
        <v>2.2000000000000002</v>
      </c>
      <c r="E28" s="52">
        <f>E24</f>
        <v>2.8000000000000007</v>
      </c>
      <c r="F28" s="6"/>
      <c r="G28" s="6"/>
    </row>
    <row r="29" spans="1:7" ht="16.2" thickBot="1" x14ac:dyDescent="0.35">
      <c r="A29" s="6"/>
      <c r="B29" s="15"/>
      <c r="C29" s="15"/>
      <c r="D29" s="15"/>
      <c r="E29" s="38" t="s">
        <v>14</v>
      </c>
      <c r="F29" s="6"/>
      <c r="G29" s="6"/>
    </row>
    <row r="30" spans="1:7" ht="16.2" thickBot="1" x14ac:dyDescent="0.35">
      <c r="A30" s="26" t="s">
        <v>15</v>
      </c>
      <c r="B30" s="15">
        <f>B26/$B$26</f>
        <v>1</v>
      </c>
      <c r="C30" s="15">
        <f>C26/$B$26</f>
        <v>0</v>
      </c>
      <c r="D30" s="15">
        <f>D26/$B$26</f>
        <v>0</v>
      </c>
      <c r="E30" s="34">
        <f>E26/$B$26</f>
        <v>1.6363636363636367</v>
      </c>
      <c r="F30" s="6"/>
      <c r="G30" s="6"/>
    </row>
    <row r="31" spans="1:7" ht="16.2" thickBot="1" x14ac:dyDescent="0.35">
      <c r="A31" s="6"/>
      <c r="B31" s="15">
        <f>B27/$C$27</f>
        <v>0</v>
      </c>
      <c r="C31" s="15">
        <f>C27/$C$27</f>
        <v>1</v>
      </c>
      <c r="D31" s="15">
        <f>D27/$C$27</f>
        <v>0</v>
      </c>
      <c r="E31" s="34">
        <f>E27/$C$27</f>
        <v>2.9090909090909092</v>
      </c>
      <c r="F31" s="6"/>
      <c r="G31" s="6"/>
    </row>
    <row r="32" spans="1:7" ht="16.2" thickBot="1" x14ac:dyDescent="0.35">
      <c r="A32" s="6"/>
      <c r="B32" s="15">
        <f>B28/$D$28</f>
        <v>0</v>
      </c>
      <c r="C32" s="15">
        <f>C28/$D$28</f>
        <v>0</v>
      </c>
      <c r="D32" s="15">
        <f>D28/$D$28</f>
        <v>1</v>
      </c>
      <c r="E32" s="34">
        <f>E28/$D$28</f>
        <v>1.2727272727272729</v>
      </c>
      <c r="F32" s="6"/>
      <c r="G32" s="6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9DEB9-1F28-42E3-B311-68577D6E0C79}">
  <dimension ref="A1:H32"/>
  <sheetViews>
    <sheetView workbookViewId="0">
      <selection activeCell="M32" sqref="M32"/>
    </sheetView>
  </sheetViews>
  <sheetFormatPr baseColWidth="10" defaultColWidth="11.44140625" defaultRowHeight="14.4" x14ac:dyDescent="0.3"/>
  <cols>
    <col min="1" max="1" width="19.88671875" bestFit="1" customWidth="1"/>
    <col min="7" max="7" width="16.44140625" bestFit="1" customWidth="1"/>
  </cols>
  <sheetData>
    <row r="1" spans="1:8" ht="15.6" x14ac:dyDescent="0.3">
      <c r="A1" s="17" t="s">
        <v>0</v>
      </c>
      <c r="B1" s="6"/>
      <c r="C1" s="6" t="s">
        <v>16</v>
      </c>
      <c r="D1" s="6"/>
      <c r="E1" s="6" t="s">
        <v>2</v>
      </c>
      <c r="F1" s="20" t="s">
        <v>17</v>
      </c>
      <c r="G1" s="23" t="s">
        <v>4</v>
      </c>
    </row>
    <row r="2" spans="1:8" ht="15.6" x14ac:dyDescent="0.3">
      <c r="A2" s="6"/>
      <c r="B2" s="5">
        <v>1</v>
      </c>
      <c r="C2" s="5">
        <v>1</v>
      </c>
      <c r="D2" s="28">
        <v>1</v>
      </c>
      <c r="E2" s="12">
        <v>60</v>
      </c>
      <c r="F2" s="6"/>
      <c r="G2" s="18">
        <f t="array" ref="G2:G4">MMULT(B2:D4,E30:E32)</f>
        <v>60</v>
      </c>
    </row>
    <row r="3" spans="1:8" ht="15.6" x14ac:dyDescent="0.3">
      <c r="A3" s="6"/>
      <c r="B3" s="5">
        <v>0</v>
      </c>
      <c r="C3" s="5">
        <v>1</v>
      </c>
      <c r="D3" s="28">
        <v>-2</v>
      </c>
      <c r="E3" s="12">
        <v>0</v>
      </c>
      <c r="F3" s="6"/>
      <c r="G3" s="18">
        <v>0</v>
      </c>
    </row>
    <row r="4" spans="1:8" ht="15.6" x14ac:dyDescent="0.3">
      <c r="A4" s="6"/>
      <c r="B4" s="5">
        <v>1</v>
      </c>
      <c r="C4" s="5">
        <v>-4</v>
      </c>
      <c r="D4" s="28">
        <v>-4</v>
      </c>
      <c r="E4" s="12">
        <v>0</v>
      </c>
      <c r="F4" s="6"/>
      <c r="G4" s="18">
        <v>0</v>
      </c>
    </row>
    <row r="5" spans="1:8" ht="15" x14ac:dyDescent="0.3">
      <c r="A5" s="6"/>
      <c r="B5" s="6"/>
      <c r="C5" s="6"/>
      <c r="D5" s="6"/>
      <c r="E5" s="6"/>
      <c r="F5" s="6"/>
      <c r="G5" s="6"/>
      <c r="H5" t="s">
        <v>31</v>
      </c>
    </row>
    <row r="6" spans="1:8" ht="15" x14ac:dyDescent="0.3">
      <c r="A6" s="89" t="s">
        <v>6</v>
      </c>
      <c r="B6" s="6">
        <f>IF($B$2=0,IF($B$3=0,IF($B$4=0,"Falla",B4),B3),B2)</f>
        <v>1</v>
      </c>
      <c r="C6" s="6">
        <f>IF($B$2=0,IF($B$3=0,IF($B$4=0,"Falla",C4),C3),C2)</f>
        <v>1</v>
      </c>
      <c r="D6" s="6">
        <f>IF($B$2=0,IF($B$3=0,IF($B$4=0,"Falla",D4),D3),D2)</f>
        <v>1</v>
      </c>
      <c r="E6" s="6">
        <f>IF($B$2=0,IF($B$3=0,IF($B$4=0,"Falla",E4),E3),E2)</f>
        <v>60</v>
      </c>
      <c r="F6" s="6" t="str">
        <f>IF(B6=B2,"aceptado 1",IF(B6=B3,"aceptado 2",IF(B6=B4,"aceptado 3","falla")))</f>
        <v>aceptado 1</v>
      </c>
      <c r="G6" s="6"/>
      <c r="H6" t="s">
        <v>32</v>
      </c>
    </row>
    <row r="7" spans="1:8" ht="15" x14ac:dyDescent="0.3">
      <c r="A7" s="6"/>
      <c r="B7" s="6">
        <f>IF($F$6="aceptado 2",B2,B3)</f>
        <v>0</v>
      </c>
      <c r="C7" s="6">
        <f>IF($F$6="aceptado 2",C2,C3)</f>
        <v>1</v>
      </c>
      <c r="D7" s="6">
        <f>IF($F$6="aceptado 2",D2,D3)</f>
        <v>-2</v>
      </c>
      <c r="E7" s="6">
        <f>IF($F$6="aceptado 2",E2,E3)</f>
        <v>0</v>
      </c>
      <c r="F7" s="6"/>
      <c r="G7" s="6"/>
      <c r="H7" t="s">
        <v>33</v>
      </c>
    </row>
    <row r="8" spans="1:8" ht="15" x14ac:dyDescent="0.3">
      <c r="A8" s="6"/>
      <c r="B8" s="6">
        <f>IF($F$6="aceptado 3",B2,B4)</f>
        <v>1</v>
      </c>
      <c r="C8" s="6">
        <f>IF($F$6="aceptado 3",C2,C4)</f>
        <v>-4</v>
      </c>
      <c r="D8" s="6">
        <f>IF($F$6="aceptado 3",D2,D4)</f>
        <v>-4</v>
      </c>
      <c r="E8" s="6">
        <f>IF($F$6="aceptado 3",E2,E4)</f>
        <v>0</v>
      </c>
      <c r="F8" s="6"/>
      <c r="G8" s="6"/>
      <c r="H8" t="s">
        <v>34</v>
      </c>
    </row>
    <row r="9" spans="1:8" ht="15" x14ac:dyDescent="0.3">
      <c r="A9" s="6"/>
      <c r="B9" s="6"/>
      <c r="C9" s="6"/>
      <c r="D9" s="6"/>
      <c r="E9" s="6"/>
      <c r="F9" s="6"/>
      <c r="G9" s="6"/>
      <c r="H9" t="s">
        <v>35</v>
      </c>
    </row>
    <row r="10" spans="1:8" ht="15" x14ac:dyDescent="0.3">
      <c r="A10" s="91" t="s">
        <v>7</v>
      </c>
      <c r="B10" s="6">
        <f>B6</f>
        <v>1</v>
      </c>
      <c r="C10" s="6">
        <f>C6</f>
        <v>1</v>
      </c>
      <c r="D10" s="6">
        <f>D6</f>
        <v>1</v>
      </c>
      <c r="E10" s="6">
        <f>E6</f>
        <v>60</v>
      </c>
      <c r="F10" s="6"/>
      <c r="G10" s="6"/>
      <c r="H10" t="s">
        <v>36</v>
      </c>
    </row>
    <row r="11" spans="1:8" ht="15" x14ac:dyDescent="0.3">
      <c r="A11" s="6"/>
      <c r="B11" s="6">
        <f>B7-($B$7/$B$6)*B6</f>
        <v>0</v>
      </c>
      <c r="C11" s="25">
        <f>C7-($B$7/$B$6)*C6</f>
        <v>1</v>
      </c>
      <c r="D11" s="25">
        <f>D7-($B$7/$B$6)*D6</f>
        <v>-2</v>
      </c>
      <c r="E11" s="25">
        <f>E7-($B$7/$B$6)*E6</f>
        <v>0</v>
      </c>
      <c r="F11" s="6"/>
      <c r="G11" s="6"/>
    </row>
    <row r="12" spans="1:8" ht="15" x14ac:dyDescent="0.3">
      <c r="A12" s="6"/>
      <c r="B12" s="6">
        <f>B8-($B$8/$B$6)*B6</f>
        <v>0</v>
      </c>
      <c r="C12" s="25">
        <f>C8-($B$8/$B$6)*C6</f>
        <v>-5</v>
      </c>
      <c r="D12" s="25">
        <f>D8-($B$8/$B$6)*D6</f>
        <v>-5</v>
      </c>
      <c r="E12" s="25">
        <f>E8-($B$8/$B$6)*E6</f>
        <v>-60</v>
      </c>
      <c r="F12" s="6"/>
      <c r="G12" s="6"/>
    </row>
    <row r="13" spans="1:8" ht="15" x14ac:dyDescent="0.3">
      <c r="A13" s="6"/>
      <c r="B13" s="6"/>
      <c r="C13" s="6"/>
      <c r="D13" s="6"/>
      <c r="E13" s="6"/>
      <c r="F13" s="6"/>
      <c r="G13" s="6"/>
    </row>
    <row r="14" spans="1:8" ht="15" x14ac:dyDescent="0.3">
      <c r="A14" s="89" t="s">
        <v>8</v>
      </c>
      <c r="B14" s="6">
        <f>B10</f>
        <v>1</v>
      </c>
      <c r="C14" s="6">
        <f>C10</f>
        <v>1</v>
      </c>
      <c r="D14" s="6">
        <f>D10</f>
        <v>1</v>
      </c>
      <c r="E14" s="6">
        <f>E10</f>
        <v>60</v>
      </c>
      <c r="F14" s="6" t="str">
        <f>IF(C15=C11,"aceptado 2",IF(C15=C12,"aceptado 3","falla"))</f>
        <v>aceptado 2</v>
      </c>
      <c r="G14" s="6"/>
    </row>
    <row r="15" spans="1:8" ht="15" x14ac:dyDescent="0.3">
      <c r="A15" s="6"/>
      <c r="B15" s="6">
        <f>IF($C$11=0,IF($C$12=0,"falla",B12),B11)</f>
        <v>0</v>
      </c>
      <c r="C15" s="25">
        <f>IF($C$11=0,IF($C$12=0,"falla",C12),C11)</f>
        <v>1</v>
      </c>
      <c r="D15" s="25">
        <f>IF($C$11=0,IF($C$12=0,"falla",D12),D11)</f>
        <v>-2</v>
      </c>
      <c r="E15" s="25">
        <f>IF($C$11=0,IF($C$12=0,"falla",E12),E11)</f>
        <v>0</v>
      </c>
      <c r="F15" s="6"/>
      <c r="G15" s="6"/>
    </row>
    <row r="16" spans="1:8" ht="15" x14ac:dyDescent="0.3">
      <c r="A16" s="6"/>
      <c r="B16" s="6">
        <f>IF($F$14="aceptado 2",B12,B11)</f>
        <v>0</v>
      </c>
      <c r="C16" s="25">
        <f>IF($F$14="aceptado 2",C12,C11)</f>
        <v>-5</v>
      </c>
      <c r="D16" s="25">
        <f>IF($F$14="aceptado 2",D12,D11)</f>
        <v>-5</v>
      </c>
      <c r="E16" s="25">
        <f>IF($F$14="aceptado 2",E12,E11)</f>
        <v>-60</v>
      </c>
      <c r="F16" s="6"/>
      <c r="G16" s="6"/>
    </row>
    <row r="17" spans="1:7" ht="15" x14ac:dyDescent="0.3">
      <c r="A17" s="6"/>
      <c r="B17" s="6"/>
      <c r="C17" s="6"/>
      <c r="D17" s="6"/>
      <c r="E17" s="6"/>
      <c r="F17" s="6"/>
      <c r="G17" s="6"/>
    </row>
    <row r="18" spans="1:7" ht="15" x14ac:dyDescent="0.3">
      <c r="A18" s="91" t="s">
        <v>9</v>
      </c>
      <c r="B18" s="6">
        <f>B14-($C$14/$C$15)*B15</f>
        <v>1</v>
      </c>
      <c r="C18" s="6">
        <f>C14-($C$14/$C$15)*C15</f>
        <v>0</v>
      </c>
      <c r="D18" s="25">
        <f>D14-($C$14/$C$15)*D15</f>
        <v>3</v>
      </c>
      <c r="E18" s="25">
        <f>E14-($C$14/$C$15)*E15</f>
        <v>60</v>
      </c>
      <c r="F18" s="6"/>
      <c r="G18" s="6"/>
    </row>
    <row r="19" spans="1:7" ht="15" x14ac:dyDescent="0.3">
      <c r="A19" s="6"/>
      <c r="B19" s="6">
        <f>B15</f>
        <v>0</v>
      </c>
      <c r="C19" s="25">
        <f>C15</f>
        <v>1</v>
      </c>
      <c r="D19" s="25">
        <f>D15</f>
        <v>-2</v>
      </c>
      <c r="E19" s="25">
        <f>E15</f>
        <v>0</v>
      </c>
      <c r="F19" s="6"/>
      <c r="G19" s="6"/>
    </row>
    <row r="20" spans="1:7" ht="15" x14ac:dyDescent="0.3">
      <c r="A20" s="6"/>
      <c r="B20" s="6">
        <f>B16-($C$16/$C$15)*B15</f>
        <v>0</v>
      </c>
      <c r="C20" s="6">
        <f>C16-($C$16/$C$15)*C15</f>
        <v>0</v>
      </c>
      <c r="D20" s="25">
        <f>D16-($C$16/$C$15)*D15</f>
        <v>-15</v>
      </c>
      <c r="E20" s="25">
        <f>E16-($C$16/$C$15)*E15</f>
        <v>-60</v>
      </c>
      <c r="F20" s="6"/>
      <c r="G20" s="6"/>
    </row>
    <row r="21" spans="1:7" ht="15" x14ac:dyDescent="0.3">
      <c r="A21" s="6"/>
      <c r="B21" s="6"/>
      <c r="C21" s="6"/>
      <c r="D21" s="6"/>
      <c r="E21" s="6"/>
      <c r="F21" s="6"/>
      <c r="G21" s="6"/>
    </row>
    <row r="22" spans="1:7" ht="15" x14ac:dyDescent="0.3">
      <c r="A22" s="89" t="s">
        <v>10</v>
      </c>
      <c r="B22" s="6">
        <f t="shared" ref="B22:E23" si="0">B18</f>
        <v>1</v>
      </c>
      <c r="C22" s="6">
        <f t="shared" si="0"/>
        <v>0</v>
      </c>
      <c r="D22" s="25">
        <f t="shared" si="0"/>
        <v>3</v>
      </c>
      <c r="E22" s="25">
        <f t="shared" si="0"/>
        <v>60</v>
      </c>
      <c r="F22" s="6" t="str">
        <f>IF(D24=D20,"aceptado 3","falla")</f>
        <v>aceptado 3</v>
      </c>
      <c r="G22" s="6"/>
    </row>
    <row r="23" spans="1:7" ht="15" x14ac:dyDescent="0.3">
      <c r="A23" s="6"/>
      <c r="B23" s="6">
        <f t="shared" si="0"/>
        <v>0</v>
      </c>
      <c r="C23" s="25">
        <f t="shared" si="0"/>
        <v>1</v>
      </c>
      <c r="D23" s="25">
        <f t="shared" si="0"/>
        <v>-2</v>
      </c>
      <c r="E23" s="25">
        <f t="shared" si="0"/>
        <v>0</v>
      </c>
      <c r="F23" s="6"/>
      <c r="G23" s="6"/>
    </row>
    <row r="24" spans="1:7" ht="15" x14ac:dyDescent="0.3">
      <c r="A24" s="6"/>
      <c r="B24" s="6">
        <f>IF($D$20=0,"falla",B20)</f>
        <v>0</v>
      </c>
      <c r="C24" s="6">
        <f>IF($D$20=0,"falla",C20)</f>
        <v>0</v>
      </c>
      <c r="D24" s="25">
        <f>IF($D$20=0,"falla",D20)</f>
        <v>-15</v>
      </c>
      <c r="E24" s="25">
        <f>IF($D$20=0,"falla",E20)</f>
        <v>-60</v>
      </c>
      <c r="F24" s="6"/>
      <c r="G24" s="6"/>
    </row>
    <row r="25" spans="1:7" ht="15" x14ac:dyDescent="0.3">
      <c r="A25" s="6"/>
      <c r="B25" s="6"/>
      <c r="C25" s="6"/>
      <c r="D25" s="6"/>
      <c r="E25" s="6"/>
      <c r="F25" s="6"/>
      <c r="G25" s="6"/>
    </row>
    <row r="26" spans="1:7" ht="15" x14ac:dyDescent="0.3">
      <c r="A26" s="91" t="s">
        <v>11</v>
      </c>
      <c r="B26" s="6">
        <f>B22-($D$22/$D$24)*B24</f>
        <v>1</v>
      </c>
      <c r="C26" s="6">
        <f>C22-($D$22/$D$24)*C24</f>
        <v>0</v>
      </c>
      <c r="D26" s="6">
        <f>D22-($D$22/$D$24)*D24</f>
        <v>0</v>
      </c>
      <c r="E26" s="25">
        <f>E22-($D$22/$D$24)*E24</f>
        <v>48</v>
      </c>
      <c r="F26" s="6"/>
      <c r="G26" s="6"/>
    </row>
    <row r="27" spans="1:7" ht="15" x14ac:dyDescent="0.3">
      <c r="A27" s="6"/>
      <c r="B27" s="6">
        <f>B23-($D$23/$D$24)*B24</f>
        <v>0</v>
      </c>
      <c r="C27" s="25">
        <f>C23-($D$23/$D$24)*C24</f>
        <v>1</v>
      </c>
      <c r="D27" s="6">
        <f>D23-($D$23/$D$24)*D24</f>
        <v>0</v>
      </c>
      <c r="E27" s="25">
        <f>E23-($D$23/$D$24)*E24</f>
        <v>8</v>
      </c>
      <c r="F27" s="6"/>
      <c r="G27" s="6"/>
    </row>
    <row r="28" spans="1:7" ht="15" x14ac:dyDescent="0.3">
      <c r="A28" s="6"/>
      <c r="B28" s="6">
        <f>B24</f>
        <v>0</v>
      </c>
      <c r="C28" s="6">
        <f>C24</f>
        <v>0</v>
      </c>
      <c r="D28" s="25">
        <f>D24</f>
        <v>-15</v>
      </c>
      <c r="E28" s="25">
        <f>E24</f>
        <v>-60</v>
      </c>
      <c r="F28" s="6"/>
      <c r="G28" s="6"/>
    </row>
    <row r="29" spans="1:7" ht="16.2" thickBot="1" x14ac:dyDescent="0.35">
      <c r="A29" s="6"/>
      <c r="B29" s="6"/>
      <c r="C29" s="6"/>
      <c r="D29" s="6"/>
      <c r="E29" s="24" t="s">
        <v>14</v>
      </c>
      <c r="F29" s="6"/>
      <c r="G29" s="6"/>
    </row>
    <row r="30" spans="1:7" ht="16.2" thickBot="1" x14ac:dyDescent="0.35">
      <c r="A30" s="26" t="s">
        <v>15</v>
      </c>
      <c r="B30" s="6">
        <f>B26/$B$26</f>
        <v>1</v>
      </c>
      <c r="C30" s="6">
        <f>C26/$B$26</f>
        <v>0</v>
      </c>
      <c r="D30" s="6">
        <f>D26/$B$26</f>
        <v>0</v>
      </c>
      <c r="E30" s="34">
        <f>E26/$B$26</f>
        <v>48</v>
      </c>
      <c r="F30" s="6"/>
      <c r="G30" s="6"/>
    </row>
    <row r="31" spans="1:7" ht="16.2" thickBot="1" x14ac:dyDescent="0.35">
      <c r="A31" s="6"/>
      <c r="B31" s="6">
        <f>B27/$C$27</f>
        <v>0</v>
      </c>
      <c r="C31" s="6">
        <f>C27/$C$27</f>
        <v>1</v>
      </c>
      <c r="D31" s="6">
        <f>D27/$C$27</f>
        <v>0</v>
      </c>
      <c r="E31" s="34">
        <f>E27/$C$27</f>
        <v>8</v>
      </c>
      <c r="F31" s="6"/>
      <c r="G31" s="6"/>
    </row>
    <row r="32" spans="1:7" ht="16.2" thickBot="1" x14ac:dyDescent="0.35">
      <c r="A32" s="6"/>
      <c r="B32" s="6">
        <f>B28/$D$28</f>
        <v>0</v>
      </c>
      <c r="C32" s="6">
        <f>C28/$D$28</f>
        <v>0</v>
      </c>
      <c r="D32" s="6">
        <f>D28/$D$28</f>
        <v>1</v>
      </c>
      <c r="E32" s="34">
        <f>E28/$D$28</f>
        <v>4</v>
      </c>
      <c r="F32" s="6"/>
      <c r="G32" s="6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6CCAC-C016-48C1-AAED-5535E5855DA5}">
  <dimension ref="A1:H18"/>
  <sheetViews>
    <sheetView workbookViewId="0">
      <selection sqref="A1:F18"/>
    </sheetView>
  </sheetViews>
  <sheetFormatPr baseColWidth="10" defaultColWidth="11.44140625" defaultRowHeight="14.4" x14ac:dyDescent="0.3"/>
  <cols>
    <col min="1" max="1" width="18.6640625" bestFit="1" customWidth="1"/>
    <col min="4" max="4" width="12.6640625" bestFit="1" customWidth="1"/>
    <col min="6" max="6" width="16.44140625" bestFit="1" customWidth="1"/>
  </cols>
  <sheetData>
    <row r="1" spans="1:8" ht="15.6" x14ac:dyDescent="0.3">
      <c r="A1" s="2" t="s">
        <v>0</v>
      </c>
      <c r="B1" s="4"/>
      <c r="C1" s="3"/>
      <c r="D1" s="3"/>
      <c r="E1" s="6" t="s">
        <v>18</v>
      </c>
      <c r="F1" s="31" t="s">
        <v>4</v>
      </c>
    </row>
    <row r="2" spans="1:8" ht="15.6" x14ac:dyDescent="0.3">
      <c r="A2" s="3"/>
      <c r="B2" s="5">
        <v>-0.70709999999999995</v>
      </c>
      <c r="C2" s="51">
        <v>0.86599999999999999</v>
      </c>
      <c r="D2" s="12">
        <v>0</v>
      </c>
      <c r="E2" s="3"/>
      <c r="F2" s="30" cm="1">
        <f t="array" ref="F2:F3">MMULT(B2:C3,D17:D18)</f>
        <v>0</v>
      </c>
    </row>
    <row r="3" spans="1:8" ht="15.6" x14ac:dyDescent="0.3">
      <c r="A3" s="3"/>
      <c r="B3" s="5">
        <v>0.70709999999999995</v>
      </c>
      <c r="C3" s="28">
        <v>0.5</v>
      </c>
      <c r="D3" s="12">
        <v>1962</v>
      </c>
      <c r="E3" s="3"/>
      <c r="F3" s="30">
        <v>1962</v>
      </c>
    </row>
    <row r="4" spans="1:8" ht="15.6" x14ac:dyDescent="0.3">
      <c r="A4" s="3"/>
      <c r="B4" s="10"/>
      <c r="C4" s="10"/>
      <c r="D4" s="10"/>
      <c r="E4" s="3"/>
    </row>
    <row r="5" spans="1:8" ht="15.6" x14ac:dyDescent="0.3">
      <c r="A5" s="92" t="s">
        <v>20</v>
      </c>
      <c r="B5" s="11">
        <f>IF($B$2=0,IF($B$3=0,"falla",B3),B2)</f>
        <v>-0.70709999999999995</v>
      </c>
      <c r="C5" s="6">
        <f t="shared" ref="C5:D5" si="0">IF($B$2=0,IF($B$3=0,"falla",C3),C2)</f>
        <v>0.86599999999999999</v>
      </c>
      <c r="D5" s="25">
        <f t="shared" si="0"/>
        <v>0</v>
      </c>
      <c r="E5" s="4" t="str">
        <f>IF(B5=B2,"aceptado 1",IF(B5=B3,"aceptado 2","falla"))</f>
        <v>aceptado 1</v>
      </c>
      <c r="H5" s="49"/>
    </row>
    <row r="6" spans="1:8" ht="15.6" x14ac:dyDescent="0.3">
      <c r="B6" s="6">
        <f>+IF($E$5="aceptado 2",B2,B3)</f>
        <v>0.70709999999999995</v>
      </c>
      <c r="C6" s="25">
        <f t="shared" ref="C6:D6" si="1">+IF($E$5="aceptado 2",C2,C3)</f>
        <v>0.5</v>
      </c>
      <c r="D6" s="25">
        <f t="shared" si="1"/>
        <v>1962</v>
      </c>
      <c r="E6" s="3"/>
    </row>
    <row r="7" spans="1:8" ht="15.6" x14ac:dyDescent="0.3">
      <c r="A7" s="3"/>
      <c r="B7" s="3"/>
      <c r="C7" s="3"/>
      <c r="D7" s="3"/>
      <c r="E7" s="3"/>
    </row>
    <row r="8" spans="1:8" ht="15.6" x14ac:dyDescent="0.3">
      <c r="A8" s="91" t="s">
        <v>21</v>
      </c>
      <c r="B8" s="6">
        <f>B5</f>
        <v>-0.70709999999999995</v>
      </c>
      <c r="C8" s="25">
        <f t="shared" ref="C8:D8" si="2">C5</f>
        <v>0.86599999999999999</v>
      </c>
      <c r="D8" s="25">
        <f t="shared" si="2"/>
        <v>0</v>
      </c>
      <c r="E8" s="3"/>
    </row>
    <row r="9" spans="1:8" ht="15" x14ac:dyDescent="0.3">
      <c r="B9" s="25">
        <f>B6-($B$6/$B$5)*B5</f>
        <v>0</v>
      </c>
      <c r="C9" s="25">
        <f t="shared" ref="C9:D9" si="3">C6-($B$6/$B$5)*C5</f>
        <v>1.3660000000000001</v>
      </c>
      <c r="D9" s="25">
        <f t="shared" si="3"/>
        <v>1962</v>
      </c>
    </row>
    <row r="11" spans="1:8" ht="15.6" x14ac:dyDescent="0.3">
      <c r="A11" s="92" t="s">
        <v>22</v>
      </c>
      <c r="B11" s="6">
        <f>B8</f>
        <v>-0.70709999999999995</v>
      </c>
      <c r="C11" s="25">
        <f t="shared" ref="C11:D11" si="4">C8</f>
        <v>0.86599999999999999</v>
      </c>
      <c r="D11" s="25">
        <f t="shared" si="4"/>
        <v>0</v>
      </c>
    </row>
    <row r="12" spans="1:8" ht="15" x14ac:dyDescent="0.3">
      <c r="B12" s="25">
        <f>IF($C$9=0,"falla",B9)</f>
        <v>0</v>
      </c>
      <c r="C12" s="25">
        <f>IF($C$9=0,"falla",C9)</f>
        <v>1.3660000000000001</v>
      </c>
      <c r="D12" s="25">
        <f>IF($C$9=0,"falla",D9)</f>
        <v>1962</v>
      </c>
      <c r="E12" s="6"/>
    </row>
    <row r="13" spans="1:8" ht="15" x14ac:dyDescent="0.3">
      <c r="B13" s="6"/>
      <c r="C13" s="6"/>
      <c r="D13" s="6"/>
    </row>
    <row r="14" spans="1:8" ht="15.6" x14ac:dyDescent="0.3">
      <c r="A14" s="91" t="s">
        <v>23</v>
      </c>
      <c r="B14" s="4">
        <f>B11-($C$11/$C$12)*B12</f>
        <v>-0.70709999999999995</v>
      </c>
      <c r="C14" s="43">
        <f t="shared" ref="C14:D14" si="5">C11-($C$11/$C$12)*C12</f>
        <v>0</v>
      </c>
      <c r="D14" s="43">
        <f t="shared" si="5"/>
        <v>-1243.844802342606</v>
      </c>
    </row>
    <row r="15" spans="1:8" ht="15.6" x14ac:dyDescent="0.3">
      <c r="A15" s="7"/>
      <c r="B15" s="43">
        <f>B12</f>
        <v>0</v>
      </c>
      <c r="C15" s="43">
        <f>C12</f>
        <v>1.3660000000000001</v>
      </c>
      <c r="D15" s="43">
        <f t="shared" ref="D15" si="6">D12</f>
        <v>1962</v>
      </c>
    </row>
    <row r="16" spans="1:8" ht="16.2" thickBot="1" x14ac:dyDescent="0.35">
      <c r="C16" s="13"/>
      <c r="D16" s="37" t="s">
        <v>14</v>
      </c>
    </row>
    <row r="17" spans="1:5" ht="16.2" thickBot="1" x14ac:dyDescent="0.35">
      <c r="A17" s="26" t="s">
        <v>24</v>
      </c>
      <c r="B17" s="4">
        <f>B14/$B$14</f>
        <v>1</v>
      </c>
      <c r="C17" s="4">
        <f>C14/$B$14</f>
        <v>0</v>
      </c>
      <c r="D17" s="44">
        <f>D14/$B$14</f>
        <v>1759.0790586092578</v>
      </c>
    </row>
    <row r="18" spans="1:5" ht="16.2" thickBot="1" x14ac:dyDescent="0.35">
      <c r="A18" s="6"/>
      <c r="B18" s="4">
        <f>B15/$C$15</f>
        <v>0</v>
      </c>
      <c r="C18" s="4">
        <f>C15/$C$15</f>
        <v>1</v>
      </c>
      <c r="D18" s="44">
        <f>D15/$C$15</f>
        <v>1436.3103953147877</v>
      </c>
      <c r="E18" t="s">
        <v>25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736AE-2B3D-42A3-80C2-7B17F017618A}">
  <dimension ref="A1:F18"/>
  <sheetViews>
    <sheetView workbookViewId="0">
      <selection sqref="A1:F18"/>
    </sheetView>
  </sheetViews>
  <sheetFormatPr baseColWidth="10" defaultColWidth="11.44140625" defaultRowHeight="14.4" x14ac:dyDescent="0.3"/>
  <cols>
    <col min="1" max="1" width="18.6640625" bestFit="1" customWidth="1"/>
    <col min="6" max="6" width="16.44140625" bestFit="1" customWidth="1"/>
  </cols>
  <sheetData>
    <row r="1" spans="1:6" ht="15.6" x14ac:dyDescent="0.3">
      <c r="A1" s="2" t="s">
        <v>0</v>
      </c>
      <c r="B1" s="4"/>
      <c r="C1" s="3"/>
      <c r="D1" s="3"/>
      <c r="E1" s="6" t="s">
        <v>18</v>
      </c>
      <c r="F1" s="31" t="s">
        <v>4</v>
      </c>
    </row>
    <row r="2" spans="1:6" ht="15.6" x14ac:dyDescent="0.3">
      <c r="A2" s="3"/>
      <c r="B2" s="5">
        <v>8</v>
      </c>
      <c r="C2" s="28">
        <v>1</v>
      </c>
      <c r="D2" s="12">
        <v>3</v>
      </c>
      <c r="E2" s="3"/>
      <c r="F2" s="30" cm="1">
        <f t="array" ref="F2:F3">MMULT(B2:C3,D17:D18)</f>
        <v>3</v>
      </c>
    </row>
    <row r="3" spans="1:6" ht="15.6" x14ac:dyDescent="0.3">
      <c r="A3" s="3"/>
      <c r="B3" s="5">
        <v>-0.4</v>
      </c>
      <c r="C3" s="28">
        <v>1</v>
      </c>
      <c r="D3" s="12">
        <v>1.2</v>
      </c>
      <c r="E3" s="3"/>
      <c r="F3" s="30">
        <v>1.2000000000000002</v>
      </c>
    </row>
    <row r="4" spans="1:6" ht="15.6" x14ac:dyDescent="0.3">
      <c r="A4" s="3"/>
      <c r="B4" s="10"/>
      <c r="C4" s="10"/>
      <c r="D4" s="10"/>
      <c r="E4" s="3"/>
    </row>
    <row r="5" spans="1:6" ht="15.6" x14ac:dyDescent="0.3">
      <c r="A5" s="92" t="s">
        <v>20</v>
      </c>
      <c r="B5" s="42">
        <f>IF($B$2=0,IF($B$3=0,"falla",B3),B2)</f>
        <v>8</v>
      </c>
      <c r="C5" s="25">
        <f t="shared" ref="C5:D5" si="0">IF($B$2=0,IF($B$3=0,"falla",C3),C2)</f>
        <v>1</v>
      </c>
      <c r="D5" s="25">
        <f t="shared" si="0"/>
        <v>3</v>
      </c>
      <c r="E5" s="4" t="str">
        <f>IF(B5=B2,"aceptado 1",IF(B5=B3,"aceptado 2","falla"))</f>
        <v>aceptado 1</v>
      </c>
    </row>
    <row r="6" spans="1:6" ht="15.6" x14ac:dyDescent="0.3">
      <c r="B6" s="25">
        <f>+IF($E$5="aceptado 2",B2,B3)</f>
        <v>-0.4</v>
      </c>
      <c r="C6" s="25">
        <f t="shared" ref="C6:D6" si="1">+IF($E$5="aceptado 2",C2,C3)</f>
        <v>1</v>
      </c>
      <c r="D6" s="25">
        <f t="shared" si="1"/>
        <v>1.2</v>
      </c>
      <c r="E6" s="3"/>
    </row>
    <row r="7" spans="1:6" ht="15.6" x14ac:dyDescent="0.3">
      <c r="A7" s="3"/>
      <c r="B7" s="3"/>
      <c r="C7" s="3"/>
      <c r="D7" s="3"/>
      <c r="E7" s="3"/>
    </row>
    <row r="8" spans="1:6" ht="15.6" x14ac:dyDescent="0.3">
      <c r="A8" s="91" t="s">
        <v>21</v>
      </c>
      <c r="B8" s="25">
        <f>B5</f>
        <v>8</v>
      </c>
      <c r="C8" s="25">
        <f t="shared" ref="C8:D8" si="2">C5</f>
        <v>1</v>
      </c>
      <c r="D8" s="25">
        <f t="shared" si="2"/>
        <v>3</v>
      </c>
      <c r="E8" s="3"/>
    </row>
    <row r="9" spans="1:6" ht="15" x14ac:dyDescent="0.3">
      <c r="B9" s="25">
        <f>B6-($B$6/$B$5)*B5</f>
        <v>0</v>
      </c>
      <c r="C9" s="25">
        <f t="shared" ref="C9:D9" si="3">C6-($B$6/$B$5)*C5</f>
        <v>1.05</v>
      </c>
      <c r="D9" s="25">
        <f t="shared" si="3"/>
        <v>1.35</v>
      </c>
    </row>
    <row r="11" spans="1:6" ht="15.6" x14ac:dyDescent="0.3">
      <c r="A11" s="92" t="s">
        <v>22</v>
      </c>
      <c r="B11" s="25">
        <f>B8</f>
        <v>8</v>
      </c>
      <c r="C11" s="25">
        <f t="shared" ref="C11:D11" si="4">C8</f>
        <v>1</v>
      </c>
      <c r="D11" s="25">
        <f t="shared" si="4"/>
        <v>3</v>
      </c>
    </row>
    <row r="12" spans="1:6" ht="15" x14ac:dyDescent="0.3">
      <c r="B12" s="25">
        <f>IF($C$9=0,"falla",B9)</f>
        <v>0</v>
      </c>
      <c r="C12" s="25">
        <f>IF($C$9=0,"falla",C9)</f>
        <v>1.05</v>
      </c>
      <c r="D12" s="25">
        <f>IF($C$9=0,"falla",D9)</f>
        <v>1.35</v>
      </c>
      <c r="E12" s="6"/>
    </row>
    <row r="13" spans="1:6" ht="15" x14ac:dyDescent="0.3">
      <c r="B13" s="6"/>
      <c r="C13" s="6"/>
      <c r="D13" s="6"/>
    </row>
    <row r="14" spans="1:6" ht="15.6" x14ac:dyDescent="0.3">
      <c r="A14" s="91" t="s">
        <v>23</v>
      </c>
      <c r="B14" s="43">
        <f>B11-($C$11/$C$12)*B12</f>
        <v>8</v>
      </c>
      <c r="C14" s="43">
        <f t="shared" ref="C14:D14" si="5">C11-($C$11/$C$12)*C12</f>
        <v>0</v>
      </c>
      <c r="D14" s="43">
        <f t="shared" si="5"/>
        <v>1.7142857142857142</v>
      </c>
    </row>
    <row r="15" spans="1:6" ht="15.6" x14ac:dyDescent="0.3">
      <c r="A15" s="7"/>
      <c r="B15" s="43">
        <f>B12</f>
        <v>0</v>
      </c>
      <c r="C15" s="43">
        <f>C12</f>
        <v>1.05</v>
      </c>
      <c r="D15" s="43">
        <f t="shared" ref="D15" si="6">D12</f>
        <v>1.35</v>
      </c>
    </row>
    <row r="16" spans="1:6" ht="16.2" thickBot="1" x14ac:dyDescent="0.35">
      <c r="C16" s="13"/>
      <c r="D16" s="37" t="s">
        <v>14</v>
      </c>
    </row>
    <row r="17" spans="1:5" ht="16.2" thickBot="1" x14ac:dyDescent="0.35">
      <c r="A17" s="26" t="s">
        <v>24</v>
      </c>
      <c r="B17" s="4">
        <f>B14/$B$14</f>
        <v>1</v>
      </c>
      <c r="C17" s="4">
        <f>C14/$B$14</f>
        <v>0</v>
      </c>
      <c r="D17" s="44">
        <f>D14/$B$14</f>
        <v>0.21428571428571427</v>
      </c>
    </row>
    <row r="18" spans="1:5" ht="16.2" thickBot="1" x14ac:dyDescent="0.35">
      <c r="A18" s="6"/>
      <c r="B18" s="4">
        <f>B15/$C$15</f>
        <v>0</v>
      </c>
      <c r="C18" s="4">
        <f>C15/$C$15</f>
        <v>1</v>
      </c>
      <c r="D18" s="44">
        <f>D15/$C$15</f>
        <v>1.2857142857142858</v>
      </c>
      <c r="E18" t="s">
        <v>25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D62D2-C525-497A-B372-8358DDD1686C}">
  <dimension ref="A1:F18"/>
  <sheetViews>
    <sheetView workbookViewId="0">
      <selection sqref="A1:F18"/>
    </sheetView>
  </sheetViews>
  <sheetFormatPr baseColWidth="10" defaultColWidth="11.44140625" defaultRowHeight="14.4" x14ac:dyDescent="0.3"/>
  <cols>
    <col min="1" max="1" width="18.6640625" bestFit="1" customWidth="1"/>
    <col min="6" max="6" width="16.44140625" bestFit="1" customWidth="1"/>
  </cols>
  <sheetData>
    <row r="1" spans="1:6" ht="15.6" x14ac:dyDescent="0.3">
      <c r="A1" s="2" t="s">
        <v>0</v>
      </c>
      <c r="B1" s="4"/>
      <c r="C1" s="3"/>
      <c r="D1" s="3"/>
      <c r="E1" s="6" t="s">
        <v>18</v>
      </c>
      <c r="F1" s="31" t="s">
        <v>4</v>
      </c>
    </row>
    <row r="2" spans="1:6" ht="15.6" x14ac:dyDescent="0.3">
      <c r="A2" s="3"/>
      <c r="B2" s="5">
        <v>0.5</v>
      </c>
      <c r="C2" s="28">
        <v>1</v>
      </c>
      <c r="D2" s="12">
        <v>0.33329999999999999</v>
      </c>
      <c r="E2" s="3"/>
      <c r="F2" s="30" cm="1">
        <f t="array" ref="F2:F3">MMULT(B2:C3,D17:D18)</f>
        <v>0.33329999999999999</v>
      </c>
    </row>
    <row r="3" spans="1:6" ht="15.6" x14ac:dyDescent="0.3">
      <c r="A3" s="3"/>
      <c r="B3" s="5">
        <v>4</v>
      </c>
      <c r="C3" s="28">
        <v>1</v>
      </c>
      <c r="D3" s="12">
        <v>-1</v>
      </c>
      <c r="E3" s="3"/>
      <c r="F3" s="30">
        <v>-1</v>
      </c>
    </row>
    <row r="4" spans="1:6" ht="15.6" x14ac:dyDescent="0.3">
      <c r="A4" s="3"/>
      <c r="B4" s="10"/>
      <c r="C4" s="10"/>
      <c r="D4" s="10"/>
      <c r="E4" s="3"/>
    </row>
    <row r="5" spans="1:6" ht="15.6" x14ac:dyDescent="0.3">
      <c r="A5" s="92" t="s">
        <v>20</v>
      </c>
      <c r="B5" s="42">
        <f>IF($B$2=0,IF($B$3=0,"falla",B3),B2)</f>
        <v>0.5</v>
      </c>
      <c r="C5" s="25">
        <f t="shared" ref="C5:D5" si="0">IF($B$2=0,IF($B$3=0,"falla",C3),C2)</f>
        <v>1</v>
      </c>
      <c r="D5" s="25">
        <f t="shared" si="0"/>
        <v>0.33329999999999999</v>
      </c>
      <c r="E5" s="4" t="str">
        <f>IF(B5=B2,"aceptado 1",IF(B5=B3,"aceptado 2","falla"))</f>
        <v>aceptado 1</v>
      </c>
    </row>
    <row r="6" spans="1:6" ht="15.6" x14ac:dyDescent="0.3">
      <c r="B6" s="25">
        <f>+IF($E$5="aceptado 2",B2,B3)</f>
        <v>4</v>
      </c>
      <c r="C6" s="25">
        <f t="shared" ref="C6:D6" si="1">+IF($E$5="aceptado 2",C2,C3)</f>
        <v>1</v>
      </c>
      <c r="D6" s="25">
        <f t="shared" si="1"/>
        <v>-1</v>
      </c>
      <c r="E6" s="3"/>
    </row>
    <row r="7" spans="1:6" ht="15.6" x14ac:dyDescent="0.3">
      <c r="A7" s="3"/>
      <c r="B7" s="3"/>
      <c r="C7" s="3"/>
      <c r="D7" s="3"/>
      <c r="E7" s="3"/>
    </row>
    <row r="8" spans="1:6" ht="15.6" x14ac:dyDescent="0.3">
      <c r="A8" s="91" t="s">
        <v>21</v>
      </c>
      <c r="B8" s="25">
        <f>B5</f>
        <v>0.5</v>
      </c>
      <c r="C8" s="25">
        <f t="shared" ref="C8:D8" si="2">C5</f>
        <v>1</v>
      </c>
      <c r="D8" s="25">
        <f t="shared" si="2"/>
        <v>0.33329999999999999</v>
      </c>
      <c r="E8" s="3"/>
    </row>
    <row r="9" spans="1:6" ht="15" x14ac:dyDescent="0.3">
      <c r="B9" s="25">
        <f>B6-($B$6/$B$5)*B5</f>
        <v>0</v>
      </c>
      <c r="C9" s="25">
        <f t="shared" ref="C9:D9" si="3">C6-($B$6/$B$5)*C5</f>
        <v>-7</v>
      </c>
      <c r="D9" s="25">
        <f t="shared" si="3"/>
        <v>-3.6663999999999999</v>
      </c>
    </row>
    <row r="11" spans="1:6" ht="15.6" x14ac:dyDescent="0.3">
      <c r="A11" s="92" t="s">
        <v>22</v>
      </c>
      <c r="B11" s="25">
        <f>B8</f>
        <v>0.5</v>
      </c>
      <c r="C11" s="25">
        <f t="shared" ref="C11:D11" si="4">C8</f>
        <v>1</v>
      </c>
      <c r="D11" s="25">
        <f t="shared" si="4"/>
        <v>0.33329999999999999</v>
      </c>
    </row>
    <row r="12" spans="1:6" ht="15" x14ac:dyDescent="0.3">
      <c r="B12" s="25">
        <f>IF($C$9=0,"falla",B9)</f>
        <v>0</v>
      </c>
      <c r="C12" s="25">
        <f>IF($C$9=0,"falla",C9)</f>
        <v>-7</v>
      </c>
      <c r="D12" s="25">
        <f>IF($C$9=0,"falla",D9)</f>
        <v>-3.6663999999999999</v>
      </c>
      <c r="E12" s="6"/>
    </row>
    <row r="13" spans="1:6" ht="15" x14ac:dyDescent="0.3">
      <c r="B13" s="6"/>
      <c r="C13" s="6"/>
      <c r="D13" s="6"/>
    </row>
    <row r="14" spans="1:6" ht="15.6" x14ac:dyDescent="0.3">
      <c r="A14" s="91" t="s">
        <v>23</v>
      </c>
      <c r="B14" s="43">
        <f>B11-($C$11/$C$12)*B12</f>
        <v>0.5</v>
      </c>
      <c r="C14" s="43">
        <f t="shared" ref="C14:D14" si="5">C11-($C$11/$C$12)*C12</f>
        <v>0</v>
      </c>
      <c r="D14" s="43">
        <f t="shared" si="5"/>
        <v>-0.19047142857142857</v>
      </c>
    </row>
    <row r="15" spans="1:6" ht="15.6" x14ac:dyDescent="0.3">
      <c r="A15" s="7"/>
      <c r="B15" s="43">
        <f>B12</f>
        <v>0</v>
      </c>
      <c r="C15" s="43">
        <f>C12</f>
        <v>-7</v>
      </c>
      <c r="D15" s="43">
        <f t="shared" ref="D15" si="6">D12</f>
        <v>-3.6663999999999999</v>
      </c>
    </row>
    <row r="16" spans="1:6" ht="16.2" thickBot="1" x14ac:dyDescent="0.35">
      <c r="C16" s="13"/>
      <c r="D16" s="37" t="s">
        <v>14</v>
      </c>
    </row>
    <row r="17" spans="1:5" ht="16.2" thickBot="1" x14ac:dyDescent="0.35">
      <c r="A17" s="26" t="s">
        <v>24</v>
      </c>
      <c r="B17" s="4">
        <f>B14/$B$14</f>
        <v>1</v>
      </c>
      <c r="C17" s="4">
        <f>C14/$B$14</f>
        <v>0</v>
      </c>
      <c r="D17" s="44">
        <f>D14/$B$14</f>
        <v>-0.38094285714285714</v>
      </c>
    </row>
    <row r="18" spans="1:5" ht="16.2" thickBot="1" x14ac:dyDescent="0.35">
      <c r="A18" s="6"/>
      <c r="B18" s="4">
        <f>B15/$C$15</f>
        <v>0</v>
      </c>
      <c r="C18" s="4">
        <f>C15/$C$15</f>
        <v>1</v>
      </c>
      <c r="D18" s="44">
        <f>D15/$C$15</f>
        <v>0.52377142857142855</v>
      </c>
      <c r="E18" t="s">
        <v>25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59872-FBDE-4BD0-A4A4-CDED7BA4DD93}">
  <dimension ref="A1:F18"/>
  <sheetViews>
    <sheetView workbookViewId="0">
      <selection activeCell="K10" sqref="K10"/>
    </sheetView>
  </sheetViews>
  <sheetFormatPr baseColWidth="10" defaultColWidth="11.44140625" defaultRowHeight="14.4" x14ac:dyDescent="0.3"/>
  <cols>
    <col min="1" max="1" width="18.6640625" bestFit="1" customWidth="1"/>
    <col min="6" max="6" width="16.44140625" bestFit="1" customWidth="1"/>
  </cols>
  <sheetData>
    <row r="1" spans="1:6" ht="15.6" x14ac:dyDescent="0.3">
      <c r="A1" s="2" t="s">
        <v>0</v>
      </c>
      <c r="B1" s="4"/>
      <c r="C1" s="3"/>
      <c r="D1" s="3"/>
      <c r="E1" s="6" t="s">
        <v>18</v>
      </c>
      <c r="F1" s="31" t="s">
        <v>4</v>
      </c>
    </row>
    <row r="2" spans="1:6" ht="15.6" x14ac:dyDescent="0.3">
      <c r="A2" s="3"/>
      <c r="B2" s="5">
        <v>-4.5</v>
      </c>
      <c r="C2" s="28">
        <v>1</v>
      </c>
      <c r="D2" s="12">
        <v>-3</v>
      </c>
      <c r="E2" s="3"/>
      <c r="F2" s="30" cm="1">
        <f t="array" ref="F2:F3">MMULT(B2:C3,D17:D18)</f>
        <v>-2.9999999999999996</v>
      </c>
    </row>
    <row r="3" spans="1:6" ht="15.6" x14ac:dyDescent="0.3">
      <c r="A3" s="3"/>
      <c r="B3" s="5">
        <v>-0.5</v>
      </c>
      <c r="C3" s="28">
        <v>1</v>
      </c>
      <c r="D3" s="12">
        <v>2</v>
      </c>
      <c r="E3" s="3"/>
      <c r="F3" s="30">
        <v>2.0000000000000004</v>
      </c>
    </row>
    <row r="4" spans="1:6" ht="15.6" x14ac:dyDescent="0.3">
      <c r="A4" s="3"/>
      <c r="B4" s="10"/>
      <c r="C4" s="10"/>
      <c r="D4" s="10"/>
      <c r="E4" s="3"/>
    </row>
    <row r="5" spans="1:6" ht="15.6" x14ac:dyDescent="0.3">
      <c r="A5" s="93" t="s">
        <v>20</v>
      </c>
      <c r="B5" s="42">
        <f>IF($B$2=0,IF($B$3=0,"falla",B3),B2)</f>
        <v>-4.5</v>
      </c>
      <c r="C5" s="25">
        <f t="shared" ref="C5:D5" si="0">IF($B$2=0,IF($B$3=0,"falla",C3),C2)</f>
        <v>1</v>
      </c>
      <c r="D5" s="25">
        <f t="shared" si="0"/>
        <v>-3</v>
      </c>
      <c r="E5" s="4" t="str">
        <f>IF(B5=B2,"aceptado 1",IF(B5=B3,"aceptado 2","falla"))</f>
        <v>aceptado 1</v>
      </c>
    </row>
    <row r="6" spans="1:6" ht="15.6" x14ac:dyDescent="0.3">
      <c r="B6" s="25">
        <f>+IF($E$5="aceptado 2",B2,B3)</f>
        <v>-0.5</v>
      </c>
      <c r="C6" s="25">
        <f t="shared" ref="C6:D6" si="1">+IF($E$5="aceptado 2",C2,C3)</f>
        <v>1</v>
      </c>
      <c r="D6" s="25">
        <f t="shared" si="1"/>
        <v>2</v>
      </c>
      <c r="E6" s="3"/>
    </row>
    <row r="7" spans="1:6" ht="15.6" x14ac:dyDescent="0.3">
      <c r="A7" s="3"/>
      <c r="B7" s="47"/>
      <c r="C7" s="47"/>
      <c r="D7" s="47"/>
      <c r="E7" s="3"/>
    </row>
    <row r="8" spans="1:6" ht="15.6" x14ac:dyDescent="0.3">
      <c r="A8" s="94" t="s">
        <v>21</v>
      </c>
      <c r="B8" s="25">
        <f>B5</f>
        <v>-4.5</v>
      </c>
      <c r="C8" s="25">
        <f t="shared" ref="C8:D8" si="2">C5</f>
        <v>1</v>
      </c>
      <c r="D8" s="25">
        <f t="shared" si="2"/>
        <v>-3</v>
      </c>
      <c r="E8" s="3"/>
    </row>
    <row r="9" spans="1:6" ht="15" x14ac:dyDescent="0.3">
      <c r="B9" s="25">
        <f>B6-($B$6/$B$5)*B5</f>
        <v>0</v>
      </c>
      <c r="C9" s="25">
        <f t="shared" ref="C9:D9" si="3">C6-($B$6/$B$5)*C5</f>
        <v>0.88888888888888884</v>
      </c>
      <c r="D9" s="25">
        <f t="shared" si="3"/>
        <v>2.3333333333333335</v>
      </c>
    </row>
    <row r="10" spans="1:6" x14ac:dyDescent="0.3">
      <c r="B10" s="48"/>
      <c r="C10" s="48"/>
      <c r="D10" s="48"/>
    </row>
    <row r="11" spans="1:6" ht="15.6" x14ac:dyDescent="0.3">
      <c r="A11" s="93" t="s">
        <v>22</v>
      </c>
      <c r="B11" s="25">
        <f>B8</f>
        <v>-4.5</v>
      </c>
      <c r="C11" s="25">
        <f t="shared" ref="C11:D11" si="4">C8</f>
        <v>1</v>
      </c>
      <c r="D11" s="25">
        <f t="shared" si="4"/>
        <v>-3</v>
      </c>
    </row>
    <row r="12" spans="1:6" ht="15" x14ac:dyDescent="0.3">
      <c r="B12" s="25">
        <f>IF($C$9=0,"falla",B9)</f>
        <v>0</v>
      </c>
      <c r="C12" s="25">
        <f>IF($C$9=0,"falla",C9)</f>
        <v>0.88888888888888884</v>
      </c>
      <c r="D12" s="25">
        <f>IF($C$9=0,"falla",D9)</f>
        <v>2.3333333333333335</v>
      </c>
      <c r="E12" s="6"/>
    </row>
    <row r="13" spans="1:6" ht="15" x14ac:dyDescent="0.3">
      <c r="B13" s="25"/>
      <c r="C13" s="25"/>
      <c r="D13" s="25"/>
    </row>
    <row r="14" spans="1:6" ht="15.6" x14ac:dyDescent="0.3">
      <c r="A14" s="94" t="s">
        <v>23</v>
      </c>
      <c r="B14" s="43">
        <f>B11-($C$11/$C$12)*B12</f>
        <v>-4.5</v>
      </c>
      <c r="C14" s="43">
        <f t="shared" ref="C14:D14" si="5">C11-($C$11/$C$12)*C12</f>
        <v>0</v>
      </c>
      <c r="D14" s="43">
        <f t="shared" si="5"/>
        <v>-5.625</v>
      </c>
    </row>
    <row r="15" spans="1:6" ht="15.6" x14ac:dyDescent="0.3">
      <c r="A15" s="7"/>
      <c r="B15" s="43">
        <f>B12</f>
        <v>0</v>
      </c>
      <c r="C15" s="43">
        <f>C12</f>
        <v>0.88888888888888884</v>
      </c>
      <c r="D15" s="43">
        <f t="shared" ref="D15" si="6">D12</f>
        <v>2.3333333333333335</v>
      </c>
    </row>
    <row r="16" spans="1:6" ht="16.2" thickBot="1" x14ac:dyDescent="0.35">
      <c r="C16" s="13"/>
      <c r="D16" s="37" t="s">
        <v>14</v>
      </c>
    </row>
    <row r="17" spans="1:5" ht="16.2" thickBot="1" x14ac:dyDescent="0.35">
      <c r="A17" s="26" t="s">
        <v>24</v>
      </c>
      <c r="B17" s="4">
        <f>B14/$B$14</f>
        <v>1</v>
      </c>
      <c r="C17" s="4">
        <f>C14/$B$14</f>
        <v>0</v>
      </c>
      <c r="D17" s="44">
        <f>D14/$B$14</f>
        <v>1.25</v>
      </c>
    </row>
    <row r="18" spans="1:5" ht="16.2" thickBot="1" x14ac:dyDescent="0.35">
      <c r="A18" s="6"/>
      <c r="B18" s="4">
        <f>B15/$C$15</f>
        <v>0</v>
      </c>
      <c r="C18" s="4">
        <f>C15/$C$15</f>
        <v>1</v>
      </c>
      <c r="D18" s="44">
        <f>D15/$C$15</f>
        <v>2.6250000000000004</v>
      </c>
      <c r="E18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18</vt:i4>
      </vt:variant>
    </vt:vector>
  </HeadingPairs>
  <TitlesOfParts>
    <vt:vector size="18" baseType="lpstr">
      <vt:lpstr>Gauss-Jordan (4x4)</vt:lpstr>
      <vt:lpstr>EJERCICIO EXAMEN 2017</vt:lpstr>
      <vt:lpstr>Gauss-Jordan (3x3)</vt:lpstr>
      <vt:lpstr>Gauss-Jordan (2X2)</vt:lpstr>
      <vt:lpstr>T4-E1</vt:lpstr>
      <vt:lpstr>T4-E2</vt:lpstr>
      <vt:lpstr>T4-E3</vt:lpstr>
      <vt:lpstr>T4-E4</vt:lpstr>
      <vt:lpstr>T4-E5</vt:lpstr>
      <vt:lpstr>T4-E6</vt:lpstr>
      <vt:lpstr>Gauss-Jordan (4x4) T4-E7</vt:lpstr>
      <vt:lpstr>T4-E8</vt:lpstr>
      <vt:lpstr>T4-E9</vt:lpstr>
      <vt:lpstr>T4-E10</vt:lpstr>
      <vt:lpstr>T4-E11</vt:lpstr>
      <vt:lpstr>T4-E12</vt:lpstr>
      <vt:lpstr>T4-E13</vt:lpstr>
      <vt:lpstr>T4-E14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VICTORIA MONSERRAT MUÑOZ SAN AGUSTIN</dc:creator>
  <cp:keywords/>
  <dc:description/>
  <cp:lastModifiedBy>Victoria Muñoz</cp:lastModifiedBy>
  <cp:revision/>
  <dcterms:created xsi:type="dcterms:W3CDTF">2024-03-11T17:15:39Z</dcterms:created>
  <dcterms:modified xsi:type="dcterms:W3CDTF">2024-04-11T22:28:21Z</dcterms:modified>
  <cp:category/>
  <cp:contentStatus/>
</cp:coreProperties>
</file>